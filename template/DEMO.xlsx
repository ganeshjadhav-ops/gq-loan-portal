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aneshjadhav\Desktop\"/>
    </mc:Choice>
  </mc:AlternateContent>
  <xr:revisionPtr revIDLastSave="0" documentId="13_ncr:1_{C1406867-D828-4AE9-8AE8-4E52D51F1B6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opout" sheetId="1" r:id="rId1"/>
    <sheet name="Foreclosures" sheetId="5" state="hidden" r:id="rId2"/>
    <sheet name="DD" sheetId="3" r:id="rId3"/>
  </sheets>
  <definedNames>
    <definedName name="_xlnm._FilterDatabase" localSheetId="2" hidden="1">DD!$A$1:$L$1</definedName>
    <definedName name="_xlnm._FilterDatabase" localSheetId="0" hidden="1">Dropout!$B$2:$KE$505</definedName>
    <definedName name="_xlnm._FilterDatabase" localSheetId="1" hidden="1">Foreclosures!$B$2:$KE$501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5" i="5" l="1"/>
  <c r="D5" i="5"/>
  <c r="E5" i="5"/>
  <c r="F5" i="5"/>
  <c r="H5" i="5"/>
  <c r="J5" i="5"/>
  <c r="K5" i="5"/>
  <c r="L5" i="5"/>
  <c r="M5" i="5"/>
  <c r="P5" i="5"/>
  <c r="JS5" i="5"/>
  <c r="JU5" i="5"/>
  <c r="JY5" i="5"/>
  <c r="C6" i="5"/>
  <c r="D6" i="5"/>
  <c r="E6" i="5"/>
  <c r="F6" i="5"/>
  <c r="H6" i="5"/>
  <c r="J6" i="5"/>
  <c r="K6" i="5"/>
  <c r="L6" i="5"/>
  <c r="M6" i="5"/>
  <c r="P6" i="5"/>
  <c r="JS6" i="5"/>
  <c r="JU6" i="5"/>
  <c r="JY6" i="5"/>
  <c r="C7" i="5"/>
  <c r="D7" i="5"/>
  <c r="E7" i="5"/>
  <c r="F7" i="5"/>
  <c r="H7" i="5"/>
  <c r="J7" i="5"/>
  <c r="K7" i="5"/>
  <c r="L7" i="5"/>
  <c r="M7" i="5"/>
  <c r="P7" i="5"/>
  <c r="JS7" i="5"/>
  <c r="JU7" i="5"/>
  <c r="JY7" i="5"/>
  <c r="C8" i="5"/>
  <c r="D8" i="5"/>
  <c r="E8" i="5"/>
  <c r="F8" i="5"/>
  <c r="H8" i="5"/>
  <c r="J8" i="5"/>
  <c r="K8" i="5"/>
  <c r="L8" i="5"/>
  <c r="M8" i="5"/>
  <c r="P8" i="5"/>
  <c r="JS8" i="5"/>
  <c r="JU8" i="5"/>
  <c r="JY8" i="5"/>
  <c r="C9" i="5"/>
  <c r="D9" i="5"/>
  <c r="E9" i="5"/>
  <c r="F9" i="5"/>
  <c r="H9" i="5"/>
  <c r="J9" i="5"/>
  <c r="K9" i="5"/>
  <c r="L9" i="5"/>
  <c r="M9" i="5"/>
  <c r="P9" i="5"/>
  <c r="JS9" i="5"/>
  <c r="JU9" i="5"/>
  <c r="JY9" i="5"/>
  <c r="C10" i="5"/>
  <c r="D10" i="5"/>
  <c r="E10" i="5"/>
  <c r="F10" i="5"/>
  <c r="H10" i="5"/>
  <c r="J10" i="5"/>
  <c r="K10" i="5"/>
  <c r="L10" i="5"/>
  <c r="M10" i="5"/>
  <c r="P10" i="5"/>
  <c r="JS10" i="5"/>
  <c r="JU10" i="5"/>
  <c r="JY10" i="5"/>
  <c r="C11" i="5"/>
  <c r="D11" i="5"/>
  <c r="E11" i="5"/>
  <c r="F11" i="5"/>
  <c r="H11" i="5"/>
  <c r="J11" i="5"/>
  <c r="K11" i="5"/>
  <c r="L11" i="5"/>
  <c r="M11" i="5"/>
  <c r="P11" i="5"/>
  <c r="JS11" i="5"/>
  <c r="JU11" i="5"/>
  <c r="JY11" i="5"/>
  <c r="C12" i="5"/>
  <c r="D12" i="5"/>
  <c r="E12" i="5"/>
  <c r="F12" i="5"/>
  <c r="H12" i="5"/>
  <c r="J12" i="5"/>
  <c r="K12" i="5"/>
  <c r="L12" i="5"/>
  <c r="M12" i="5"/>
  <c r="P12" i="5"/>
  <c r="JS12" i="5"/>
  <c r="JU12" i="5"/>
  <c r="JY12" i="5"/>
  <c r="C13" i="5"/>
  <c r="D13" i="5"/>
  <c r="E13" i="5"/>
  <c r="F13" i="5"/>
  <c r="H13" i="5"/>
  <c r="J13" i="5"/>
  <c r="K13" i="5"/>
  <c r="L13" i="5"/>
  <c r="M13" i="5"/>
  <c r="P13" i="5"/>
  <c r="JS13" i="5"/>
  <c r="JU13" i="5"/>
  <c r="JY13" i="5"/>
  <c r="C14" i="5"/>
  <c r="D14" i="5"/>
  <c r="E14" i="5"/>
  <c r="F14" i="5"/>
  <c r="H14" i="5"/>
  <c r="J14" i="5"/>
  <c r="K14" i="5"/>
  <c r="L14" i="5"/>
  <c r="M14" i="5"/>
  <c r="P14" i="5"/>
  <c r="JS14" i="5"/>
  <c r="JU14" i="5"/>
  <c r="JY14" i="5"/>
  <c r="C15" i="5"/>
  <c r="D15" i="5"/>
  <c r="E15" i="5"/>
  <c r="F15" i="5"/>
  <c r="H15" i="5"/>
  <c r="J15" i="5"/>
  <c r="K15" i="5"/>
  <c r="L15" i="5"/>
  <c r="M15" i="5"/>
  <c r="P15" i="5"/>
  <c r="JS15" i="5"/>
  <c r="JU15" i="5"/>
  <c r="JY15" i="5"/>
  <c r="C16" i="5"/>
  <c r="D16" i="5"/>
  <c r="E16" i="5"/>
  <c r="F16" i="5"/>
  <c r="H16" i="5"/>
  <c r="J16" i="5"/>
  <c r="K16" i="5"/>
  <c r="L16" i="5"/>
  <c r="M16" i="5"/>
  <c r="P16" i="5"/>
  <c r="JS16" i="5"/>
  <c r="JU16" i="5"/>
  <c r="JY16" i="5"/>
  <c r="C17" i="5"/>
  <c r="D17" i="5"/>
  <c r="E17" i="5"/>
  <c r="F17" i="5"/>
  <c r="H17" i="5"/>
  <c r="J17" i="5"/>
  <c r="K17" i="5"/>
  <c r="L17" i="5"/>
  <c r="M17" i="5"/>
  <c r="P17" i="5"/>
  <c r="JS17" i="5"/>
  <c r="JU17" i="5"/>
  <c r="JY17" i="5"/>
  <c r="R9" i="5" l="1"/>
  <c r="U9" i="5" s="1"/>
  <c r="JZ9" i="5" s="1"/>
  <c r="Q14" i="5"/>
  <c r="S14" i="5" s="1"/>
  <c r="Q8" i="5"/>
  <c r="S8" i="5" s="1"/>
  <c r="Q7" i="5"/>
  <c r="S7" i="5" s="1"/>
  <c r="I5" i="5"/>
  <c r="R5" i="5"/>
  <c r="U5" i="5" s="1"/>
  <c r="I7" i="5"/>
  <c r="Q5" i="5"/>
  <c r="S5" i="5" s="1"/>
  <c r="R8" i="5"/>
  <c r="U8" i="5" s="1"/>
  <c r="W8" i="5" s="1"/>
  <c r="Q15" i="5"/>
  <c r="I14" i="5"/>
  <c r="I16" i="5"/>
  <c r="I11" i="5"/>
  <c r="R16" i="5"/>
  <c r="U16" i="5" s="1"/>
  <c r="Q16" i="5"/>
  <c r="S16" i="5" s="1"/>
  <c r="I13" i="5"/>
  <c r="R7" i="5"/>
  <c r="R11" i="5"/>
  <c r="U11" i="5" s="1"/>
  <c r="I8" i="5"/>
  <c r="Q9" i="5"/>
  <c r="Q11" i="5"/>
  <c r="S11" i="5" s="1"/>
  <c r="I17" i="5"/>
  <c r="Q17" i="5"/>
  <c r="S17" i="5" s="1"/>
  <c r="Q13" i="5"/>
  <c r="S13" i="5" s="1"/>
  <c r="R15" i="5"/>
  <c r="U15" i="5" s="1"/>
  <c r="I15" i="5"/>
  <c r="R14" i="5"/>
  <c r="U14" i="5" s="1"/>
  <c r="I10" i="5"/>
  <c r="R6" i="5"/>
  <c r="U6" i="5" s="1"/>
  <c r="Q6" i="5"/>
  <c r="I6" i="5"/>
  <c r="R10" i="5"/>
  <c r="U10" i="5" s="1"/>
  <c r="W10" i="5" s="1"/>
  <c r="R13" i="5"/>
  <c r="Q12" i="5"/>
  <c r="S12" i="5" s="1"/>
  <c r="Q10" i="5"/>
  <c r="R17" i="5"/>
  <c r="I9" i="5"/>
  <c r="R12" i="5"/>
  <c r="U12" i="5" s="1"/>
  <c r="W12" i="5" s="1"/>
  <c r="I12" i="5"/>
  <c r="BY7" i="5" l="1"/>
  <c r="CB7" i="5"/>
  <c r="BF7" i="5"/>
  <c r="BQ7" i="5"/>
  <c r="BO7" i="5"/>
  <c r="BP7" i="5"/>
  <c r="BE7" i="5"/>
  <c r="BZ7" i="5"/>
  <c r="BJ7" i="5"/>
  <c r="CF7" i="5"/>
  <c r="BG7" i="5"/>
  <c r="BA7" i="5"/>
  <c r="BB7" i="5"/>
  <c r="BN7" i="5"/>
  <c r="CD7" i="5"/>
  <c r="AW7" i="5"/>
  <c r="AL7" i="5"/>
  <c r="BD7" i="5"/>
  <c r="BV7" i="5"/>
  <c r="AF11" i="5"/>
  <c r="T15" i="5"/>
  <c r="AM11" i="5"/>
  <c r="BR8" i="5"/>
  <c r="T7" i="5"/>
  <c r="V8" i="5"/>
  <c r="Y8" i="5" s="1"/>
  <c r="BA14" i="5"/>
  <c r="BI5" i="5"/>
  <c r="CA5" i="5"/>
  <c r="BQ5" i="5"/>
  <c r="BP5" i="5"/>
  <c r="AK5" i="5"/>
  <c r="CC5" i="5"/>
  <c r="CE5" i="5"/>
  <c r="BK5" i="5"/>
  <c r="CB5" i="5"/>
  <c r="AX5" i="5"/>
  <c r="AP5" i="5"/>
  <c r="CF5" i="5"/>
  <c r="AF5" i="5"/>
  <c r="BS7" i="5"/>
  <c r="Z5" i="5"/>
  <c r="AG5" i="5"/>
  <c r="BL7" i="5"/>
  <c r="S15" i="5"/>
  <c r="CD15" i="5" s="1"/>
  <c r="CC7" i="5"/>
  <c r="T5" i="5"/>
  <c r="BV17" i="5"/>
  <c r="AZ7" i="5"/>
  <c r="AK7" i="5"/>
  <c r="AD14" i="5"/>
  <c r="AY7" i="5"/>
  <c r="BW7" i="5"/>
  <c r="CA7" i="5"/>
  <c r="BS17" i="5"/>
  <c r="BB17" i="5"/>
  <c r="BU5" i="5"/>
  <c r="AN5" i="5"/>
  <c r="AB5" i="5"/>
  <c r="BE5" i="5"/>
  <c r="BL5" i="5"/>
  <c r="BF5" i="5"/>
  <c r="AC5" i="5"/>
  <c r="BX5" i="5"/>
  <c r="AM5" i="5"/>
  <c r="BM5" i="5"/>
  <c r="AO5" i="5"/>
  <c r="AZ5" i="5"/>
  <c r="AI5" i="5"/>
  <c r="BS5" i="5"/>
  <c r="CG5" i="5"/>
  <c r="AW5" i="5"/>
  <c r="T11" i="5"/>
  <c r="W5" i="5"/>
  <c r="V5" i="5" s="1"/>
  <c r="HC5" i="5" s="1"/>
  <c r="AJ5" i="5"/>
  <c r="BB5" i="5"/>
  <c r="AL11" i="5"/>
  <c r="BO5" i="5"/>
  <c r="AV5" i="5"/>
  <c r="AL5" i="5"/>
  <c r="BZ14" i="5"/>
  <c r="BD5" i="5"/>
  <c r="AD5" i="5"/>
  <c r="AR5" i="5"/>
  <c r="AX8" i="5"/>
  <c r="AA5" i="5"/>
  <c r="BW5" i="5"/>
  <c r="JZ8" i="5"/>
  <c r="KB8" i="5" s="1"/>
  <c r="BR5" i="5"/>
  <c r="BJ11" i="5"/>
  <c r="BV5" i="5"/>
  <c r="BW11" i="5"/>
  <c r="T13" i="5"/>
  <c r="BT5" i="5"/>
  <c r="BH5" i="5"/>
  <c r="BN5" i="5"/>
  <c r="BC5" i="5"/>
  <c r="T8" i="5"/>
  <c r="JZ5" i="5"/>
  <c r="KA5" i="5" s="1"/>
  <c r="CG11" i="5"/>
  <c r="BY11" i="5"/>
  <c r="AY5" i="5"/>
  <c r="AT5" i="5"/>
  <c r="AU8" i="5"/>
  <c r="AM8" i="5"/>
  <c r="U7" i="5"/>
  <c r="AG7" i="5" s="1"/>
  <c r="AP11" i="5"/>
  <c r="AY8" i="5"/>
  <c r="BB8" i="5"/>
  <c r="CC8" i="5"/>
  <c r="BW8" i="5"/>
  <c r="BU7" i="5"/>
  <c r="AT11" i="5"/>
  <c r="CG7" i="5"/>
  <c r="AX7" i="5"/>
  <c r="BT7" i="5"/>
  <c r="AQ7" i="5"/>
  <c r="U13" i="5"/>
  <c r="AH13" i="5" s="1"/>
  <c r="BE8" i="5"/>
  <c r="AU11" i="5"/>
  <c r="BX7" i="5"/>
  <c r="BZ5" i="5"/>
  <c r="AE5" i="5"/>
  <c r="AU5" i="5"/>
  <c r="BR7" i="5"/>
  <c r="CF8" i="5"/>
  <c r="BO8" i="5"/>
  <c r="AD8" i="5"/>
  <c r="BG11" i="5"/>
  <c r="AZ8" i="5"/>
  <c r="AL8" i="5"/>
  <c r="BU14" i="5"/>
  <c r="AV7" i="5"/>
  <c r="CG8" i="5"/>
  <c r="T16" i="5"/>
  <c r="BK7" i="5"/>
  <c r="AV14" i="5"/>
  <c r="JZ11" i="5"/>
  <c r="KA11" i="5" s="1"/>
  <c r="AF8" i="5"/>
  <c r="BD14" i="5"/>
  <c r="BH7" i="5"/>
  <c r="BA5" i="5"/>
  <c r="CD5" i="5"/>
  <c r="BJ5" i="5"/>
  <c r="BM7" i="5"/>
  <c r="BG5" i="5"/>
  <c r="BN8" i="5"/>
  <c r="W11" i="5"/>
  <c r="V11" i="5" s="1"/>
  <c r="HC11" i="5" s="1"/>
  <c r="AV8" i="5"/>
  <c r="AO8" i="5"/>
  <c r="AK8" i="5"/>
  <c r="AO11" i="5"/>
  <c r="BO11" i="5"/>
  <c r="BB14" i="5"/>
  <c r="BN14" i="5"/>
  <c r="JZ12" i="5"/>
  <c r="KB12" i="5" s="1"/>
  <c r="CE8" i="5"/>
  <c r="CE7" i="5"/>
  <c r="AR7" i="5"/>
  <c r="BC7" i="5"/>
  <c r="BJ8" i="5"/>
  <c r="BD8" i="5"/>
  <c r="AH5" i="5"/>
  <c r="BI7" i="5"/>
  <c r="BY5" i="5"/>
  <c r="AQ5" i="5"/>
  <c r="AS5" i="5"/>
  <c r="BN16" i="5"/>
  <c r="BA16" i="5"/>
  <c r="CD16" i="5"/>
  <c r="CB16" i="5"/>
  <c r="BH16" i="5"/>
  <c r="BW16" i="5"/>
  <c r="AQ16" i="5"/>
  <c r="CA16" i="5"/>
  <c r="BG16" i="5"/>
  <c r="AI16" i="5"/>
  <c r="BK16" i="5"/>
  <c r="AR16" i="5"/>
  <c r="AZ16" i="5"/>
  <c r="AP16" i="5"/>
  <c r="BC16" i="5"/>
  <c r="CE16" i="5"/>
  <c r="BF16" i="5"/>
  <c r="BY16" i="5"/>
  <c r="BV16" i="5"/>
  <c r="AF16" i="5"/>
  <c r="BT16" i="5"/>
  <c r="AW16" i="5"/>
  <c r="AG16" i="5"/>
  <c r="BB16" i="5"/>
  <c r="AL16" i="5"/>
  <c r="AV16" i="5"/>
  <c r="AX16" i="5"/>
  <c r="BX16" i="5"/>
  <c r="BS16" i="5"/>
  <c r="BO16" i="5"/>
  <c r="AJ16" i="5"/>
  <c r="AK16" i="5"/>
  <c r="AU16" i="5"/>
  <c r="CF16" i="5"/>
  <c r="BE16" i="5"/>
  <c r="BR16" i="5"/>
  <c r="BL16" i="5"/>
  <c r="AY16" i="5"/>
  <c r="BZ16" i="5"/>
  <c r="BQ16" i="5"/>
  <c r="BP16" i="5"/>
  <c r="AN16" i="5"/>
  <c r="CG16" i="5"/>
  <c r="BI16" i="5"/>
  <c r="AM16" i="5"/>
  <c r="CC16" i="5"/>
  <c r="AT16" i="5"/>
  <c r="BD16" i="5"/>
  <c r="AO16" i="5"/>
  <c r="AS16" i="5"/>
  <c r="BM16" i="5"/>
  <c r="BU16" i="5"/>
  <c r="BJ16" i="5"/>
  <c r="AD16" i="5"/>
  <c r="BJ13" i="5"/>
  <c r="BA13" i="5"/>
  <c r="BC13" i="5"/>
  <c r="BU13" i="5"/>
  <c r="BR13" i="5"/>
  <c r="AQ13" i="5"/>
  <c r="AY13" i="5"/>
  <c r="BT13" i="5"/>
  <c r="CA13" i="5"/>
  <c r="AR13" i="5"/>
  <c r="BW13" i="5"/>
  <c r="CC13" i="5"/>
  <c r="AO13" i="5"/>
  <c r="AV13" i="5"/>
  <c r="AW13" i="5"/>
  <c r="AX13" i="5"/>
  <c r="BB13" i="5"/>
  <c r="AK13" i="5"/>
  <c r="T10" i="5"/>
  <c r="S10" i="5"/>
  <c r="AF10" i="5" s="1"/>
  <c r="AM13" i="5"/>
  <c r="BO13" i="5"/>
  <c r="AT13" i="5"/>
  <c r="AN13" i="5"/>
  <c r="BF17" i="5"/>
  <c r="BD17" i="5"/>
  <c r="BW17" i="5"/>
  <c r="CE17" i="5"/>
  <c r="BG17" i="5"/>
  <c r="BT17" i="5"/>
  <c r="AW17" i="5"/>
  <c r="BI17" i="5"/>
  <c r="CD17" i="5"/>
  <c r="BA17" i="5"/>
  <c r="AX17" i="5"/>
  <c r="BQ17" i="5"/>
  <c r="BK17" i="5"/>
  <c r="BP17" i="5"/>
  <c r="BS13" i="5"/>
  <c r="BQ11" i="5"/>
  <c r="CA11" i="5"/>
  <c r="AC11" i="5"/>
  <c r="BZ11" i="5"/>
  <c r="AW11" i="5"/>
  <c r="BK11" i="5"/>
  <c r="AA11" i="5"/>
  <c r="CD11" i="5"/>
  <c r="BN11" i="5"/>
  <c r="AY11" i="5"/>
  <c r="AD11" i="5"/>
  <c r="CE11" i="5"/>
  <c r="CB11" i="5"/>
  <c r="AS11" i="5"/>
  <c r="AV11" i="5"/>
  <c r="AI11" i="5"/>
  <c r="Z11" i="5"/>
  <c r="AX11" i="5"/>
  <c r="BB11" i="5"/>
  <c r="AZ11" i="5"/>
  <c r="BE11" i="5"/>
  <c r="BU11" i="5"/>
  <c r="CC11" i="5"/>
  <c r="BX11" i="5"/>
  <c r="AQ11" i="5"/>
  <c r="AJ11" i="5"/>
  <c r="AG11" i="5"/>
  <c r="BR11" i="5"/>
  <c r="BP11" i="5"/>
  <c r="CF11" i="5"/>
  <c r="BC11" i="5"/>
  <c r="BL11" i="5"/>
  <c r="AE11" i="5"/>
  <c r="BF11" i="5"/>
  <c r="AB11" i="5"/>
  <c r="BV11" i="5"/>
  <c r="AH11" i="5"/>
  <c r="BI11" i="5"/>
  <c r="AR11" i="5"/>
  <c r="AK11" i="5"/>
  <c r="BM11" i="5"/>
  <c r="BH11" i="5"/>
  <c r="BD11" i="5"/>
  <c r="T9" i="5"/>
  <c r="S9" i="5"/>
  <c r="CC9" i="5" s="1"/>
  <c r="AN11" i="5"/>
  <c r="BS11" i="5"/>
  <c r="BT11" i="5"/>
  <c r="BC17" i="5"/>
  <c r="BA11" i="5"/>
  <c r="CF14" i="5"/>
  <c r="AQ14" i="5"/>
  <c r="BU8" i="5"/>
  <c r="AJ8" i="5"/>
  <c r="AE8" i="5"/>
  <c r="CA8" i="5"/>
  <c r="AZ14" i="5"/>
  <c r="BR14" i="5"/>
  <c r="CB8" i="5"/>
  <c r="CD8" i="5"/>
  <c r="BI8" i="5"/>
  <c r="AT14" i="5"/>
  <c r="BV8" i="5"/>
  <c r="AI8" i="5"/>
  <c r="BC8" i="5"/>
  <c r="AP8" i="5"/>
  <c r="BI14" i="5"/>
  <c r="BY8" i="5"/>
  <c r="AC8" i="5"/>
  <c r="BZ8" i="5"/>
  <c r="CC14" i="5"/>
  <c r="BS14" i="5"/>
  <c r="AH14" i="5"/>
  <c r="JZ10" i="5"/>
  <c r="KB10" i="5" s="1"/>
  <c r="BP8" i="5"/>
  <c r="AQ8" i="5"/>
  <c r="BT8" i="5"/>
  <c r="BG8" i="5"/>
  <c r="AY14" i="5"/>
  <c r="AU14" i="5"/>
  <c r="AJ14" i="5"/>
  <c r="BT14" i="5"/>
  <c r="BK8" i="5"/>
  <c r="AN8" i="5"/>
  <c r="AA8" i="5"/>
  <c r="BX8" i="5"/>
  <c r="AX14" i="5"/>
  <c r="BM14" i="5"/>
  <c r="BX14" i="5"/>
  <c r="CG14" i="5"/>
  <c r="BF8" i="5"/>
  <c r="BM8" i="5"/>
  <c r="BS8" i="5"/>
  <c r="BH8" i="5"/>
  <c r="BL14" i="5"/>
  <c r="CE14" i="5"/>
  <c r="BH14" i="5"/>
  <c r="BO14" i="5"/>
  <c r="AS8" i="5"/>
  <c r="AH8" i="5"/>
  <c r="AW8" i="5"/>
  <c r="AR8" i="5"/>
  <c r="AL14" i="5"/>
  <c r="BO17" i="5"/>
  <c r="AR14" i="5"/>
  <c r="AI14" i="5"/>
  <c r="AW14" i="5"/>
  <c r="BA8" i="5"/>
  <c r="BL8" i="5"/>
  <c r="Z8" i="5"/>
  <c r="AB8" i="5"/>
  <c r="BG14" i="5"/>
  <c r="AN14" i="5"/>
  <c r="BC14" i="5"/>
  <c r="AT8" i="5"/>
  <c r="AG8" i="5"/>
  <c r="BQ8" i="5"/>
  <c r="AY17" i="5"/>
  <c r="BJ17" i="5"/>
  <c r="BN17" i="5"/>
  <c r="CF17" i="5"/>
  <c r="AR17" i="5"/>
  <c r="BY17" i="5"/>
  <c r="BR17" i="5"/>
  <c r="AZ17" i="5"/>
  <c r="T17" i="5"/>
  <c r="AU17" i="5"/>
  <c r="CB17" i="5"/>
  <c r="BX17" i="5"/>
  <c r="AQ17" i="5"/>
  <c r="AT17" i="5"/>
  <c r="CG17" i="5"/>
  <c r="BZ17" i="5"/>
  <c r="AB14" i="5"/>
  <c r="AA14" i="5"/>
  <c r="JZ6" i="5"/>
  <c r="W6" i="5"/>
  <c r="T6" i="5"/>
  <c r="S6" i="5"/>
  <c r="AW6" i="5" s="1"/>
  <c r="AU13" i="5"/>
  <c r="BX13" i="5"/>
  <c r="V12" i="5"/>
  <c r="HC12" i="5" s="1"/>
  <c r="BD13" i="5"/>
  <c r="AS13" i="5"/>
  <c r="AV17" i="5"/>
  <c r="CA17" i="5"/>
  <c r="BE17" i="5"/>
  <c r="AZ13" i="5"/>
  <c r="BY13" i="5"/>
  <c r="CF13" i="5"/>
  <c r="BM17" i="5"/>
  <c r="T14" i="5"/>
  <c r="CB13" i="5"/>
  <c r="CG13" i="5"/>
  <c r="BE13" i="5"/>
  <c r="BM13" i="5"/>
  <c r="AP13" i="5"/>
  <c r="BU17" i="5"/>
  <c r="BH17" i="5"/>
  <c r="BP13" i="5"/>
  <c r="BF13" i="5"/>
  <c r="BG13" i="5"/>
  <c r="BI13" i="5"/>
  <c r="T12" i="5"/>
  <c r="AS17" i="5"/>
  <c r="BF14" i="5"/>
  <c r="BJ14" i="5"/>
  <c r="BP14" i="5"/>
  <c r="BQ14" i="5"/>
  <c r="AE14" i="5"/>
  <c r="BW14" i="5"/>
  <c r="BK14" i="5"/>
  <c r="BV14" i="5"/>
  <c r="AO14" i="5"/>
  <c r="CB14" i="5"/>
  <c r="AF14" i="5"/>
  <c r="AG14" i="5"/>
  <c r="AM14" i="5"/>
  <c r="AS14" i="5"/>
  <c r="CA14" i="5"/>
  <c r="CD14" i="5"/>
  <c r="AK14" i="5"/>
  <c r="AP14" i="5"/>
  <c r="BE14" i="5"/>
  <c r="BY14" i="5"/>
  <c r="BK13" i="5"/>
  <c r="BQ13" i="5"/>
  <c r="BZ13" i="5"/>
  <c r="AL13" i="5"/>
  <c r="BV13" i="5"/>
  <c r="CD13" i="5"/>
  <c r="BH13" i="5"/>
  <c r="CC17" i="5"/>
  <c r="BL13" i="5"/>
  <c r="BN13" i="5"/>
  <c r="CE13" i="5"/>
  <c r="AC16" i="5"/>
  <c r="BL17" i="5"/>
  <c r="CG15" i="5"/>
  <c r="CF15" i="5"/>
  <c r="W15" i="5"/>
  <c r="Z14" i="5"/>
  <c r="W14" i="5"/>
  <c r="V14" i="5" s="1"/>
  <c r="JZ14" i="5"/>
  <c r="Z16" i="5"/>
  <c r="U17" i="5"/>
  <c r="AM12" i="5"/>
  <c r="BC12" i="5"/>
  <c r="BS12" i="5"/>
  <c r="AK12" i="5"/>
  <c r="BB12" i="5"/>
  <c r="BT12" i="5"/>
  <c r="AA12" i="5"/>
  <c r="AR12" i="5"/>
  <c r="BI12" i="5"/>
  <c r="BZ12" i="5"/>
  <c r="AC12" i="5"/>
  <c r="AV12" i="5"/>
  <c r="BO12" i="5"/>
  <c r="AD12" i="5"/>
  <c r="AW12" i="5"/>
  <c r="BP12" i="5"/>
  <c r="AN12" i="5"/>
  <c r="BJ12" i="5"/>
  <c r="CE12" i="5"/>
  <c r="AO12" i="5"/>
  <c r="BK12" i="5"/>
  <c r="CF12" i="5"/>
  <c r="AL12" i="5"/>
  <c r="BM12" i="5"/>
  <c r="AP12" i="5"/>
  <c r="BN12" i="5"/>
  <c r="AX12" i="5"/>
  <c r="BW12" i="5"/>
  <c r="AY12" i="5"/>
  <c r="BX12" i="5"/>
  <c r="AG12" i="5"/>
  <c r="BQ12" i="5"/>
  <c r="AI12" i="5"/>
  <c r="BU12" i="5"/>
  <c r="AH12" i="5"/>
  <c r="BR12" i="5"/>
  <c r="AT12" i="5"/>
  <c r="CB12" i="5"/>
  <c r="AU12" i="5"/>
  <c r="CC12" i="5"/>
  <c r="BV12" i="5"/>
  <c r="Z12" i="5"/>
  <c r="BY12" i="5"/>
  <c r="AB12" i="5"/>
  <c r="CA12" i="5"/>
  <c r="AE12" i="5"/>
  <c r="CD12" i="5"/>
  <c r="AQ12" i="5"/>
  <c r="AS12" i="5"/>
  <c r="AZ12" i="5"/>
  <c r="BH12" i="5"/>
  <c r="BL12" i="5"/>
  <c r="CG12" i="5"/>
  <c r="BE12" i="5"/>
  <c r="BF12" i="5"/>
  <c r="AF12" i="5"/>
  <c r="AJ12" i="5"/>
  <c r="BA12" i="5"/>
  <c r="BD12" i="5"/>
  <c r="BG12" i="5"/>
  <c r="KB9" i="5"/>
  <c r="KA9" i="5"/>
  <c r="AE16" i="5"/>
  <c r="JZ15" i="5"/>
  <c r="W9" i="5"/>
  <c r="AQ15" i="5"/>
  <c r="AC14" i="5"/>
  <c r="CB15" i="5"/>
  <c r="AA16" i="5"/>
  <c r="W16" i="5"/>
  <c r="V16" i="5" s="1"/>
  <c r="JZ16" i="5"/>
  <c r="AB16" i="5"/>
  <c r="AH16" i="5"/>
  <c r="JS3" i="5"/>
  <c r="D15" i="1"/>
  <c r="M15" i="1"/>
  <c r="L15" i="1"/>
  <c r="K15" i="1"/>
  <c r="J15" i="1"/>
  <c r="F15" i="1"/>
  <c r="P15" i="1"/>
  <c r="JY15" i="1"/>
  <c r="JY16" i="1"/>
  <c r="JY17" i="1"/>
  <c r="JY18" i="1"/>
  <c r="JY19" i="1"/>
  <c r="JY20" i="1"/>
  <c r="JY21" i="1"/>
  <c r="JY22" i="1"/>
  <c r="JS14" i="1"/>
  <c r="JU14" i="1"/>
  <c r="JY14" i="1"/>
  <c r="JS15" i="1"/>
  <c r="JU15" i="1"/>
  <c r="JS16" i="1"/>
  <c r="JU16" i="1"/>
  <c r="JS17" i="1"/>
  <c r="JU17" i="1"/>
  <c r="JS18" i="1"/>
  <c r="JU18" i="1"/>
  <c r="JS19" i="1"/>
  <c r="JU19" i="1"/>
  <c r="JS20" i="1"/>
  <c r="JU20" i="1"/>
  <c r="JS21" i="1"/>
  <c r="JU21" i="1"/>
  <c r="JS22" i="1"/>
  <c r="JU22" i="1"/>
  <c r="C14" i="1"/>
  <c r="D14" i="1"/>
  <c r="E14" i="1"/>
  <c r="F14" i="1"/>
  <c r="H14" i="1"/>
  <c r="J14" i="1"/>
  <c r="K14" i="1"/>
  <c r="L14" i="1"/>
  <c r="M14" i="1"/>
  <c r="P14" i="1"/>
  <c r="C15" i="1"/>
  <c r="E15" i="1"/>
  <c r="H15" i="1"/>
  <c r="C16" i="1"/>
  <c r="D16" i="1"/>
  <c r="E16" i="1"/>
  <c r="F16" i="1"/>
  <c r="H16" i="1"/>
  <c r="J16" i="1"/>
  <c r="K16" i="1"/>
  <c r="L16" i="1"/>
  <c r="M16" i="1"/>
  <c r="P16" i="1"/>
  <c r="C17" i="1"/>
  <c r="D17" i="1"/>
  <c r="E17" i="1"/>
  <c r="F17" i="1"/>
  <c r="H17" i="1"/>
  <c r="J17" i="1"/>
  <c r="K17" i="1"/>
  <c r="L17" i="1"/>
  <c r="M17" i="1"/>
  <c r="P17" i="1"/>
  <c r="C18" i="1"/>
  <c r="D18" i="1"/>
  <c r="E18" i="1"/>
  <c r="F18" i="1"/>
  <c r="H18" i="1"/>
  <c r="J18" i="1"/>
  <c r="K18" i="1"/>
  <c r="L18" i="1"/>
  <c r="M18" i="1"/>
  <c r="P18" i="1"/>
  <c r="C19" i="1"/>
  <c r="D19" i="1"/>
  <c r="E19" i="1"/>
  <c r="F19" i="1"/>
  <c r="H19" i="1"/>
  <c r="J19" i="1"/>
  <c r="K19" i="1"/>
  <c r="L19" i="1"/>
  <c r="M19" i="1"/>
  <c r="P19" i="1"/>
  <c r="C20" i="1"/>
  <c r="D20" i="1"/>
  <c r="E20" i="1"/>
  <c r="F20" i="1"/>
  <c r="H20" i="1"/>
  <c r="J20" i="1"/>
  <c r="K20" i="1"/>
  <c r="L20" i="1"/>
  <c r="M20" i="1"/>
  <c r="P20" i="1"/>
  <c r="C21" i="1"/>
  <c r="D21" i="1"/>
  <c r="E21" i="1"/>
  <c r="F21" i="1"/>
  <c r="H21" i="1"/>
  <c r="J21" i="1"/>
  <c r="K21" i="1"/>
  <c r="L21" i="1"/>
  <c r="M21" i="1"/>
  <c r="P21" i="1"/>
  <c r="C22" i="1"/>
  <c r="D22" i="1"/>
  <c r="E22" i="1"/>
  <c r="F22" i="1"/>
  <c r="H22" i="1"/>
  <c r="J22" i="1"/>
  <c r="K22" i="1"/>
  <c r="L22" i="1"/>
  <c r="M22" i="1"/>
  <c r="P22" i="1"/>
  <c r="AI15" i="5" l="1"/>
  <c r="BK15" i="5"/>
  <c r="CA15" i="5"/>
  <c r="AS15" i="5"/>
  <c r="AO15" i="5"/>
  <c r="AA15" i="5"/>
  <c r="BA15" i="5"/>
  <c r="AF15" i="5"/>
  <c r="BU15" i="5"/>
  <c r="BN15" i="5"/>
  <c r="V15" i="5"/>
  <c r="HC15" i="5" s="1"/>
  <c r="AH15" i="5"/>
  <c r="AD15" i="5"/>
  <c r="CE15" i="5"/>
  <c r="AU15" i="5"/>
  <c r="AV15" i="5"/>
  <c r="Z15" i="5"/>
  <c r="AL15" i="5"/>
  <c r="BV15" i="5"/>
  <c r="AZ15" i="5"/>
  <c r="BZ15" i="5"/>
  <c r="BT15" i="5"/>
  <c r="BI15" i="5"/>
  <c r="AY15" i="5"/>
  <c r="AE15" i="5"/>
  <c r="AM15" i="5"/>
  <c r="CC15" i="5"/>
  <c r="BJ15" i="5"/>
  <c r="AJ15" i="5"/>
  <c r="BD15" i="5"/>
  <c r="BG15" i="5"/>
  <c r="BQ15" i="5"/>
  <c r="BY15" i="5"/>
  <c r="BW15" i="5"/>
  <c r="AR15" i="5"/>
  <c r="BF15" i="5"/>
  <c r="BP15" i="5"/>
  <c r="AP15" i="5"/>
  <c r="BE15" i="5"/>
  <c r="BC15" i="5"/>
  <c r="BB15" i="5"/>
  <c r="BO15" i="5"/>
  <c r="AX15" i="5"/>
  <c r="AJ7" i="5"/>
  <c r="AP7" i="5"/>
  <c r="AW15" i="5"/>
  <c r="AO7" i="5"/>
  <c r="AS7" i="5"/>
  <c r="AU7" i="5"/>
  <c r="AN7" i="5"/>
  <c r="AM7" i="5"/>
  <c r="AI7" i="5"/>
  <c r="AT7" i="5"/>
  <c r="KB11" i="5"/>
  <c r="KD11" i="5" s="1"/>
  <c r="KE11" i="5" s="1"/>
  <c r="BR15" i="5"/>
  <c r="BM15" i="5"/>
  <c r="BH15" i="5"/>
  <c r="BS15" i="5"/>
  <c r="AB15" i="5"/>
  <c r="AF7" i="5"/>
  <c r="AT15" i="5"/>
  <c r="AG15" i="5"/>
  <c r="AG9" i="5"/>
  <c r="BX15" i="5"/>
  <c r="BF10" i="5"/>
  <c r="AC15" i="5"/>
  <c r="BL15" i="5"/>
  <c r="AK15" i="5"/>
  <c r="KA12" i="5"/>
  <c r="AD9" i="5"/>
  <c r="BM9" i="5"/>
  <c r="AE7" i="5"/>
  <c r="AB9" i="5"/>
  <c r="AN15" i="5"/>
  <c r="AC7" i="5"/>
  <c r="KA8" i="5"/>
  <c r="AH9" i="5"/>
  <c r="AB7" i="5"/>
  <c r="BQ9" i="5"/>
  <c r="BR9" i="5"/>
  <c r="Y5" i="5"/>
  <c r="X5" i="5" s="1"/>
  <c r="CK5" i="5" s="1"/>
  <c r="ET5" i="5" s="1"/>
  <c r="HD5" i="5" s="1"/>
  <c r="BJ9" i="5"/>
  <c r="Z7" i="5"/>
  <c r="AG13" i="5"/>
  <c r="AS9" i="5"/>
  <c r="AY10" i="5"/>
  <c r="Z9" i="5"/>
  <c r="JZ7" i="5"/>
  <c r="KB7" i="5" s="1"/>
  <c r="AA7" i="5"/>
  <c r="BZ9" i="5"/>
  <c r="BE9" i="5"/>
  <c r="AJ10" i="5"/>
  <c r="HC8" i="5"/>
  <c r="W7" i="5"/>
  <c r="V7" i="5" s="1"/>
  <c r="Y7" i="5" s="1"/>
  <c r="AL9" i="5"/>
  <c r="AE9" i="5"/>
  <c r="BV9" i="5"/>
  <c r="BL9" i="5"/>
  <c r="AX10" i="5"/>
  <c r="Y12" i="5"/>
  <c r="CH12" i="5" s="1"/>
  <c r="CI12" i="5" s="1"/>
  <c r="AQ10" i="5"/>
  <c r="AF13" i="5"/>
  <c r="BX9" i="5"/>
  <c r="W13" i="5"/>
  <c r="V13" i="5" s="1"/>
  <c r="Y13" i="5" s="1"/>
  <c r="AP10" i="5"/>
  <c r="AE13" i="5"/>
  <c r="AI9" i="5"/>
  <c r="JZ13" i="5"/>
  <c r="KB13" i="5" s="1"/>
  <c r="AI13" i="5"/>
  <c r="AO10" i="5"/>
  <c r="BU9" i="5"/>
  <c r="AD13" i="5"/>
  <c r="AK10" i="5"/>
  <c r="BT10" i="5"/>
  <c r="AU9" i="5"/>
  <c r="AT9" i="5"/>
  <c r="BR10" i="5"/>
  <c r="Z10" i="5"/>
  <c r="BB10" i="5"/>
  <c r="KA10" i="5"/>
  <c r="AD10" i="5"/>
  <c r="BO10" i="5"/>
  <c r="BH10" i="5"/>
  <c r="BD10" i="5"/>
  <c r="AJ13" i="5"/>
  <c r="BW10" i="5"/>
  <c r="BE10" i="5"/>
  <c r="AE10" i="5"/>
  <c r="CE10" i="5"/>
  <c r="AN6" i="5"/>
  <c r="V10" i="5"/>
  <c r="Y10" i="5" s="1"/>
  <c r="BJ10" i="5"/>
  <c r="BJ6" i="5"/>
  <c r="Z13" i="5"/>
  <c r="AG10" i="5"/>
  <c r="BL10" i="5"/>
  <c r="AT10" i="5"/>
  <c r="KB5" i="5"/>
  <c r="KC5" i="5" s="1"/>
  <c r="JM5" i="5" s="1"/>
  <c r="AL6" i="5"/>
  <c r="BQ10" i="5"/>
  <c r="BU10" i="5"/>
  <c r="AZ10" i="5"/>
  <c r="BI10" i="5"/>
  <c r="BA10" i="5"/>
  <c r="AK6" i="5"/>
  <c r="AU10" i="5"/>
  <c r="AH10" i="5"/>
  <c r="AP9" i="5"/>
  <c r="BW9" i="5"/>
  <c r="BM10" i="5"/>
  <c r="BK6" i="5"/>
  <c r="CE6" i="5"/>
  <c r="AM10" i="5"/>
  <c r="AL10" i="5"/>
  <c r="BG10" i="5"/>
  <c r="AA9" i="5"/>
  <c r="BT9" i="5"/>
  <c r="AW9" i="5"/>
  <c r="CD10" i="5"/>
  <c r="AW10" i="5"/>
  <c r="BS6" i="5"/>
  <c r="BN6" i="5"/>
  <c r="AX6" i="5"/>
  <c r="AH6" i="5"/>
  <c r="CA10" i="5"/>
  <c r="BP9" i="5"/>
  <c r="CG9" i="5"/>
  <c r="CG10" i="5"/>
  <c r="BK10" i="5"/>
  <c r="AF6" i="5"/>
  <c r="CC6" i="5"/>
  <c r="BV10" i="5"/>
  <c r="BF9" i="5"/>
  <c r="BH9" i="5"/>
  <c r="CC10" i="5"/>
  <c r="BZ6" i="5"/>
  <c r="BM6" i="5"/>
  <c r="BB9" i="5"/>
  <c r="AJ9" i="5"/>
  <c r="AB13" i="5"/>
  <c r="BX6" i="5"/>
  <c r="AV10" i="5"/>
  <c r="BY10" i="5"/>
  <c r="AQ9" i="5"/>
  <c r="CB9" i="5"/>
  <c r="AA13" i="5"/>
  <c r="BU6" i="5"/>
  <c r="AH7" i="5"/>
  <c r="AD7" i="5"/>
  <c r="BS10" i="5"/>
  <c r="CB10" i="5"/>
  <c r="AR6" i="5"/>
  <c r="BC10" i="5"/>
  <c r="AB10" i="5"/>
  <c r="BN9" i="5"/>
  <c r="AR9" i="5"/>
  <c r="AC13" i="5"/>
  <c r="V6" i="5"/>
  <c r="HC6" i="5" s="1"/>
  <c r="Y11" i="5"/>
  <c r="CH11" i="5" s="1"/>
  <c r="CI11" i="5" s="1"/>
  <c r="AQ6" i="5"/>
  <c r="BO6" i="5"/>
  <c r="BQ6" i="5"/>
  <c r="V9" i="5"/>
  <c r="HC9" i="5" s="1"/>
  <c r="AC9" i="5"/>
  <c r="AY9" i="5"/>
  <c r="BK9" i="5"/>
  <c r="BD9" i="5"/>
  <c r="BB6" i="5"/>
  <c r="BP6" i="5"/>
  <c r="BR6" i="5"/>
  <c r="AI6" i="5"/>
  <c r="BD6" i="5"/>
  <c r="AV6" i="5"/>
  <c r="CF10" i="5"/>
  <c r="AR10" i="5"/>
  <c r="CA9" i="5"/>
  <c r="AV9" i="5"/>
  <c r="CF9" i="5"/>
  <c r="BS9" i="5"/>
  <c r="AS6" i="5"/>
  <c r="AD6" i="5"/>
  <c r="AB6" i="5"/>
  <c r="AE6" i="5"/>
  <c r="BF6" i="5"/>
  <c r="AG6" i="5"/>
  <c r="CD9" i="5"/>
  <c r="AX9" i="5"/>
  <c r="AO9" i="5"/>
  <c r="AK9" i="5"/>
  <c r="AT6" i="5"/>
  <c r="BT6" i="5"/>
  <c r="AU6" i="5"/>
  <c r="BZ10" i="5"/>
  <c r="AI10" i="5"/>
  <c r="BO9" i="5"/>
  <c r="BA9" i="5"/>
  <c r="BI9" i="5"/>
  <c r="BC9" i="5"/>
  <c r="BX10" i="5"/>
  <c r="BV6" i="5"/>
  <c r="AA6" i="5"/>
  <c r="CA6" i="5"/>
  <c r="BP10" i="5"/>
  <c r="AN10" i="5"/>
  <c r="BG9" i="5"/>
  <c r="AZ9" i="5"/>
  <c r="AN9" i="5"/>
  <c r="AM9" i="5"/>
  <c r="BN10" i="5"/>
  <c r="AZ6" i="5"/>
  <c r="CG6" i="5"/>
  <c r="BH6" i="5"/>
  <c r="AC10" i="5"/>
  <c r="AS10" i="5"/>
  <c r="AF9" i="5"/>
  <c r="BY9" i="5"/>
  <c r="CE9" i="5"/>
  <c r="AA10" i="5"/>
  <c r="AY6" i="5"/>
  <c r="BI6" i="5"/>
  <c r="AO6" i="5"/>
  <c r="AP6" i="5"/>
  <c r="BL6" i="5"/>
  <c r="CF6" i="5"/>
  <c r="BC6" i="5"/>
  <c r="CB6" i="5"/>
  <c r="Z6" i="5"/>
  <c r="BG6" i="5"/>
  <c r="AM6" i="5"/>
  <c r="BW6" i="5"/>
  <c r="BE6" i="5"/>
  <c r="AJ6" i="5"/>
  <c r="CD6" i="5"/>
  <c r="KB6" i="5"/>
  <c r="KA6" i="5"/>
  <c r="BY6" i="5"/>
  <c r="BA6" i="5"/>
  <c r="AC6" i="5"/>
  <c r="KA14" i="5"/>
  <c r="KB14" i="5"/>
  <c r="KC9" i="5"/>
  <c r="JM9" i="5" s="1"/>
  <c r="KD9" i="5"/>
  <c r="KE9" i="5" s="1"/>
  <c r="HC14" i="5"/>
  <c r="Y14" i="5"/>
  <c r="KC12" i="5"/>
  <c r="JM12" i="5" s="1"/>
  <c r="KD12" i="5"/>
  <c r="KE12" i="5" s="1"/>
  <c r="KC10" i="5"/>
  <c r="JM10" i="5" s="1"/>
  <c r="KD10" i="5"/>
  <c r="KE10" i="5" s="1"/>
  <c r="KC8" i="5"/>
  <c r="JM8" i="5" s="1"/>
  <c r="KD8" i="5"/>
  <c r="KE8" i="5" s="1"/>
  <c r="KA15" i="5"/>
  <c r="KB15" i="5"/>
  <c r="AM17" i="5"/>
  <c r="AN17" i="5"/>
  <c r="W17" i="5"/>
  <c r="V17" i="5" s="1"/>
  <c r="AB17" i="5"/>
  <c r="AD17" i="5"/>
  <c r="AF17" i="5"/>
  <c r="AL17" i="5"/>
  <c r="AI17" i="5"/>
  <c r="AG17" i="5"/>
  <c r="AH17" i="5"/>
  <c r="AO17" i="5"/>
  <c r="AK17" i="5"/>
  <c r="AE17" i="5"/>
  <c r="JZ17" i="5"/>
  <c r="AP17" i="5"/>
  <c r="AA17" i="5"/>
  <c r="AJ17" i="5"/>
  <c r="AC17" i="5"/>
  <c r="Z17" i="5"/>
  <c r="CH8" i="5"/>
  <c r="CI8" i="5" s="1"/>
  <c r="X8" i="5"/>
  <c r="CK8" i="5" s="1"/>
  <c r="ET8" i="5" s="1"/>
  <c r="HD8" i="5" s="1"/>
  <c r="KA16" i="5"/>
  <c r="KB16" i="5"/>
  <c r="HC16" i="5"/>
  <c r="Y16" i="5"/>
  <c r="R21" i="1"/>
  <c r="U21" i="1" s="1"/>
  <c r="JZ21" i="1" s="1"/>
  <c r="R17" i="1"/>
  <c r="U17" i="1" s="1"/>
  <c r="W17" i="1" s="1"/>
  <c r="R14" i="1"/>
  <c r="U14" i="1" s="1"/>
  <c r="JZ14" i="1" s="1"/>
  <c r="R20" i="1"/>
  <c r="U20" i="1" s="1"/>
  <c r="JZ20" i="1" s="1"/>
  <c r="R18" i="1"/>
  <c r="U18" i="1" s="1"/>
  <c r="Q22" i="1"/>
  <c r="S22" i="1" s="1"/>
  <c r="I22" i="1"/>
  <c r="I18" i="1"/>
  <c r="I16" i="1"/>
  <c r="R19" i="1"/>
  <c r="U19" i="1" s="1"/>
  <c r="W19" i="1" s="1"/>
  <c r="I21" i="1"/>
  <c r="Q14" i="1"/>
  <c r="I15" i="1"/>
  <c r="Q17" i="1"/>
  <c r="I19" i="1"/>
  <c r="Q18" i="1"/>
  <c r="R15" i="1"/>
  <c r="U15" i="1" s="1"/>
  <c r="R16" i="1"/>
  <c r="U16" i="1" s="1"/>
  <c r="JZ16" i="1" s="1"/>
  <c r="Q15" i="1"/>
  <c r="S15" i="1" s="1"/>
  <c r="Q20" i="1"/>
  <c r="Q16" i="1"/>
  <c r="S16" i="1" s="1"/>
  <c r="R22" i="1"/>
  <c r="U22" i="1" s="1"/>
  <c r="I17" i="1"/>
  <c r="Q21" i="1"/>
  <c r="Q19" i="1"/>
  <c r="S19" i="1" s="1"/>
  <c r="I20" i="1"/>
  <c r="I14" i="1"/>
  <c r="Y15" i="5" l="1"/>
  <c r="X15" i="5" s="1"/>
  <c r="CK15" i="5" s="1"/>
  <c r="ET15" i="5" s="1"/>
  <c r="HD15" i="5" s="1"/>
  <c r="KC11" i="5"/>
  <c r="JM11" i="5" s="1"/>
  <c r="Y6" i="5"/>
  <c r="X6" i="5" s="1"/>
  <c r="CK6" i="5" s="1"/>
  <c r="ET6" i="5" s="1"/>
  <c r="HD6" i="5" s="1"/>
  <c r="KA13" i="5"/>
  <c r="HC7" i="5"/>
  <c r="CH5" i="5"/>
  <c r="CI5" i="5" s="1"/>
  <c r="X12" i="5"/>
  <c r="CK12" i="5" s="1"/>
  <c r="ET12" i="5" s="1"/>
  <c r="HD12" i="5" s="1"/>
  <c r="CL12" i="5" s="1"/>
  <c r="EU12" i="5" s="1"/>
  <c r="HE12" i="5" s="1"/>
  <c r="HC13" i="5"/>
  <c r="KA7" i="5"/>
  <c r="HC10" i="5"/>
  <c r="KD5" i="5"/>
  <c r="KE5" i="5" s="1"/>
  <c r="X11" i="5"/>
  <c r="CK11" i="5" s="1"/>
  <c r="ET11" i="5" s="1"/>
  <c r="HD11" i="5" s="1"/>
  <c r="CL11" i="5" s="1"/>
  <c r="EU11" i="5" s="1"/>
  <c r="HE11" i="5" s="1"/>
  <c r="CM11" i="5" s="1"/>
  <c r="EV11" i="5" s="1"/>
  <c r="HF11" i="5" s="1"/>
  <c r="Y9" i="5"/>
  <c r="CH9" i="5" s="1"/>
  <c r="CI9" i="5" s="1"/>
  <c r="KC6" i="5"/>
  <c r="JM6" i="5" s="1"/>
  <c r="KD6" i="5"/>
  <c r="KE6" i="5" s="1"/>
  <c r="CL5" i="5"/>
  <c r="EU5" i="5" s="1"/>
  <c r="HE5" i="5" s="1"/>
  <c r="KC7" i="5"/>
  <c r="JM7" i="5" s="1"/>
  <c r="KD7" i="5"/>
  <c r="KE7" i="5" s="1"/>
  <c r="CH7" i="5"/>
  <c r="CI7" i="5" s="1"/>
  <c r="X7" i="5"/>
  <c r="CK7" i="5" s="1"/>
  <c r="ET7" i="5" s="1"/>
  <c r="HD7" i="5" s="1"/>
  <c r="CH13" i="5"/>
  <c r="CI13" i="5" s="1"/>
  <c r="X13" i="5"/>
  <c r="CK13" i="5" s="1"/>
  <c r="ET13" i="5" s="1"/>
  <c r="HD13" i="5" s="1"/>
  <c r="CH10" i="5"/>
  <c r="CI10" i="5" s="1"/>
  <c r="X10" i="5"/>
  <c r="CK10" i="5" s="1"/>
  <c r="ET10" i="5" s="1"/>
  <c r="HD10" i="5" s="1"/>
  <c r="JO8" i="5"/>
  <c r="JP8" i="5" s="1"/>
  <c r="JT8" i="5" s="1"/>
  <c r="JV8" i="5" s="1"/>
  <c r="Y17" i="5"/>
  <c r="HC17" i="5"/>
  <c r="X14" i="5"/>
  <c r="CK14" i="5" s="1"/>
  <c r="ET14" i="5" s="1"/>
  <c r="HD14" i="5" s="1"/>
  <c r="CH14" i="5"/>
  <c r="CI14" i="5" s="1"/>
  <c r="CH16" i="5"/>
  <c r="CI16" i="5" s="1"/>
  <c r="X16" i="5"/>
  <c r="CK16" i="5" s="1"/>
  <c r="ET16" i="5" s="1"/>
  <c r="HD16" i="5" s="1"/>
  <c r="KA17" i="5"/>
  <c r="KB17" i="5"/>
  <c r="CL8" i="5"/>
  <c r="EU8" i="5" s="1"/>
  <c r="HE8" i="5" s="1"/>
  <c r="KD13" i="5"/>
  <c r="KE13" i="5" s="1"/>
  <c r="KC13" i="5"/>
  <c r="JM13" i="5" s="1"/>
  <c r="KC16" i="5"/>
  <c r="JM16" i="5" s="1"/>
  <c r="KD16" i="5"/>
  <c r="KE16" i="5" s="1"/>
  <c r="KC15" i="5"/>
  <c r="JM15" i="5" s="1"/>
  <c r="KD15" i="5"/>
  <c r="KE15" i="5" s="1"/>
  <c r="KD14" i="5"/>
  <c r="KE14" i="5" s="1"/>
  <c r="KC14" i="5"/>
  <c r="JM14" i="5" s="1"/>
  <c r="W14" i="1"/>
  <c r="T21" i="1"/>
  <c r="BK16" i="1"/>
  <c r="T17" i="1"/>
  <c r="T14" i="1"/>
  <c r="BS15" i="1"/>
  <c r="AK22" i="1"/>
  <c r="JZ18" i="1"/>
  <c r="KA18" i="1" s="1"/>
  <c r="W18" i="1"/>
  <c r="S17" i="1"/>
  <c r="BC17" i="1" s="1"/>
  <c r="T18" i="1"/>
  <c r="W21" i="1"/>
  <c r="W20" i="1"/>
  <c r="KB20" i="1"/>
  <c r="KD20" i="1" s="1"/>
  <c r="KE20" i="1" s="1"/>
  <c r="KA20" i="1"/>
  <c r="AT16" i="1"/>
  <c r="CE16" i="1"/>
  <c r="BP16" i="1"/>
  <c r="AC22" i="1"/>
  <c r="T16" i="1"/>
  <c r="BP22" i="1"/>
  <c r="S18" i="1"/>
  <c r="BH18" i="1" s="1"/>
  <c r="AM15" i="1"/>
  <c r="AZ22" i="1"/>
  <c r="BT22" i="1"/>
  <c r="CB15" i="1"/>
  <c r="BG15" i="1"/>
  <c r="JZ17" i="1"/>
  <c r="KA17" i="1" s="1"/>
  <c r="BS22" i="1"/>
  <c r="AX15" i="1"/>
  <c r="AL15" i="1"/>
  <c r="CA15" i="1"/>
  <c r="BF15" i="1"/>
  <c r="AK15" i="1"/>
  <c r="AF16" i="1"/>
  <c r="AE16" i="1"/>
  <c r="AZ15" i="1"/>
  <c r="AZ16" i="1"/>
  <c r="CF15" i="1"/>
  <c r="AR16" i="1"/>
  <c r="AS22" i="1"/>
  <c r="BY15" i="1"/>
  <c r="AN16" i="1"/>
  <c r="BN15" i="1"/>
  <c r="AJ16" i="1"/>
  <c r="BL22" i="1"/>
  <c r="BK15" i="1"/>
  <c r="AU16" i="1"/>
  <c r="AD22" i="1"/>
  <c r="BJ15" i="1"/>
  <c r="Z16" i="1"/>
  <c r="BX22" i="1"/>
  <c r="BP15" i="1"/>
  <c r="BO16" i="1"/>
  <c r="BR15" i="1"/>
  <c r="AW15" i="1"/>
  <c r="AW22" i="1"/>
  <c r="S14" i="1"/>
  <c r="W15" i="1"/>
  <c r="V15" i="1" s="1"/>
  <c r="HC15" i="1" s="1"/>
  <c r="JZ15" i="1"/>
  <c r="AB15" i="1"/>
  <c r="AA15" i="1"/>
  <c r="JZ19" i="1"/>
  <c r="AJ19" i="1"/>
  <c r="AM19" i="1"/>
  <c r="AK19" i="1"/>
  <c r="AR19" i="1"/>
  <c r="AL19" i="1"/>
  <c r="AO19" i="1"/>
  <c r="AQ19" i="1"/>
  <c r="CG19" i="1"/>
  <c r="BC19" i="1"/>
  <c r="BM19" i="1"/>
  <c r="AZ19" i="1"/>
  <c r="T19" i="1"/>
  <c r="AI16" i="1"/>
  <c r="AQ16" i="1"/>
  <c r="AO16" i="1"/>
  <c r="BV16" i="1"/>
  <c r="BK19" i="1"/>
  <c r="AM16" i="1"/>
  <c r="AG19" i="1"/>
  <c r="CB16" i="1"/>
  <c r="BJ19" i="1"/>
  <c r="T20" i="1"/>
  <c r="S20" i="1"/>
  <c r="BG16" i="1"/>
  <c r="AF19" i="1"/>
  <c r="BL15" i="1"/>
  <c r="BH15" i="1"/>
  <c r="BW15" i="1"/>
  <c r="CC15" i="1"/>
  <c r="AQ15" i="1"/>
  <c r="AN15" i="1"/>
  <c r="BX15" i="1"/>
  <c r="BI15" i="1"/>
  <c r="AT15" i="1"/>
  <c r="CD15" i="1"/>
  <c r="CE15" i="1"/>
  <c r="AR15" i="1"/>
  <c r="BB15" i="1"/>
  <c r="BM15" i="1"/>
  <c r="BC15" i="1"/>
  <c r="BA15" i="1"/>
  <c r="BD15" i="1"/>
  <c r="BZ15" i="1"/>
  <c r="AL16" i="1"/>
  <c r="BH19" i="1"/>
  <c r="AP15" i="1"/>
  <c r="BE15" i="1"/>
  <c r="CA16" i="1"/>
  <c r="AD19" i="1"/>
  <c r="BV15" i="1"/>
  <c r="BO15" i="1"/>
  <c r="BF16" i="1"/>
  <c r="BZ19" i="1"/>
  <c r="AO15" i="1"/>
  <c r="AU15" i="1"/>
  <c r="AK16" i="1"/>
  <c r="AX19" i="1"/>
  <c r="BU15" i="1"/>
  <c r="BE16" i="1"/>
  <c r="BW16" i="1"/>
  <c r="BN19" i="1"/>
  <c r="BT15" i="1"/>
  <c r="BD16" i="1"/>
  <c r="BB16" i="1"/>
  <c r="AP19" i="1"/>
  <c r="BU19" i="1"/>
  <c r="AH15" i="1"/>
  <c r="BC16" i="1"/>
  <c r="AA16" i="1"/>
  <c r="BL19" i="1"/>
  <c r="BQ15" i="1"/>
  <c r="AH16" i="1"/>
  <c r="KA14" i="1"/>
  <c r="KB14" i="1"/>
  <c r="AV16" i="1"/>
  <c r="BY16" i="1"/>
  <c r="BT16" i="1"/>
  <c r="BQ16" i="1"/>
  <c r="AP16" i="1"/>
  <c r="BU16" i="1"/>
  <c r="BX16" i="1"/>
  <c r="AB16" i="1"/>
  <c r="BZ16" i="1"/>
  <c r="CG16" i="1"/>
  <c r="AW16" i="1"/>
  <c r="AY16" i="1"/>
  <c r="BN16" i="1"/>
  <c r="CC16" i="1"/>
  <c r="BR16" i="1"/>
  <c r="CF16" i="1"/>
  <c r="BM16" i="1"/>
  <c r="CD16" i="1"/>
  <c r="AC16" i="1"/>
  <c r="BA16" i="1"/>
  <c r="BL16" i="1"/>
  <c r="AX16" i="1"/>
  <c r="BI16" i="1"/>
  <c r="BH16" i="1"/>
  <c r="BS16" i="1"/>
  <c r="AD16" i="1"/>
  <c r="AS16" i="1"/>
  <c r="AG16" i="1"/>
  <c r="BJ16" i="1"/>
  <c r="W22" i="1"/>
  <c r="V22" i="1" s="1"/>
  <c r="JZ22" i="1"/>
  <c r="KA16" i="1"/>
  <c r="KB16" i="1"/>
  <c r="T22" i="1"/>
  <c r="T15" i="1"/>
  <c r="S21" i="1"/>
  <c r="BS21" i="1" s="1"/>
  <c r="W16" i="1"/>
  <c r="V16" i="1" s="1"/>
  <c r="Y16" i="1" s="1"/>
  <c r="X16" i="1" s="1"/>
  <c r="KB21" i="1"/>
  <c r="KA21" i="1"/>
  <c r="AY22" i="1"/>
  <c r="BV19" i="1"/>
  <c r="Z22" i="1"/>
  <c r="AY15" i="1"/>
  <c r="AV15" i="1"/>
  <c r="AS15" i="1"/>
  <c r="CG15" i="1"/>
  <c r="AU22" i="1"/>
  <c r="BR22" i="1"/>
  <c r="CE22" i="1"/>
  <c r="CF19" i="1"/>
  <c r="AR22" i="1"/>
  <c r="AB19" i="1"/>
  <c r="BM22" i="1"/>
  <c r="BE19" i="1"/>
  <c r="AS19" i="1"/>
  <c r="AM22" i="1"/>
  <c r="BU22" i="1"/>
  <c r="CC19" i="1"/>
  <c r="AA19" i="1"/>
  <c r="BS19" i="1"/>
  <c r="AD15" i="1"/>
  <c r="AE15" i="1"/>
  <c r="Z15" i="1"/>
  <c r="CD19" i="1"/>
  <c r="AI19" i="1"/>
  <c r="CE19" i="1"/>
  <c r="AI15" i="1"/>
  <c r="BN22" i="1"/>
  <c r="BA22" i="1"/>
  <c r="CB19" i="1"/>
  <c r="BD19" i="1"/>
  <c r="AY19" i="1"/>
  <c r="AT22" i="1"/>
  <c r="BF19" i="1"/>
  <c r="V19" i="1"/>
  <c r="BJ22" i="1"/>
  <c r="BI19" i="1"/>
  <c r="AO22" i="1"/>
  <c r="AN19" i="1"/>
  <c r="AV22" i="1"/>
  <c r="AN22" i="1"/>
  <c r="AG22" i="1"/>
  <c r="CA19" i="1"/>
  <c r="Z19" i="1"/>
  <c r="AE19" i="1"/>
  <c r="AH19" i="1"/>
  <c r="AU19" i="1"/>
  <c r="BD22" i="1"/>
  <c r="BE22" i="1"/>
  <c r="BG22" i="1"/>
  <c r="BH22" i="1"/>
  <c r="BQ22" i="1"/>
  <c r="BV22" i="1"/>
  <c r="AA22" i="1"/>
  <c r="BW22" i="1"/>
  <c r="AE22" i="1"/>
  <c r="CB22" i="1"/>
  <c r="AF22" i="1"/>
  <c r="AB22" i="1"/>
  <c r="BZ22" i="1"/>
  <c r="AX22" i="1"/>
  <c r="BO22" i="1"/>
  <c r="CC22" i="1"/>
  <c r="CD22" i="1"/>
  <c r="AH22" i="1"/>
  <c r="AI22" i="1"/>
  <c r="AP22" i="1"/>
  <c r="AQ22" i="1"/>
  <c r="CF22" i="1"/>
  <c r="CG22" i="1"/>
  <c r="BC22" i="1"/>
  <c r="AL22" i="1"/>
  <c r="AG15" i="1"/>
  <c r="BP19" i="1"/>
  <c r="BX19" i="1"/>
  <c r="AF15" i="1"/>
  <c r="BB19" i="1"/>
  <c r="BI22" i="1"/>
  <c r="BR19" i="1"/>
  <c r="BW19" i="1"/>
  <c r="BT19" i="1"/>
  <c r="AJ22" i="1"/>
  <c r="AC19" i="1"/>
  <c r="AV19" i="1"/>
  <c r="BF22" i="1"/>
  <c r="BA19" i="1"/>
  <c r="BK22" i="1"/>
  <c r="BY19" i="1"/>
  <c r="BO19" i="1"/>
  <c r="BY22" i="1"/>
  <c r="BG19" i="1"/>
  <c r="BQ19" i="1"/>
  <c r="AC15" i="1"/>
  <c r="AJ15" i="1"/>
  <c r="CA22" i="1"/>
  <c r="BB22" i="1"/>
  <c r="AW19" i="1"/>
  <c r="AT19" i="1"/>
  <c r="JY6" i="1"/>
  <c r="CH15" i="5" l="1"/>
  <c r="CI15" i="5" s="1"/>
  <c r="CH6" i="5"/>
  <c r="CI6" i="5" s="1"/>
  <c r="X9" i="5"/>
  <c r="CK9" i="5" s="1"/>
  <c r="ET9" i="5" s="1"/>
  <c r="HD9" i="5" s="1"/>
  <c r="CL9" i="5" s="1"/>
  <c r="EU9" i="5" s="1"/>
  <c r="HE9" i="5" s="1"/>
  <c r="JO13" i="5"/>
  <c r="JP13" i="5" s="1"/>
  <c r="JT13" i="5" s="1"/>
  <c r="JV13" i="5" s="1"/>
  <c r="CM5" i="5"/>
  <c r="EV5" i="5" s="1"/>
  <c r="HF5" i="5" s="1"/>
  <c r="CL6" i="5"/>
  <c r="EU6" i="5" s="1"/>
  <c r="HE6" i="5" s="1"/>
  <c r="JO6" i="5"/>
  <c r="JP6" i="5" s="1"/>
  <c r="JT6" i="5" s="1"/>
  <c r="JV6" i="5" s="1"/>
  <c r="CL7" i="5"/>
  <c r="EU7" i="5" s="1"/>
  <c r="HE7" i="5" s="1"/>
  <c r="CM8" i="5"/>
  <c r="EV8" i="5" s="1"/>
  <c r="HF8" i="5" s="1"/>
  <c r="CN11" i="5"/>
  <c r="EW11" i="5" s="1"/>
  <c r="HG11" i="5" s="1"/>
  <c r="JO11" i="5" s="1"/>
  <c r="JP11" i="5" s="1"/>
  <c r="JT11" i="5" s="1"/>
  <c r="JV11" i="5" s="1"/>
  <c r="JO15" i="5"/>
  <c r="JP15" i="5" s="1"/>
  <c r="JT15" i="5" s="1"/>
  <c r="JV15" i="5" s="1"/>
  <c r="CL10" i="5"/>
  <c r="EU10" i="5" s="1"/>
  <c r="HE10" i="5" s="1"/>
  <c r="JO10" i="5" s="1"/>
  <c r="JP10" i="5" s="1"/>
  <c r="JT10" i="5" s="1"/>
  <c r="JV10" i="5" s="1"/>
  <c r="CL14" i="5"/>
  <c r="EU14" i="5" s="1"/>
  <c r="HE14" i="5" s="1"/>
  <c r="CL15" i="5"/>
  <c r="EU15" i="5" s="1"/>
  <c r="HE15" i="5" s="1"/>
  <c r="CL13" i="5"/>
  <c r="EU13" i="5" s="1"/>
  <c r="HE13" i="5" s="1"/>
  <c r="X17" i="5"/>
  <c r="CK17" i="5" s="1"/>
  <c r="ET17" i="5" s="1"/>
  <c r="HD17" i="5" s="1"/>
  <c r="CH17" i="5"/>
  <c r="CI17" i="5" s="1"/>
  <c r="CL16" i="5"/>
  <c r="EU16" i="5" s="1"/>
  <c r="HE16" i="5" s="1"/>
  <c r="KC17" i="5"/>
  <c r="JM17" i="5" s="1"/>
  <c r="KD17" i="5"/>
  <c r="KE17" i="5" s="1"/>
  <c r="CM12" i="5"/>
  <c r="EV12" i="5" s="1"/>
  <c r="HF12" i="5" s="1"/>
  <c r="BK17" i="1"/>
  <c r="BX18" i="1"/>
  <c r="V14" i="1"/>
  <c r="Y14" i="1" s="1"/>
  <c r="X14" i="1" s="1"/>
  <c r="AD17" i="1"/>
  <c r="CF17" i="1"/>
  <c r="KB18" i="1"/>
  <c r="KC18" i="1" s="1"/>
  <c r="JM18" i="1" s="1"/>
  <c r="AB21" i="1"/>
  <c r="AD21" i="1"/>
  <c r="BT21" i="1"/>
  <c r="BH21" i="1"/>
  <c r="BN17" i="1"/>
  <c r="AP21" i="1"/>
  <c r="BA21" i="1"/>
  <c r="KC20" i="1"/>
  <c r="JM20" i="1" s="1"/>
  <c r="V20" i="1"/>
  <c r="Y20" i="1" s="1"/>
  <c r="X20" i="1" s="1"/>
  <c r="CB17" i="1"/>
  <c r="AQ17" i="1"/>
  <c r="CC17" i="1"/>
  <c r="AV17" i="1"/>
  <c r="BH17" i="1"/>
  <c r="BW17" i="1"/>
  <c r="AL17" i="1"/>
  <c r="BM17" i="1"/>
  <c r="BZ17" i="1"/>
  <c r="BI17" i="1"/>
  <c r="BE17" i="1"/>
  <c r="CE17" i="1"/>
  <c r="BV17" i="1"/>
  <c r="AS17" i="1"/>
  <c r="BT17" i="1"/>
  <c r="AW17" i="1"/>
  <c r="BF17" i="1"/>
  <c r="AJ17" i="1"/>
  <c r="BA17" i="1"/>
  <c r="BY17" i="1"/>
  <c r="AZ17" i="1"/>
  <c r="CD17" i="1"/>
  <c r="AO17" i="1"/>
  <c r="BD17" i="1"/>
  <c r="BO17" i="1"/>
  <c r="AE17" i="1"/>
  <c r="BJ17" i="1"/>
  <c r="AA21" i="1"/>
  <c r="V21" i="1"/>
  <c r="Y21" i="1" s="1"/>
  <c r="X21" i="1" s="1"/>
  <c r="AQ21" i="1"/>
  <c r="BB17" i="1"/>
  <c r="AX17" i="1"/>
  <c r="AI17" i="1"/>
  <c r="BX17" i="1"/>
  <c r="AY17" i="1"/>
  <c r="AT17" i="1"/>
  <c r="AH17" i="1"/>
  <c r="AC17" i="1"/>
  <c r="BP17" i="1"/>
  <c r="AB17" i="1"/>
  <c r="AU17" i="1"/>
  <c r="CA17" i="1"/>
  <c r="V17" i="1"/>
  <c r="HC17" i="1" s="1"/>
  <c r="AK17" i="1"/>
  <c r="BG17" i="1"/>
  <c r="BG18" i="1"/>
  <c r="CD18" i="1"/>
  <c r="AF17" i="1"/>
  <c r="AM17" i="1"/>
  <c r="AR20" i="1"/>
  <c r="BR17" i="1"/>
  <c r="Z17" i="1"/>
  <c r="BS17" i="1"/>
  <c r="AR17" i="1"/>
  <c r="AP17" i="1"/>
  <c r="AA17" i="1"/>
  <c r="CG17" i="1"/>
  <c r="AG17" i="1"/>
  <c r="BQ17" i="1"/>
  <c r="BL17" i="1"/>
  <c r="AT14" i="1"/>
  <c r="BC14" i="1"/>
  <c r="AK14" i="1"/>
  <c r="AM21" i="1"/>
  <c r="CF14" i="1"/>
  <c r="AX18" i="1"/>
  <c r="AR18" i="1"/>
  <c r="AZ18" i="1"/>
  <c r="BD18" i="1"/>
  <c r="BY18" i="1"/>
  <c r="BO18" i="1"/>
  <c r="BV14" i="1"/>
  <c r="AN21" i="1"/>
  <c r="BL18" i="1"/>
  <c r="AC21" i="1"/>
  <c r="AE21" i="1"/>
  <c r="AN17" i="1"/>
  <c r="BU17" i="1"/>
  <c r="BF21" i="1"/>
  <c r="AG21" i="1"/>
  <c r="BK21" i="1"/>
  <c r="BN18" i="1"/>
  <c r="CA18" i="1"/>
  <c r="BG21" i="1"/>
  <c r="BW21" i="1"/>
  <c r="AE18" i="1"/>
  <c r="BB18" i="1"/>
  <c r="BJ21" i="1"/>
  <c r="BI18" i="1"/>
  <c r="BQ18" i="1"/>
  <c r="BC18" i="1"/>
  <c r="BY21" i="1"/>
  <c r="BP21" i="1"/>
  <c r="AP18" i="1"/>
  <c r="AK18" i="1"/>
  <c r="BU18" i="1"/>
  <c r="AH21" i="1"/>
  <c r="KB17" i="1"/>
  <c r="KC17" i="1" s="1"/>
  <c r="JM17" i="1" s="1"/>
  <c r="AB18" i="1"/>
  <c r="AM18" i="1"/>
  <c r="AW18" i="1"/>
  <c r="AF21" i="1"/>
  <c r="BP18" i="1"/>
  <c r="BV18" i="1"/>
  <c r="AZ21" i="1"/>
  <c r="BK18" i="1"/>
  <c r="CE18" i="1"/>
  <c r="BC21" i="1"/>
  <c r="AQ18" i="1"/>
  <c r="AR21" i="1"/>
  <c r="BJ18" i="1"/>
  <c r="BZ18" i="1"/>
  <c r="AC18" i="1"/>
  <c r="AO18" i="1"/>
  <c r="BT18" i="1"/>
  <c r="AT21" i="1"/>
  <c r="BM21" i="1"/>
  <c r="AD18" i="1"/>
  <c r="AA18" i="1"/>
  <c r="AY18" i="1"/>
  <c r="CF21" i="1"/>
  <c r="AG18" i="1"/>
  <c r="CG18" i="1"/>
  <c r="BO21" i="1"/>
  <c r="BQ21" i="1"/>
  <c r="BB21" i="1"/>
  <c r="AG20" i="1"/>
  <c r="AS21" i="1"/>
  <c r="AT18" i="1"/>
  <c r="CB21" i="1"/>
  <c r="AW21" i="1"/>
  <c r="BI21" i="1"/>
  <c r="CF18" i="1"/>
  <c r="BF18" i="1"/>
  <c r="CA21" i="1"/>
  <c r="BA14" i="1"/>
  <c r="AA20" i="1"/>
  <c r="AS18" i="1"/>
  <c r="AH18" i="1"/>
  <c r="AF14" i="1"/>
  <c r="BS18" i="1"/>
  <c r="AN18" i="1"/>
  <c r="BM18" i="1"/>
  <c r="AI18" i="1"/>
  <c r="AF18" i="1"/>
  <c r="AL18" i="1"/>
  <c r="CC18" i="1"/>
  <c r="Z18" i="1"/>
  <c r="CB18" i="1"/>
  <c r="AJ18" i="1"/>
  <c r="V18" i="1"/>
  <c r="BE18" i="1"/>
  <c r="AV18" i="1"/>
  <c r="BR18" i="1"/>
  <c r="AU18" i="1"/>
  <c r="BW18" i="1"/>
  <c r="BA18" i="1"/>
  <c r="AY21" i="1"/>
  <c r="AG14" i="1"/>
  <c r="CB14" i="1"/>
  <c r="AD14" i="1"/>
  <c r="CG20" i="1"/>
  <c r="BU20" i="1"/>
  <c r="BM20" i="1"/>
  <c r="BY14" i="1"/>
  <c r="AP14" i="1"/>
  <c r="BT14" i="1"/>
  <c r="CG21" i="1"/>
  <c r="BZ21" i="1"/>
  <c r="AY20" i="1"/>
  <c r="AC20" i="1"/>
  <c r="AN20" i="1"/>
  <c r="AZ14" i="1"/>
  <c r="BW14" i="1"/>
  <c r="BN14" i="1"/>
  <c r="BR14" i="1"/>
  <c r="CD21" i="1"/>
  <c r="BD21" i="1"/>
  <c r="BE21" i="1"/>
  <c r="CD20" i="1"/>
  <c r="BN20" i="1"/>
  <c r="BJ20" i="1"/>
  <c r="BC20" i="1"/>
  <c r="CB20" i="1"/>
  <c r="BO14" i="1"/>
  <c r="CA14" i="1"/>
  <c r="AX14" i="1"/>
  <c r="CA20" i="1"/>
  <c r="BT20" i="1"/>
  <c r="BL20" i="1"/>
  <c r="AL14" i="1"/>
  <c r="AC14" i="1"/>
  <c r="CE20" i="1"/>
  <c r="Z20" i="1"/>
  <c r="AM20" i="1"/>
  <c r="AS14" i="1"/>
  <c r="BK20" i="1"/>
  <c r="CE14" i="1"/>
  <c r="BL21" i="1"/>
  <c r="Z21" i="1"/>
  <c r="BF14" i="1"/>
  <c r="CD14" i="1"/>
  <c r="AA14" i="1"/>
  <c r="AO20" i="1"/>
  <c r="BF20" i="1"/>
  <c r="BV20" i="1"/>
  <c r="AK21" i="1"/>
  <c r="AJ21" i="1"/>
  <c r="BE20" i="1"/>
  <c r="AT20" i="1"/>
  <c r="BD20" i="1"/>
  <c r="CE21" i="1"/>
  <c r="BY20" i="1"/>
  <c r="AQ20" i="1"/>
  <c r="AH14" i="1"/>
  <c r="AR14" i="1"/>
  <c r="BX20" i="1"/>
  <c r="BP20" i="1"/>
  <c r="AI14" i="1"/>
  <c r="CC14" i="1"/>
  <c r="AD20" i="1"/>
  <c r="AP20" i="1"/>
  <c r="BX14" i="1"/>
  <c r="BP14" i="1"/>
  <c r="BK14" i="1"/>
  <c r="AB14" i="1"/>
  <c r="BI20" i="1"/>
  <c r="AZ20" i="1"/>
  <c r="AO14" i="1"/>
  <c r="AO21" i="1"/>
  <c r="BN21" i="1"/>
  <c r="BL14" i="1"/>
  <c r="CC20" i="1"/>
  <c r="BD14" i="1"/>
  <c r="AV20" i="1"/>
  <c r="BB14" i="1"/>
  <c r="BZ14" i="1"/>
  <c r="CC21" i="1"/>
  <c r="CF20" i="1"/>
  <c r="BW20" i="1"/>
  <c r="AW20" i="1"/>
  <c r="Y15" i="1"/>
  <c r="AL21" i="1"/>
  <c r="AV21" i="1"/>
  <c r="BH14" i="1"/>
  <c r="BQ14" i="1"/>
  <c r="BH20" i="1"/>
  <c r="AV14" i="1"/>
  <c r="BG20" i="1"/>
  <c r="AH20" i="1"/>
  <c r="BM14" i="1"/>
  <c r="BI14" i="1"/>
  <c r="BS14" i="1"/>
  <c r="AX20" i="1"/>
  <c r="AN14" i="1"/>
  <c r="AY14" i="1"/>
  <c r="AK20" i="1"/>
  <c r="AF20" i="1"/>
  <c r="BX21" i="1"/>
  <c r="AM14" i="1"/>
  <c r="AE14" i="1"/>
  <c r="AI20" i="1"/>
  <c r="BR20" i="1"/>
  <c r="AU14" i="1"/>
  <c r="BE14" i="1"/>
  <c r="AU21" i="1"/>
  <c r="HC16" i="1"/>
  <c r="AS20" i="1"/>
  <c r="AJ20" i="1"/>
  <c r="AB20" i="1"/>
  <c r="BV21" i="1"/>
  <c r="BR21" i="1"/>
  <c r="AW14" i="1"/>
  <c r="AL20" i="1"/>
  <c r="BB20" i="1"/>
  <c r="BJ14" i="1"/>
  <c r="BG14" i="1"/>
  <c r="BA20" i="1"/>
  <c r="CG14" i="1"/>
  <c r="AJ14" i="1"/>
  <c r="AX21" i="1"/>
  <c r="AI21" i="1"/>
  <c r="BZ20" i="1"/>
  <c r="BS20" i="1"/>
  <c r="BO20" i="1"/>
  <c r="Z14" i="1"/>
  <c r="AQ14" i="1"/>
  <c r="BU14" i="1"/>
  <c r="AE20" i="1"/>
  <c r="BQ20" i="1"/>
  <c r="AU20" i="1"/>
  <c r="BU21" i="1"/>
  <c r="KA19" i="1"/>
  <c r="KB19" i="1"/>
  <c r="KC14" i="1"/>
  <c r="JM14" i="1" s="1"/>
  <c r="KD14" i="1"/>
  <c r="KE14" i="1" s="1"/>
  <c r="KC21" i="1"/>
  <c r="JM21" i="1" s="1"/>
  <c r="KD21" i="1"/>
  <c r="KE21" i="1" s="1"/>
  <c r="KD16" i="1"/>
  <c r="KE16" i="1" s="1"/>
  <c r="KC16" i="1"/>
  <c r="JM16" i="1" s="1"/>
  <c r="KA22" i="1"/>
  <c r="KB22" i="1"/>
  <c r="KA15" i="1"/>
  <c r="KB15" i="1"/>
  <c r="Y22" i="1"/>
  <c r="X22" i="1" s="1"/>
  <c r="HC22" i="1"/>
  <c r="HC19" i="1"/>
  <c r="Y19" i="1"/>
  <c r="X19" i="1" s="1"/>
  <c r="CH16" i="1"/>
  <c r="CI16" i="1" s="1"/>
  <c r="CK16" i="1"/>
  <c r="ET16" i="1" s="1"/>
  <c r="HD16" i="1" s="1"/>
  <c r="JY13" i="1"/>
  <c r="C13" i="1"/>
  <c r="D13" i="1"/>
  <c r="E13" i="1"/>
  <c r="F13" i="1"/>
  <c r="H13" i="1"/>
  <c r="J13" i="1"/>
  <c r="K13" i="1"/>
  <c r="L13" i="1"/>
  <c r="M13" i="1"/>
  <c r="P13" i="1"/>
  <c r="JS13" i="1"/>
  <c r="JU13" i="1"/>
  <c r="CH15" i="1" l="1"/>
  <c r="CI15" i="1" s="1"/>
  <c r="X15" i="1"/>
  <c r="CK15" i="1" s="1"/>
  <c r="ET15" i="1" s="1"/>
  <c r="HD15" i="1" s="1"/>
  <c r="CL15" i="1" s="1"/>
  <c r="EU15" i="1" s="1"/>
  <c r="HE15" i="1" s="1"/>
  <c r="CM7" i="5"/>
  <c r="EV7" i="5" s="1"/>
  <c r="HF7" i="5" s="1"/>
  <c r="CM6" i="5"/>
  <c r="EV6" i="5" s="1"/>
  <c r="HF6" i="5" s="1"/>
  <c r="CN5" i="5"/>
  <c r="EW5" i="5" s="1"/>
  <c r="HG5" i="5" s="1"/>
  <c r="CM16" i="5"/>
  <c r="EV16" i="5" s="1"/>
  <c r="HF16" i="5" s="1"/>
  <c r="CM14" i="5"/>
  <c r="EV14" i="5" s="1"/>
  <c r="HF14" i="5" s="1"/>
  <c r="CO11" i="5"/>
  <c r="EX11" i="5" s="1"/>
  <c r="HH11" i="5" s="1"/>
  <c r="CM13" i="5"/>
  <c r="EV13" i="5" s="1"/>
  <c r="HF13" i="5" s="1"/>
  <c r="CM9" i="5"/>
  <c r="EV9" i="5" s="1"/>
  <c r="HF9" i="5" s="1"/>
  <c r="JO9" i="5" s="1"/>
  <c r="JP9" i="5" s="1"/>
  <c r="JT9" i="5" s="1"/>
  <c r="JV9" i="5" s="1"/>
  <c r="CN8" i="5"/>
  <c r="EW8" i="5" s="1"/>
  <c r="HG8" i="5" s="1"/>
  <c r="CN12" i="5"/>
  <c r="EW12" i="5" s="1"/>
  <c r="HG12" i="5" s="1"/>
  <c r="CM10" i="5"/>
  <c r="EV10" i="5" s="1"/>
  <c r="HF10" i="5" s="1"/>
  <c r="CM15" i="5"/>
  <c r="EV15" i="5" s="1"/>
  <c r="HF15" i="5" s="1"/>
  <c r="CL17" i="5"/>
  <c r="EU17" i="5" s="1"/>
  <c r="HE17" i="5" s="1"/>
  <c r="HC14" i="1"/>
  <c r="CK14" i="1"/>
  <c r="ET14" i="1" s="1"/>
  <c r="HD14" i="1" s="1"/>
  <c r="CL14" i="1" s="1"/>
  <c r="EU14" i="1" s="1"/>
  <c r="HE14" i="1" s="1"/>
  <c r="CH14" i="1"/>
  <c r="CI14" i="1" s="1"/>
  <c r="KD18" i="1"/>
  <c r="KE18" i="1" s="1"/>
  <c r="HC20" i="1"/>
  <c r="HC21" i="1"/>
  <c r="Y17" i="1"/>
  <c r="KD17" i="1"/>
  <c r="KE17" i="1" s="1"/>
  <c r="CH20" i="1"/>
  <c r="CI20" i="1" s="1"/>
  <c r="Y18" i="1"/>
  <c r="X18" i="1" s="1"/>
  <c r="HC18" i="1"/>
  <c r="CK20" i="1"/>
  <c r="ET20" i="1" s="1"/>
  <c r="HD20" i="1" s="1"/>
  <c r="CL20" i="1" s="1"/>
  <c r="EU20" i="1" s="1"/>
  <c r="KC15" i="1"/>
  <c r="JM15" i="1" s="1"/>
  <c r="KD15" i="1"/>
  <c r="KE15" i="1" s="1"/>
  <c r="KC22" i="1"/>
  <c r="JM22" i="1" s="1"/>
  <c r="KD22" i="1"/>
  <c r="KE22" i="1" s="1"/>
  <c r="KC19" i="1"/>
  <c r="JM19" i="1" s="1"/>
  <c r="KD19" i="1"/>
  <c r="KE19" i="1" s="1"/>
  <c r="CK21" i="1"/>
  <c r="ET21" i="1" s="1"/>
  <c r="HD21" i="1" s="1"/>
  <c r="CH21" i="1"/>
  <c r="CI21" i="1" s="1"/>
  <c r="CH19" i="1"/>
  <c r="CI19" i="1" s="1"/>
  <c r="CK19" i="1"/>
  <c r="ET19" i="1" s="1"/>
  <c r="HD19" i="1" s="1"/>
  <c r="CL16" i="1"/>
  <c r="EU16" i="1" s="1"/>
  <c r="HE16" i="1" s="1"/>
  <c r="CK22" i="1"/>
  <c r="ET22" i="1" s="1"/>
  <c r="HD22" i="1" s="1"/>
  <c r="CH22" i="1"/>
  <c r="CI22" i="1" s="1"/>
  <c r="Q13" i="1"/>
  <c r="S13" i="1" s="1"/>
  <c r="I13" i="1"/>
  <c r="R13" i="1"/>
  <c r="U13" i="1" s="1"/>
  <c r="JZ13" i="1" s="1"/>
  <c r="CH17" i="1" l="1"/>
  <c r="CI17" i="1" s="1"/>
  <c r="X17" i="1"/>
  <c r="CK17" i="1" s="1"/>
  <c r="ET17" i="1" s="1"/>
  <c r="HD17" i="1" s="1"/>
  <c r="CL17" i="1" s="1"/>
  <c r="EU17" i="1" s="1"/>
  <c r="HE17" i="1" s="1"/>
  <c r="CM17" i="1" s="1"/>
  <c r="EV17" i="1" s="1"/>
  <c r="HF17" i="1" s="1"/>
  <c r="CO5" i="5"/>
  <c r="EX5" i="5" s="1"/>
  <c r="HH5" i="5" s="1"/>
  <c r="CN6" i="5"/>
  <c r="EW6" i="5" s="1"/>
  <c r="HG6" i="5" s="1"/>
  <c r="CN7" i="5"/>
  <c r="EW7" i="5" s="1"/>
  <c r="HG7" i="5" s="1"/>
  <c r="JO7" i="5" s="1"/>
  <c r="JP7" i="5" s="1"/>
  <c r="JT7" i="5" s="1"/>
  <c r="JV7" i="5" s="1"/>
  <c r="CO8" i="5"/>
  <c r="EX8" i="5" s="1"/>
  <c r="HH8" i="5" s="1"/>
  <c r="CN9" i="5"/>
  <c r="EW9" i="5" s="1"/>
  <c r="HG9" i="5" s="1"/>
  <c r="CN14" i="5"/>
  <c r="EW14" i="5" s="1"/>
  <c r="HG14" i="5" s="1"/>
  <c r="CN13" i="5"/>
  <c r="EW13" i="5" s="1"/>
  <c r="HG13" i="5" s="1"/>
  <c r="CN10" i="5"/>
  <c r="EW10" i="5" s="1"/>
  <c r="HG10" i="5" s="1"/>
  <c r="CO12" i="5"/>
  <c r="EX12" i="5" s="1"/>
  <c r="HH12" i="5" s="1"/>
  <c r="JO12" i="5" s="1"/>
  <c r="JP12" i="5" s="1"/>
  <c r="JT12" i="5" s="1"/>
  <c r="JV12" i="5" s="1"/>
  <c r="CP11" i="5"/>
  <c r="EY11" i="5" s="1"/>
  <c r="HI11" i="5" s="1"/>
  <c r="CM17" i="5"/>
  <c r="EV17" i="5" s="1"/>
  <c r="HF17" i="5" s="1"/>
  <c r="CN15" i="5"/>
  <c r="EW15" i="5" s="1"/>
  <c r="HG15" i="5" s="1"/>
  <c r="CN16" i="5"/>
  <c r="EW16" i="5" s="1"/>
  <c r="HG16" i="5" s="1"/>
  <c r="CH18" i="1"/>
  <c r="CI18" i="1" s="1"/>
  <c r="CK18" i="1"/>
  <c r="ET18" i="1" s="1"/>
  <c r="HD18" i="1" s="1"/>
  <c r="CL18" i="1" s="1"/>
  <c r="EU18" i="1" s="1"/>
  <c r="HE18" i="1" s="1"/>
  <c r="CM18" i="1" s="1"/>
  <c r="EV18" i="1" s="1"/>
  <c r="HF18" i="1" s="1"/>
  <c r="HE20" i="1"/>
  <c r="CM20" i="1" s="1"/>
  <c r="EV20" i="1" s="1"/>
  <c r="W13" i="1"/>
  <c r="V13" i="1" s="1"/>
  <c r="CM14" i="1"/>
  <c r="EV14" i="1" s="1"/>
  <c r="HF14" i="1" s="1"/>
  <c r="CM15" i="1"/>
  <c r="EV15" i="1" s="1"/>
  <c r="HF15" i="1" s="1"/>
  <c r="CL22" i="1"/>
  <c r="EU22" i="1" s="1"/>
  <c r="HE22" i="1" s="1"/>
  <c r="CM16" i="1"/>
  <c r="EV16" i="1" s="1"/>
  <c r="HF16" i="1" s="1"/>
  <c r="CL21" i="1"/>
  <c r="EU21" i="1" s="1"/>
  <c r="HE21" i="1" s="1"/>
  <c r="CL19" i="1"/>
  <c r="EU19" i="1" s="1"/>
  <c r="HE19" i="1" s="1"/>
  <c r="BJ13" i="1"/>
  <c r="T13" i="1"/>
  <c r="KA13" i="1"/>
  <c r="KB13" i="1"/>
  <c r="KD13" i="1" s="1"/>
  <c r="KE13" i="1" s="1"/>
  <c r="BQ13" i="1"/>
  <c r="BT13" i="1"/>
  <c r="BW13" i="1"/>
  <c r="AV13" i="1"/>
  <c r="BB13" i="1"/>
  <c r="BR13" i="1"/>
  <c r="AR13" i="1"/>
  <c r="AU13" i="1"/>
  <c r="CE13" i="1"/>
  <c r="AB13" i="1"/>
  <c r="AC13" i="1"/>
  <c r="BL13" i="1"/>
  <c r="BM13" i="1"/>
  <c r="AG13" i="1"/>
  <c r="BN13" i="1"/>
  <c r="BP13" i="1"/>
  <c r="BX13" i="1"/>
  <c r="AW13" i="1"/>
  <c r="AX13" i="1"/>
  <c r="CF13" i="1"/>
  <c r="AZ13" i="1"/>
  <c r="CG13" i="1"/>
  <c r="BC13" i="1"/>
  <c r="BK13" i="1"/>
  <c r="AD13" i="1"/>
  <c r="AF13" i="1"/>
  <c r="BO13" i="1"/>
  <c r="AI13" i="1"/>
  <c r="AS13" i="1"/>
  <c r="BU13" i="1"/>
  <c r="AT13" i="1"/>
  <c r="BV13" i="1"/>
  <c r="BA13" i="1"/>
  <c r="Z13" i="1"/>
  <c r="BD13" i="1"/>
  <c r="AA13" i="1"/>
  <c r="AH13" i="1"/>
  <c r="AP13" i="1"/>
  <c r="CC13" i="1"/>
  <c r="BI13" i="1"/>
  <c r="AO13" i="1"/>
  <c r="CB13" i="1"/>
  <c r="BH13" i="1"/>
  <c r="AN13" i="1"/>
  <c r="CA13" i="1"/>
  <c r="BG13" i="1"/>
  <c r="AM13" i="1"/>
  <c r="BZ13" i="1"/>
  <c r="BF13" i="1"/>
  <c r="AL13" i="1"/>
  <c r="BY13" i="1"/>
  <c r="AJ13" i="1"/>
  <c r="BE13" i="1"/>
  <c r="AQ13" i="1"/>
  <c r="AK13" i="1"/>
  <c r="BS13" i="1"/>
  <c r="AY13" i="1"/>
  <c r="CD13" i="1"/>
  <c r="AE13" i="1"/>
  <c r="CO6" i="5" l="1"/>
  <c r="EX6" i="5" s="1"/>
  <c r="HH6" i="5" s="1"/>
  <c r="CO7" i="5"/>
  <c r="EX7" i="5" s="1"/>
  <c r="HH7" i="5" s="1"/>
  <c r="CP5" i="5"/>
  <c r="EY5" i="5" s="1"/>
  <c r="HI5" i="5" s="1"/>
  <c r="JO5" i="5"/>
  <c r="JP5" i="5" s="1"/>
  <c r="JT5" i="5" s="1"/>
  <c r="JV5" i="5" s="1"/>
  <c r="CO10" i="5"/>
  <c r="EX10" i="5" s="1"/>
  <c r="HH10" i="5" s="1"/>
  <c r="CO14" i="5"/>
  <c r="EX14" i="5" s="1"/>
  <c r="HH14" i="5" s="1"/>
  <c r="JO14" i="5" s="1"/>
  <c r="JP14" i="5" s="1"/>
  <c r="JT14" i="5" s="1"/>
  <c r="JV14" i="5" s="1"/>
  <c r="CO9" i="5"/>
  <c r="EX9" i="5" s="1"/>
  <c r="HH9" i="5" s="1"/>
  <c r="CO16" i="5"/>
  <c r="EX16" i="5" s="1"/>
  <c r="HH16" i="5" s="1"/>
  <c r="CP8" i="5"/>
  <c r="EY8" i="5" s="1"/>
  <c r="HI8" i="5" s="1"/>
  <c r="CN17" i="5"/>
  <c r="EW17" i="5" s="1"/>
  <c r="HG17" i="5" s="1"/>
  <c r="CO15" i="5"/>
  <c r="EX15" i="5" s="1"/>
  <c r="HH15" i="5" s="1"/>
  <c r="CQ11" i="5"/>
  <c r="EZ11" i="5" s="1"/>
  <c r="HJ11" i="5" s="1"/>
  <c r="CP12" i="5"/>
  <c r="EY12" i="5" s="1"/>
  <c r="HI12" i="5" s="1"/>
  <c r="CO13" i="5"/>
  <c r="EX13" i="5" s="1"/>
  <c r="HH13" i="5" s="1"/>
  <c r="HF20" i="1"/>
  <c r="CN20" i="1" s="1"/>
  <c r="EW20" i="1" s="1"/>
  <c r="HG20" i="1" s="1"/>
  <c r="CN15" i="1"/>
  <c r="EW15" i="1" s="1"/>
  <c r="HG15" i="1" s="1"/>
  <c r="CN17" i="1"/>
  <c r="EW17" i="1" s="1"/>
  <c r="HG17" i="1" s="1"/>
  <c r="CN14" i="1"/>
  <c r="EW14" i="1" s="1"/>
  <c r="HG14" i="1" s="1"/>
  <c r="CN18" i="1"/>
  <c r="EW18" i="1" s="1"/>
  <c r="HG18" i="1" s="1"/>
  <c r="CN16" i="1"/>
  <c r="EW16" i="1" s="1"/>
  <c r="HG16" i="1" s="1"/>
  <c r="CM22" i="1"/>
  <c r="EV22" i="1" s="1"/>
  <c r="HF22" i="1" s="1"/>
  <c r="CM19" i="1"/>
  <c r="EV19" i="1" s="1"/>
  <c r="HF19" i="1" s="1"/>
  <c r="CM21" i="1"/>
  <c r="EV21" i="1" s="1"/>
  <c r="HF21" i="1" s="1"/>
  <c r="KC13" i="1"/>
  <c r="JM13" i="1" s="1"/>
  <c r="Y13" i="1"/>
  <c r="X13" i="1" s="1"/>
  <c r="HC13" i="1"/>
  <c r="CQ5" i="5" l="1"/>
  <c r="EZ5" i="5" s="1"/>
  <c r="HJ5" i="5" s="1"/>
  <c r="CP7" i="5"/>
  <c r="EY7" i="5" s="1"/>
  <c r="HI7" i="5" s="1"/>
  <c r="CP6" i="5"/>
  <c r="EY6" i="5" s="1"/>
  <c r="HI6" i="5" s="1"/>
  <c r="CQ12" i="5"/>
  <c r="EZ12" i="5" s="1"/>
  <c r="HJ12" i="5" s="1"/>
  <c r="CO17" i="5"/>
  <c r="EX17" i="5" s="1"/>
  <c r="HH17" i="5" s="1"/>
  <c r="JO17" i="5" s="1"/>
  <c r="JP17" i="5" s="1"/>
  <c r="JT17" i="5" s="1"/>
  <c r="JV17" i="5" s="1"/>
  <c r="CQ8" i="5"/>
  <c r="EZ8" i="5" s="1"/>
  <c r="HJ8" i="5" s="1"/>
  <c r="CP16" i="5"/>
  <c r="EY16" i="5" s="1"/>
  <c r="HI16" i="5" s="1"/>
  <c r="JO16" i="5" s="1"/>
  <c r="JP16" i="5" s="1"/>
  <c r="JT16" i="5" s="1"/>
  <c r="JV16" i="5" s="1"/>
  <c r="CP9" i="5"/>
  <c r="EY9" i="5" s="1"/>
  <c r="HI9" i="5" s="1"/>
  <c r="CP10" i="5"/>
  <c r="EY10" i="5" s="1"/>
  <c r="HI10" i="5" s="1"/>
  <c r="CP13" i="5"/>
  <c r="EY13" i="5" s="1"/>
  <c r="HI13" i="5" s="1"/>
  <c r="CP14" i="5"/>
  <c r="EY14" i="5" s="1"/>
  <c r="HI14" i="5" s="1"/>
  <c r="CR11" i="5"/>
  <c r="FA11" i="5" s="1"/>
  <c r="HK11" i="5" s="1"/>
  <c r="CP15" i="5"/>
  <c r="EY15" i="5" s="1"/>
  <c r="HI15" i="5" s="1"/>
  <c r="CN21" i="1"/>
  <c r="EW21" i="1" s="1"/>
  <c r="HG21" i="1" s="1"/>
  <c r="CN22" i="1"/>
  <c r="EW22" i="1" s="1"/>
  <c r="HG22" i="1" s="1"/>
  <c r="CO18" i="1"/>
  <c r="EX18" i="1" s="1"/>
  <c r="HH18" i="1" s="1"/>
  <c r="CN19" i="1"/>
  <c r="EW19" i="1" s="1"/>
  <c r="HG19" i="1" s="1"/>
  <c r="CO16" i="1"/>
  <c r="EX16" i="1" s="1"/>
  <c r="HH16" i="1" s="1"/>
  <c r="CO14" i="1"/>
  <c r="EX14" i="1" s="1"/>
  <c r="HH14" i="1" s="1"/>
  <c r="CO15" i="1"/>
  <c r="EX15" i="1" s="1"/>
  <c r="HH15" i="1" s="1"/>
  <c r="CO20" i="1"/>
  <c r="EX20" i="1" s="1"/>
  <c r="HH20" i="1" s="1"/>
  <c r="CO17" i="1"/>
  <c r="EX17" i="1" s="1"/>
  <c r="HH17" i="1" s="1"/>
  <c r="CK13" i="1"/>
  <c r="ET13" i="1" s="1"/>
  <c r="HD13" i="1" s="1"/>
  <c r="CH13" i="1"/>
  <c r="CI13" i="1" s="1"/>
  <c r="CQ7" i="5" l="1"/>
  <c r="EZ7" i="5" s="1"/>
  <c r="HJ7" i="5" s="1"/>
  <c r="CR5" i="5"/>
  <c r="FA5" i="5" s="1"/>
  <c r="HK5" i="5" s="1"/>
  <c r="CQ6" i="5"/>
  <c r="EZ6" i="5" s="1"/>
  <c r="HJ6" i="5" s="1"/>
  <c r="CQ14" i="5"/>
  <c r="EZ14" i="5" s="1"/>
  <c r="HJ14" i="5" s="1"/>
  <c r="CQ15" i="5"/>
  <c r="EZ15" i="5" s="1"/>
  <c r="HJ15" i="5" s="1"/>
  <c r="CQ13" i="5"/>
  <c r="EZ13" i="5" s="1"/>
  <c r="HJ13" i="5" s="1"/>
  <c r="CQ16" i="5"/>
  <c r="EZ16" i="5" s="1"/>
  <c r="HJ16" i="5" s="1"/>
  <c r="CP17" i="5"/>
  <c r="EY17" i="5" s="1"/>
  <c r="HI17" i="5" s="1"/>
  <c r="CR12" i="5"/>
  <c r="FA12" i="5" s="1"/>
  <c r="HK12" i="5" s="1"/>
  <c r="CQ10" i="5"/>
  <c r="EZ10" i="5" s="1"/>
  <c r="HJ10" i="5" s="1"/>
  <c r="CQ9" i="5"/>
  <c r="EZ9" i="5" s="1"/>
  <c r="HJ9" i="5" s="1"/>
  <c r="CR8" i="5"/>
  <c r="FA8" i="5" s="1"/>
  <c r="HK8" i="5" s="1"/>
  <c r="CS11" i="5"/>
  <c r="FB11" i="5" s="1"/>
  <c r="HL11" i="5" s="1"/>
  <c r="CP20" i="1"/>
  <c r="EY20" i="1" s="1"/>
  <c r="HI20" i="1" s="1"/>
  <c r="CP14" i="1"/>
  <c r="EY14" i="1" s="1"/>
  <c r="HI14" i="1" s="1"/>
  <c r="CO19" i="1"/>
  <c r="EX19" i="1" s="1"/>
  <c r="HH19" i="1" s="1"/>
  <c r="CP17" i="1"/>
  <c r="EY17" i="1" s="1"/>
  <c r="HI17" i="1" s="1"/>
  <c r="CP15" i="1"/>
  <c r="EY15" i="1" s="1"/>
  <c r="HI15" i="1" s="1"/>
  <c r="CP16" i="1"/>
  <c r="EY16" i="1" s="1"/>
  <c r="HI16" i="1" s="1"/>
  <c r="CP18" i="1"/>
  <c r="EY18" i="1" s="1"/>
  <c r="HI18" i="1" s="1"/>
  <c r="CO22" i="1"/>
  <c r="EX22" i="1" s="1"/>
  <c r="HH22" i="1" s="1"/>
  <c r="CO21" i="1"/>
  <c r="EX21" i="1" s="1"/>
  <c r="HH21" i="1" s="1"/>
  <c r="CL13" i="1"/>
  <c r="EU13" i="1" s="1"/>
  <c r="HE13" i="1" s="1"/>
  <c r="CR6" i="5" l="1"/>
  <c r="FA6" i="5" s="1"/>
  <c r="HK6" i="5" s="1"/>
  <c r="CS5" i="5"/>
  <c r="FB5" i="5" s="1"/>
  <c r="HL5" i="5" s="1"/>
  <c r="CR7" i="5"/>
  <c r="FA7" i="5" s="1"/>
  <c r="HK7" i="5" s="1"/>
  <c r="CS8" i="5"/>
  <c r="FB8" i="5" s="1"/>
  <c r="HL8" i="5" s="1"/>
  <c r="CR9" i="5"/>
  <c r="FA9" i="5" s="1"/>
  <c r="HK9" i="5" s="1"/>
  <c r="CR10" i="5"/>
  <c r="FA10" i="5" s="1"/>
  <c r="HK10" i="5" s="1"/>
  <c r="CS12" i="5"/>
  <c r="FB12" i="5" s="1"/>
  <c r="HL12" i="5" s="1"/>
  <c r="CQ17" i="5"/>
  <c r="EZ17" i="5" s="1"/>
  <c r="HJ17" i="5" s="1"/>
  <c r="CR13" i="5"/>
  <c r="FA13" i="5" s="1"/>
  <c r="HK13" i="5" s="1"/>
  <c r="CR15" i="5"/>
  <c r="FA15" i="5" s="1"/>
  <c r="HK15" i="5" s="1"/>
  <c r="CR14" i="5"/>
  <c r="FA14" i="5" s="1"/>
  <c r="HK14" i="5" s="1"/>
  <c r="CT11" i="5"/>
  <c r="FC11" i="5" s="1"/>
  <c r="HM11" i="5" s="1"/>
  <c r="CR16" i="5"/>
  <c r="FA16" i="5" s="1"/>
  <c r="HK16" i="5" s="1"/>
  <c r="CQ18" i="1"/>
  <c r="EZ18" i="1" s="1"/>
  <c r="HJ18" i="1" s="1"/>
  <c r="CQ17" i="1"/>
  <c r="EZ17" i="1" s="1"/>
  <c r="HJ17" i="1" s="1"/>
  <c r="CP21" i="1"/>
  <c r="EY21" i="1" s="1"/>
  <c r="HI21" i="1" s="1"/>
  <c r="CP22" i="1"/>
  <c r="EY22" i="1" s="1"/>
  <c r="HI22" i="1" s="1"/>
  <c r="CQ16" i="1"/>
  <c r="EZ16" i="1" s="1"/>
  <c r="HJ16" i="1" s="1"/>
  <c r="CQ15" i="1"/>
  <c r="EZ15" i="1" s="1"/>
  <c r="HJ15" i="1" s="1"/>
  <c r="CP19" i="1"/>
  <c r="EY19" i="1" s="1"/>
  <c r="HI19" i="1" s="1"/>
  <c r="CQ20" i="1"/>
  <c r="EZ20" i="1" s="1"/>
  <c r="HJ20" i="1" s="1"/>
  <c r="CQ14" i="1"/>
  <c r="EZ14" i="1" s="1"/>
  <c r="HJ14" i="1" s="1"/>
  <c r="CM13" i="1"/>
  <c r="EV13" i="1" s="1"/>
  <c r="HF13" i="1" s="1"/>
  <c r="JS12" i="1"/>
  <c r="JU12" i="1"/>
  <c r="C12" i="1"/>
  <c r="D12" i="1"/>
  <c r="E12" i="1"/>
  <c r="F12" i="1"/>
  <c r="H12" i="1"/>
  <c r="J12" i="1"/>
  <c r="K12" i="1"/>
  <c r="L12" i="1"/>
  <c r="M12" i="1"/>
  <c r="P12" i="1"/>
  <c r="CS7" i="5" l="1"/>
  <c r="FB7" i="5" s="1"/>
  <c r="HL7" i="5" s="1"/>
  <c r="CT5" i="5"/>
  <c r="FC5" i="5" s="1"/>
  <c r="HM5" i="5" s="1"/>
  <c r="CS6" i="5"/>
  <c r="FB6" i="5" s="1"/>
  <c r="HL6" i="5" s="1"/>
  <c r="CT12" i="5"/>
  <c r="FC12" i="5" s="1"/>
  <c r="HM12" i="5" s="1"/>
  <c r="CS10" i="5"/>
  <c r="FB10" i="5" s="1"/>
  <c r="HL10" i="5" s="1"/>
  <c r="CU11" i="5"/>
  <c r="FD11" i="5" s="1"/>
  <c r="HN11" i="5" s="1"/>
  <c r="CS14" i="5"/>
  <c r="FB14" i="5" s="1"/>
  <c r="HL14" i="5" s="1"/>
  <c r="CR17" i="5"/>
  <c r="FA17" i="5" s="1"/>
  <c r="HK17" i="5" s="1"/>
  <c r="CT8" i="5"/>
  <c r="FC8" i="5" s="1"/>
  <c r="HM8" i="5" s="1"/>
  <c r="CS13" i="5"/>
  <c r="FB13" i="5" s="1"/>
  <c r="HL13" i="5" s="1"/>
  <c r="CS15" i="5"/>
  <c r="FB15" i="5" s="1"/>
  <c r="HL15" i="5" s="1"/>
  <c r="CS16" i="5"/>
  <c r="FB16" i="5" s="1"/>
  <c r="HL16" i="5" s="1"/>
  <c r="CS9" i="5"/>
  <c r="FB9" i="5" s="1"/>
  <c r="HL9" i="5" s="1"/>
  <c r="CR14" i="1"/>
  <c r="FA14" i="1" s="1"/>
  <c r="HK14" i="1" s="1"/>
  <c r="CR20" i="1"/>
  <c r="FA20" i="1" s="1"/>
  <c r="HK20" i="1" s="1"/>
  <c r="CR15" i="1"/>
  <c r="FA15" i="1" s="1"/>
  <c r="HK15" i="1" s="1"/>
  <c r="CR17" i="1"/>
  <c r="FA17" i="1" s="1"/>
  <c r="HK17" i="1" s="1"/>
  <c r="CQ19" i="1"/>
  <c r="EZ19" i="1" s="1"/>
  <c r="HJ19" i="1" s="1"/>
  <c r="CR16" i="1"/>
  <c r="FA16" i="1" s="1"/>
  <c r="HK16" i="1" s="1"/>
  <c r="CQ22" i="1"/>
  <c r="EZ22" i="1" s="1"/>
  <c r="HJ22" i="1" s="1"/>
  <c r="CQ21" i="1"/>
  <c r="EZ21" i="1" s="1"/>
  <c r="HJ21" i="1" s="1"/>
  <c r="CR18" i="1"/>
  <c r="FA18" i="1" s="1"/>
  <c r="HK18" i="1" s="1"/>
  <c r="CN13" i="1"/>
  <c r="EW13" i="1" s="1"/>
  <c r="HG13" i="1" s="1"/>
  <c r="R12" i="1"/>
  <c r="U12" i="1" s="1"/>
  <c r="Q12" i="1"/>
  <c r="S12" i="1" s="1"/>
  <c r="I12" i="1"/>
  <c r="CT7" i="5" l="1"/>
  <c r="FC7" i="5" s="1"/>
  <c r="HM7" i="5" s="1"/>
  <c r="CT6" i="5"/>
  <c r="FC6" i="5" s="1"/>
  <c r="HM6" i="5" s="1"/>
  <c r="CU5" i="5"/>
  <c r="FD5" i="5" s="1"/>
  <c r="HN5" i="5" s="1"/>
  <c r="CT14" i="5"/>
  <c r="FC14" i="5" s="1"/>
  <c r="HM14" i="5" s="1"/>
  <c r="CU8" i="5"/>
  <c r="FD8" i="5" s="1"/>
  <c r="HN8" i="5" s="1"/>
  <c r="CT10" i="5"/>
  <c r="FC10" i="5" s="1"/>
  <c r="HM10" i="5" s="1"/>
  <c r="CS17" i="5"/>
  <c r="FB17" i="5" s="1"/>
  <c r="HL17" i="5" s="1"/>
  <c r="CV11" i="5"/>
  <c r="FE11" i="5" s="1"/>
  <c r="HO11" i="5" s="1"/>
  <c r="CU12" i="5"/>
  <c r="FD12" i="5" s="1"/>
  <c r="HN12" i="5" s="1"/>
  <c r="CT9" i="5"/>
  <c r="FC9" i="5" s="1"/>
  <c r="HM9" i="5" s="1"/>
  <c r="CT13" i="5"/>
  <c r="FC13" i="5" s="1"/>
  <c r="HM13" i="5" s="1"/>
  <c r="CT15" i="5"/>
  <c r="FC15" i="5" s="1"/>
  <c r="HM15" i="5" s="1"/>
  <c r="CT16" i="5"/>
  <c r="FC16" i="5" s="1"/>
  <c r="HM16" i="5" s="1"/>
  <c r="CR22" i="1"/>
  <c r="FA22" i="1" s="1"/>
  <c r="HK22" i="1" s="1"/>
  <c r="CS16" i="1"/>
  <c r="FB16" i="1" s="1"/>
  <c r="HL16" i="1" s="1"/>
  <c r="CS17" i="1"/>
  <c r="FB17" i="1" s="1"/>
  <c r="HL17" i="1" s="1"/>
  <c r="CR21" i="1"/>
  <c r="FA21" i="1" s="1"/>
  <c r="HK21" i="1" s="1"/>
  <c r="CR19" i="1"/>
  <c r="FA19" i="1" s="1"/>
  <c r="HK19" i="1" s="1"/>
  <c r="CS15" i="1"/>
  <c r="FB15" i="1" s="1"/>
  <c r="HL15" i="1" s="1"/>
  <c r="CS20" i="1"/>
  <c r="FB20" i="1" s="1"/>
  <c r="HL20" i="1" s="1"/>
  <c r="CS18" i="1"/>
  <c r="FB18" i="1" s="1"/>
  <c r="HL18" i="1" s="1"/>
  <c r="CS14" i="1"/>
  <c r="FB14" i="1" s="1"/>
  <c r="HL14" i="1" s="1"/>
  <c r="CO13" i="1"/>
  <c r="EX13" i="1" s="1"/>
  <c r="HH13" i="1" s="1"/>
  <c r="T12" i="1"/>
  <c r="BG12" i="1"/>
  <c r="AM12" i="1"/>
  <c r="CG12" i="1"/>
  <c r="BM12" i="1"/>
  <c r="AS12" i="1"/>
  <c r="CF12" i="1"/>
  <c r="BU12" i="1"/>
  <c r="BT12" i="1"/>
  <c r="AY12" i="1"/>
  <c r="BV12" i="1"/>
  <c r="BB12" i="1"/>
  <c r="AH12" i="1"/>
  <c r="BA12" i="1"/>
  <c r="AZ12" i="1"/>
  <c r="BS12" i="1"/>
  <c r="AG12" i="1"/>
  <c r="CE12" i="1"/>
  <c r="BK12" i="1"/>
  <c r="BL12" i="1"/>
  <c r="AR12" i="1"/>
  <c r="AQ12" i="1"/>
  <c r="CD12" i="1"/>
  <c r="BJ12" i="1"/>
  <c r="AP12" i="1"/>
  <c r="CB12" i="1"/>
  <c r="CC12" i="1"/>
  <c r="AN12" i="1"/>
  <c r="AO12" i="1"/>
  <c r="AV12" i="1"/>
  <c r="CA12" i="1"/>
  <c r="BI12" i="1"/>
  <c r="BH12" i="1"/>
  <c r="W12" i="1"/>
  <c r="V12" i="1" s="1"/>
  <c r="Y12" i="1" s="1"/>
  <c r="X12" i="1" s="1"/>
  <c r="AF12" i="1"/>
  <c r="AE12" i="1"/>
  <c r="AT12" i="1"/>
  <c r="AU12" i="1"/>
  <c r="AA12" i="1"/>
  <c r="BW12" i="1"/>
  <c r="BY12" i="1"/>
  <c r="AL12" i="1"/>
  <c r="BD12" i="1"/>
  <c r="BE12" i="1"/>
  <c r="BP12" i="1"/>
  <c r="BR12" i="1"/>
  <c r="BX12" i="1"/>
  <c r="BZ12" i="1"/>
  <c r="AW12" i="1"/>
  <c r="AX12" i="1"/>
  <c r="BC12" i="1"/>
  <c r="BO12" i="1"/>
  <c r="BQ12" i="1"/>
  <c r="AI12" i="1"/>
  <c r="AK12" i="1"/>
  <c r="BN12" i="1"/>
  <c r="Z12" i="1"/>
  <c r="AB12" i="1"/>
  <c r="AD12" i="1"/>
  <c r="AJ12" i="1"/>
  <c r="BF12" i="1"/>
  <c r="AC12" i="1"/>
  <c r="CU7" i="5" l="1"/>
  <c r="FD7" i="5" s="1"/>
  <c r="HN7" i="5" s="1"/>
  <c r="CV5" i="5"/>
  <c r="FE5" i="5" s="1"/>
  <c r="HO5" i="5" s="1"/>
  <c r="CU6" i="5"/>
  <c r="FD6" i="5" s="1"/>
  <c r="HN6" i="5" s="1"/>
  <c r="CU16" i="5"/>
  <c r="FD16" i="5" s="1"/>
  <c r="HN16" i="5" s="1"/>
  <c r="CU13" i="5"/>
  <c r="FD13" i="5" s="1"/>
  <c r="HN13" i="5" s="1"/>
  <c r="CV12" i="5"/>
  <c r="FE12" i="5" s="1"/>
  <c r="HO12" i="5" s="1"/>
  <c r="CW11" i="5"/>
  <c r="FF11" i="5" s="1"/>
  <c r="HP11" i="5" s="1"/>
  <c r="CT17" i="5"/>
  <c r="FC17" i="5" s="1"/>
  <c r="HM17" i="5" s="1"/>
  <c r="CV8" i="5"/>
  <c r="FE8" i="5" s="1"/>
  <c r="HO8" i="5" s="1"/>
  <c r="CU14" i="5"/>
  <c r="FD14" i="5" s="1"/>
  <c r="HN14" i="5" s="1"/>
  <c r="CU9" i="5"/>
  <c r="FD9" i="5" s="1"/>
  <c r="HN9" i="5" s="1"/>
  <c r="CU10" i="5"/>
  <c r="FD10" i="5" s="1"/>
  <c r="HN10" i="5" s="1"/>
  <c r="CU15" i="5"/>
  <c r="FD15" i="5" s="1"/>
  <c r="HN15" i="5" s="1"/>
  <c r="CT14" i="1"/>
  <c r="FC14" i="1" s="1"/>
  <c r="HM14" i="1" s="1"/>
  <c r="CT15" i="1"/>
  <c r="FC15" i="1" s="1"/>
  <c r="HM15" i="1" s="1"/>
  <c r="CT16" i="1"/>
  <c r="FC16" i="1" s="1"/>
  <c r="HM16" i="1" s="1"/>
  <c r="CT20" i="1"/>
  <c r="FC20" i="1" s="1"/>
  <c r="HM20" i="1" s="1"/>
  <c r="CS21" i="1"/>
  <c r="FB21" i="1" s="1"/>
  <c r="HL21" i="1" s="1"/>
  <c r="CT17" i="1"/>
  <c r="FC17" i="1" s="1"/>
  <c r="HM17" i="1" s="1"/>
  <c r="CS22" i="1"/>
  <c r="FB22" i="1" s="1"/>
  <c r="HL22" i="1" s="1"/>
  <c r="CT18" i="1"/>
  <c r="FC18" i="1" s="1"/>
  <c r="HM18" i="1" s="1"/>
  <c r="CS19" i="1"/>
  <c r="FB19" i="1" s="1"/>
  <c r="HL19" i="1" s="1"/>
  <c r="CP13" i="1"/>
  <c r="EY13" i="1" s="1"/>
  <c r="HI13" i="1" s="1"/>
  <c r="JO13" i="1" s="1"/>
  <c r="JP13" i="1" s="1"/>
  <c r="JT13" i="1" s="1"/>
  <c r="JV13" i="1" s="1"/>
  <c r="HC12" i="1"/>
  <c r="CK12" i="1"/>
  <c r="ET12" i="1" s="1"/>
  <c r="HD12" i="1" s="1"/>
  <c r="CH12" i="1"/>
  <c r="CI12" i="1" s="1"/>
  <c r="CW5" i="5" l="1"/>
  <c r="FF5" i="5" s="1"/>
  <c r="HP5" i="5" s="1"/>
  <c r="CV7" i="5"/>
  <c r="FE7" i="5" s="1"/>
  <c r="HO7" i="5" s="1"/>
  <c r="CV6" i="5"/>
  <c r="FE6" i="5" s="1"/>
  <c r="HO6" i="5" s="1"/>
  <c r="CV9" i="5"/>
  <c r="FE9" i="5" s="1"/>
  <c r="HO9" i="5" s="1"/>
  <c r="CW8" i="5"/>
  <c r="FF8" i="5" s="1"/>
  <c r="HP8" i="5" s="1"/>
  <c r="CX11" i="5"/>
  <c r="FG11" i="5" s="1"/>
  <c r="HQ11" i="5" s="1"/>
  <c r="CW12" i="5"/>
  <c r="FF12" i="5" s="1"/>
  <c r="HP12" i="5" s="1"/>
  <c r="CV14" i="5"/>
  <c r="FE14" i="5" s="1"/>
  <c r="HO14" i="5" s="1"/>
  <c r="CU17" i="5"/>
  <c r="FD17" i="5" s="1"/>
  <c r="HN17" i="5" s="1"/>
  <c r="CV15" i="5"/>
  <c r="FE15" i="5" s="1"/>
  <c r="HO15" i="5" s="1"/>
  <c r="CV13" i="5"/>
  <c r="FE13" i="5" s="1"/>
  <c r="HO13" i="5" s="1"/>
  <c r="CV10" i="5"/>
  <c r="FE10" i="5" s="1"/>
  <c r="HO10" i="5" s="1"/>
  <c r="CV16" i="5"/>
  <c r="FE16" i="5" s="1"/>
  <c r="HO16" i="5" s="1"/>
  <c r="CU18" i="1"/>
  <c r="FD18" i="1" s="1"/>
  <c r="HN18" i="1" s="1"/>
  <c r="CT22" i="1"/>
  <c r="FC22" i="1" s="1"/>
  <c r="HM22" i="1" s="1"/>
  <c r="CT21" i="1"/>
  <c r="FC21" i="1" s="1"/>
  <c r="HM21" i="1" s="1"/>
  <c r="CU15" i="1"/>
  <c r="FD15" i="1" s="1"/>
  <c r="HN15" i="1" s="1"/>
  <c r="CT19" i="1"/>
  <c r="FC19" i="1" s="1"/>
  <c r="HM19" i="1" s="1"/>
  <c r="CU17" i="1"/>
  <c r="FD17" i="1" s="1"/>
  <c r="HN17" i="1" s="1"/>
  <c r="CU20" i="1"/>
  <c r="FD20" i="1" s="1"/>
  <c r="HN20" i="1" s="1"/>
  <c r="CU16" i="1"/>
  <c r="FD16" i="1" s="1"/>
  <c r="HN16" i="1" s="1"/>
  <c r="CU14" i="1"/>
  <c r="FD14" i="1" s="1"/>
  <c r="HN14" i="1" s="1"/>
  <c r="CQ13" i="1"/>
  <c r="EZ13" i="1" s="1"/>
  <c r="HJ13" i="1" s="1"/>
  <c r="CL12" i="1"/>
  <c r="EU12" i="1" s="1"/>
  <c r="HE12" i="1" s="1"/>
  <c r="CX5" i="5" l="1"/>
  <c r="FG5" i="5" s="1"/>
  <c r="HQ5" i="5" s="1"/>
  <c r="CW7" i="5"/>
  <c r="FF7" i="5" s="1"/>
  <c r="HP7" i="5" s="1"/>
  <c r="CW6" i="5"/>
  <c r="FF6" i="5" s="1"/>
  <c r="HP6" i="5" s="1"/>
  <c r="CW10" i="5"/>
  <c r="FF10" i="5" s="1"/>
  <c r="HP10" i="5" s="1"/>
  <c r="CW16" i="5"/>
  <c r="FF16" i="5" s="1"/>
  <c r="HP16" i="5" s="1"/>
  <c r="CX8" i="5"/>
  <c r="FG8" i="5" s="1"/>
  <c r="HQ8" i="5" s="1"/>
  <c r="CW13" i="5"/>
  <c r="FF13" i="5" s="1"/>
  <c r="HP13" i="5" s="1"/>
  <c r="CW14" i="5"/>
  <c r="FF14" i="5" s="1"/>
  <c r="HP14" i="5" s="1"/>
  <c r="CY11" i="5"/>
  <c r="FH11" i="5" s="1"/>
  <c r="HR11" i="5" s="1"/>
  <c r="CW9" i="5"/>
  <c r="FF9" i="5" s="1"/>
  <c r="HP9" i="5" s="1"/>
  <c r="CW15" i="5"/>
  <c r="FF15" i="5" s="1"/>
  <c r="HP15" i="5" s="1"/>
  <c r="CV17" i="5"/>
  <c r="FE17" i="5" s="1"/>
  <c r="HO17" i="5" s="1"/>
  <c r="CX12" i="5"/>
  <c r="FG12" i="5" s="1"/>
  <c r="HQ12" i="5" s="1"/>
  <c r="CV14" i="1"/>
  <c r="FE14" i="1" s="1"/>
  <c r="HO14" i="1" s="1"/>
  <c r="CV16" i="1"/>
  <c r="FE16" i="1" s="1"/>
  <c r="HO16" i="1" s="1"/>
  <c r="CU19" i="1"/>
  <c r="FD19" i="1" s="1"/>
  <c r="HN19" i="1" s="1"/>
  <c r="CV20" i="1"/>
  <c r="FE20" i="1" s="1"/>
  <c r="HO20" i="1" s="1"/>
  <c r="CV17" i="1"/>
  <c r="FE17" i="1" s="1"/>
  <c r="HO17" i="1" s="1"/>
  <c r="CV15" i="1"/>
  <c r="FE15" i="1" s="1"/>
  <c r="HO15" i="1" s="1"/>
  <c r="CU22" i="1"/>
  <c r="FD22" i="1" s="1"/>
  <c r="HN22" i="1" s="1"/>
  <c r="CV18" i="1"/>
  <c r="FE18" i="1" s="1"/>
  <c r="HO18" i="1" s="1"/>
  <c r="CU21" i="1"/>
  <c r="FD21" i="1" s="1"/>
  <c r="HN21" i="1" s="1"/>
  <c r="CR13" i="1"/>
  <c r="FA13" i="1" s="1"/>
  <c r="HK13" i="1" s="1"/>
  <c r="CM12" i="1"/>
  <c r="EV12" i="1" s="1"/>
  <c r="HF12" i="1" s="1"/>
  <c r="CY5" i="5" l="1"/>
  <c r="FH5" i="5" s="1"/>
  <c r="HR5" i="5" s="1"/>
  <c r="CX7" i="5"/>
  <c r="FG7" i="5" s="1"/>
  <c r="HQ7" i="5" s="1"/>
  <c r="CX6" i="5"/>
  <c r="FG6" i="5" s="1"/>
  <c r="HQ6" i="5" s="1"/>
  <c r="CX9" i="5"/>
  <c r="FG9" i="5" s="1"/>
  <c r="HQ9" i="5" s="1"/>
  <c r="CZ11" i="5"/>
  <c r="FI11" i="5" s="1"/>
  <c r="HS11" i="5" s="1"/>
  <c r="CX14" i="5"/>
  <c r="FG14" i="5" s="1"/>
  <c r="HQ14" i="5" s="1"/>
  <c r="CX13" i="5"/>
  <c r="FG13" i="5" s="1"/>
  <c r="HQ13" i="5" s="1"/>
  <c r="CY8" i="5"/>
  <c r="FH8" i="5" s="1"/>
  <c r="HR8" i="5" s="1"/>
  <c r="CX16" i="5"/>
  <c r="FG16" i="5" s="1"/>
  <c r="HQ16" i="5" s="1"/>
  <c r="CX10" i="5"/>
  <c r="FG10" i="5" s="1"/>
  <c r="HQ10" i="5" s="1"/>
  <c r="CX15" i="5"/>
  <c r="FG15" i="5" s="1"/>
  <c r="HQ15" i="5" s="1"/>
  <c r="CY12" i="5"/>
  <c r="FH12" i="5" s="1"/>
  <c r="HR12" i="5" s="1"/>
  <c r="CW17" i="5"/>
  <c r="FF17" i="5" s="1"/>
  <c r="HP17" i="5" s="1"/>
  <c r="CW18" i="1"/>
  <c r="FF18" i="1" s="1"/>
  <c r="HP18" i="1" s="1"/>
  <c r="CW15" i="1"/>
  <c r="FF15" i="1" s="1"/>
  <c r="HP15" i="1" s="1"/>
  <c r="CW17" i="1"/>
  <c r="FF17" i="1" s="1"/>
  <c r="HP17" i="1" s="1"/>
  <c r="CW16" i="1"/>
  <c r="FF16" i="1" s="1"/>
  <c r="HP16" i="1" s="1"/>
  <c r="CV21" i="1"/>
  <c r="FE21" i="1" s="1"/>
  <c r="HO21" i="1" s="1"/>
  <c r="CW20" i="1"/>
  <c r="FF20" i="1" s="1"/>
  <c r="HP20" i="1" s="1"/>
  <c r="CV19" i="1"/>
  <c r="FE19" i="1" s="1"/>
  <c r="HO19" i="1" s="1"/>
  <c r="CW14" i="1"/>
  <c r="FF14" i="1" s="1"/>
  <c r="HP14" i="1" s="1"/>
  <c r="CV22" i="1"/>
  <c r="FE22" i="1" s="1"/>
  <c r="HO22" i="1" s="1"/>
  <c r="CS13" i="1"/>
  <c r="FB13" i="1" s="1"/>
  <c r="HL13" i="1" s="1"/>
  <c r="CN12" i="1"/>
  <c r="EW12" i="1" s="1"/>
  <c r="HG12" i="1" s="1"/>
  <c r="CY7" i="5" l="1"/>
  <c r="FH7" i="5" s="1"/>
  <c r="HR7" i="5" s="1"/>
  <c r="CY6" i="5"/>
  <c r="FH6" i="5" s="1"/>
  <c r="HR6" i="5" s="1"/>
  <c r="CZ5" i="5"/>
  <c r="FI5" i="5" s="1"/>
  <c r="HS5" i="5" s="1"/>
  <c r="CX17" i="5"/>
  <c r="FG17" i="5" s="1"/>
  <c r="HQ17" i="5" s="1"/>
  <c r="CZ12" i="5"/>
  <c r="FI12" i="5" s="1"/>
  <c r="HS12" i="5" s="1"/>
  <c r="CY15" i="5"/>
  <c r="FH15" i="5" s="1"/>
  <c r="HR15" i="5" s="1"/>
  <c r="DA11" i="5"/>
  <c r="FJ11" i="5" s="1"/>
  <c r="HT11" i="5" s="1"/>
  <c r="CY14" i="5"/>
  <c r="FH14" i="5" s="1"/>
  <c r="HR14" i="5" s="1"/>
  <c r="CY9" i="5"/>
  <c r="FH9" i="5" s="1"/>
  <c r="HR9" i="5" s="1"/>
  <c r="CY16" i="5"/>
  <c r="FH16" i="5" s="1"/>
  <c r="HR16" i="5" s="1"/>
  <c r="CY10" i="5"/>
  <c r="FH10" i="5" s="1"/>
  <c r="HR10" i="5" s="1"/>
  <c r="CZ8" i="5"/>
  <c r="FI8" i="5" s="1"/>
  <c r="HS8" i="5" s="1"/>
  <c r="CY13" i="5"/>
  <c r="FH13" i="5" s="1"/>
  <c r="HR13" i="5" s="1"/>
  <c r="CW22" i="1"/>
  <c r="FF22" i="1" s="1"/>
  <c r="HP22" i="1" s="1"/>
  <c r="CW19" i="1"/>
  <c r="FF19" i="1" s="1"/>
  <c r="HP19" i="1" s="1"/>
  <c r="CW21" i="1"/>
  <c r="FF21" i="1" s="1"/>
  <c r="HP21" i="1" s="1"/>
  <c r="CX14" i="1"/>
  <c r="FG14" i="1" s="1"/>
  <c r="HQ14" i="1" s="1"/>
  <c r="CX20" i="1"/>
  <c r="FG20" i="1" s="1"/>
  <c r="HQ20" i="1" s="1"/>
  <c r="CX16" i="1"/>
  <c r="FG16" i="1" s="1"/>
  <c r="HQ16" i="1" s="1"/>
  <c r="CX17" i="1"/>
  <c r="FG17" i="1" s="1"/>
  <c r="HQ17" i="1" s="1"/>
  <c r="CX18" i="1"/>
  <c r="FG18" i="1" s="1"/>
  <c r="HQ18" i="1" s="1"/>
  <c r="CX15" i="1"/>
  <c r="FG15" i="1" s="1"/>
  <c r="HQ15" i="1" s="1"/>
  <c r="CT13" i="1"/>
  <c r="FC13" i="1" s="1"/>
  <c r="HM13" i="1" s="1"/>
  <c r="CO12" i="1"/>
  <c r="EX12" i="1" s="1"/>
  <c r="HH12" i="1" s="1"/>
  <c r="DA5" i="5" l="1"/>
  <c r="FJ5" i="5" s="1"/>
  <c r="HT5" i="5" s="1"/>
  <c r="CZ6" i="5"/>
  <c r="FI6" i="5" s="1"/>
  <c r="HS6" i="5" s="1"/>
  <c r="CZ7" i="5"/>
  <c r="FI7" i="5" s="1"/>
  <c r="HS7" i="5" s="1"/>
  <c r="CZ13" i="5"/>
  <c r="FI13" i="5" s="1"/>
  <c r="HS13" i="5" s="1"/>
  <c r="DA8" i="5"/>
  <c r="FJ8" i="5" s="1"/>
  <c r="HT8" i="5" s="1"/>
  <c r="CZ10" i="5"/>
  <c r="FI10" i="5" s="1"/>
  <c r="HS10" i="5" s="1"/>
  <c r="DB11" i="5"/>
  <c r="FK11" i="5" s="1"/>
  <c r="HU11" i="5" s="1"/>
  <c r="CZ15" i="5"/>
  <c r="FI15" i="5" s="1"/>
  <c r="HS15" i="5" s="1"/>
  <c r="DA12" i="5"/>
  <c r="FJ12" i="5" s="1"/>
  <c r="HT12" i="5" s="1"/>
  <c r="CY17" i="5"/>
  <c r="FH17" i="5" s="1"/>
  <c r="HR17" i="5" s="1"/>
  <c r="CZ9" i="5"/>
  <c r="FI9" i="5" s="1"/>
  <c r="HS9" i="5" s="1"/>
  <c r="CZ16" i="5"/>
  <c r="FI16" i="5" s="1"/>
  <c r="HS16" i="5" s="1"/>
  <c r="CZ14" i="5"/>
  <c r="FI14" i="5" s="1"/>
  <c r="HS14" i="5" s="1"/>
  <c r="CY17" i="1"/>
  <c r="FH17" i="1" s="1"/>
  <c r="HR17" i="1" s="1"/>
  <c r="CY18" i="1"/>
  <c r="FH18" i="1" s="1"/>
  <c r="HR18" i="1" s="1"/>
  <c r="CY20" i="1"/>
  <c r="FH20" i="1" s="1"/>
  <c r="HR20" i="1" s="1"/>
  <c r="CX21" i="1"/>
  <c r="FG21" i="1" s="1"/>
  <c r="HQ21" i="1" s="1"/>
  <c r="CY15" i="1"/>
  <c r="FH15" i="1" s="1"/>
  <c r="HR15" i="1" s="1"/>
  <c r="CY16" i="1"/>
  <c r="FH16" i="1" s="1"/>
  <c r="HR16" i="1" s="1"/>
  <c r="CY14" i="1"/>
  <c r="FH14" i="1" s="1"/>
  <c r="HR14" i="1" s="1"/>
  <c r="CX19" i="1"/>
  <c r="FG19" i="1" s="1"/>
  <c r="HQ19" i="1" s="1"/>
  <c r="CX22" i="1"/>
  <c r="FG22" i="1" s="1"/>
  <c r="HQ22" i="1" s="1"/>
  <c r="CU13" i="1"/>
  <c r="FD13" i="1" s="1"/>
  <c r="HN13" i="1" s="1"/>
  <c r="CP12" i="1"/>
  <c r="EY12" i="1" s="1"/>
  <c r="HI12" i="1" s="1"/>
  <c r="DB5" i="5" l="1"/>
  <c r="FK5" i="5" s="1"/>
  <c r="HU5" i="5" s="1"/>
  <c r="DA6" i="5"/>
  <c r="FJ6" i="5" s="1"/>
  <c r="HT6" i="5" s="1"/>
  <c r="DA7" i="5"/>
  <c r="FJ7" i="5" s="1"/>
  <c r="HT7" i="5" s="1"/>
  <c r="DA9" i="5"/>
  <c r="FJ9" i="5" s="1"/>
  <c r="HT9" i="5" s="1"/>
  <c r="DA15" i="5"/>
  <c r="FJ15" i="5" s="1"/>
  <c r="HT15" i="5" s="1"/>
  <c r="DA16" i="5"/>
  <c r="FJ16" i="5" s="1"/>
  <c r="HT16" i="5" s="1"/>
  <c r="CZ17" i="5"/>
  <c r="FI17" i="5" s="1"/>
  <c r="HS17" i="5" s="1"/>
  <c r="DB12" i="5"/>
  <c r="FK12" i="5" s="1"/>
  <c r="HU12" i="5" s="1"/>
  <c r="DB8" i="5"/>
  <c r="FK8" i="5" s="1"/>
  <c r="HU8" i="5" s="1"/>
  <c r="DA13" i="5"/>
  <c r="FJ13" i="5" s="1"/>
  <c r="HT13" i="5" s="1"/>
  <c r="DC11" i="5"/>
  <c r="FL11" i="5" s="1"/>
  <c r="HV11" i="5" s="1"/>
  <c r="DA10" i="5"/>
  <c r="FJ10" i="5" s="1"/>
  <c r="HT10" i="5" s="1"/>
  <c r="DA14" i="5"/>
  <c r="FJ14" i="5" s="1"/>
  <c r="HT14" i="5" s="1"/>
  <c r="CY22" i="1"/>
  <c r="FH22" i="1" s="1"/>
  <c r="HR22" i="1" s="1"/>
  <c r="CZ15" i="1"/>
  <c r="FI15" i="1" s="1"/>
  <c r="HS15" i="1" s="1"/>
  <c r="CZ14" i="1"/>
  <c r="FI14" i="1" s="1"/>
  <c r="HS14" i="1" s="1"/>
  <c r="CZ16" i="1"/>
  <c r="FI16" i="1" s="1"/>
  <c r="HS16" i="1" s="1"/>
  <c r="CY21" i="1"/>
  <c r="FH21" i="1" s="1"/>
  <c r="HR21" i="1" s="1"/>
  <c r="CZ20" i="1"/>
  <c r="FI20" i="1" s="1"/>
  <c r="HS20" i="1" s="1"/>
  <c r="CY19" i="1"/>
  <c r="FH19" i="1" s="1"/>
  <c r="HR19" i="1" s="1"/>
  <c r="CZ17" i="1"/>
  <c r="FI17" i="1" s="1"/>
  <c r="HS17" i="1" s="1"/>
  <c r="CZ18" i="1"/>
  <c r="FI18" i="1" s="1"/>
  <c r="HS18" i="1" s="1"/>
  <c r="CV13" i="1"/>
  <c r="FE13" i="1" s="1"/>
  <c r="HO13" i="1" s="1"/>
  <c r="CQ12" i="1"/>
  <c r="EZ12" i="1" s="1"/>
  <c r="HJ12" i="1" s="1"/>
  <c r="DB6" i="5" l="1"/>
  <c r="FK6" i="5" s="1"/>
  <c r="HU6" i="5" s="1"/>
  <c r="DC5" i="5"/>
  <c r="FL5" i="5" s="1"/>
  <c r="HV5" i="5" s="1"/>
  <c r="DB7" i="5"/>
  <c r="FK7" i="5" s="1"/>
  <c r="HU7" i="5" s="1"/>
  <c r="DB14" i="5"/>
  <c r="FK14" i="5" s="1"/>
  <c r="HU14" i="5" s="1"/>
  <c r="DD11" i="5"/>
  <c r="FM11" i="5" s="1"/>
  <c r="HW11" i="5" s="1"/>
  <c r="DB13" i="5"/>
  <c r="FK13" i="5" s="1"/>
  <c r="HU13" i="5" s="1"/>
  <c r="DC8" i="5"/>
  <c r="FL8" i="5" s="1"/>
  <c r="HV8" i="5" s="1"/>
  <c r="DC12" i="5"/>
  <c r="FL12" i="5" s="1"/>
  <c r="HV12" i="5" s="1"/>
  <c r="DB16" i="5"/>
  <c r="FK16" i="5" s="1"/>
  <c r="HU16" i="5" s="1"/>
  <c r="DB15" i="5"/>
  <c r="FK15" i="5" s="1"/>
  <c r="HU15" i="5" s="1"/>
  <c r="DB9" i="5"/>
  <c r="FK9" i="5" s="1"/>
  <c r="HU9" i="5" s="1"/>
  <c r="DA17" i="5"/>
  <c r="FJ17" i="5" s="1"/>
  <c r="HT17" i="5" s="1"/>
  <c r="DB10" i="5"/>
  <c r="FK10" i="5" s="1"/>
  <c r="HU10" i="5" s="1"/>
  <c r="DA18" i="1"/>
  <c r="FJ18" i="1" s="1"/>
  <c r="HT18" i="1" s="1"/>
  <c r="DA17" i="1"/>
  <c r="FJ17" i="1" s="1"/>
  <c r="HT17" i="1" s="1"/>
  <c r="DA16" i="1"/>
  <c r="FJ16" i="1" s="1"/>
  <c r="HT16" i="1" s="1"/>
  <c r="CZ19" i="1"/>
  <c r="FI19" i="1" s="1"/>
  <c r="HS19" i="1" s="1"/>
  <c r="DA20" i="1"/>
  <c r="FJ20" i="1" s="1"/>
  <c r="HT20" i="1" s="1"/>
  <c r="CZ21" i="1"/>
  <c r="FI21" i="1" s="1"/>
  <c r="HS21" i="1" s="1"/>
  <c r="DA14" i="1"/>
  <c r="FJ14" i="1" s="1"/>
  <c r="HT14" i="1" s="1"/>
  <c r="CZ22" i="1"/>
  <c r="FI22" i="1" s="1"/>
  <c r="HS22" i="1" s="1"/>
  <c r="DA15" i="1"/>
  <c r="FJ15" i="1" s="1"/>
  <c r="HT15" i="1" s="1"/>
  <c r="CW13" i="1"/>
  <c r="FF13" i="1" s="1"/>
  <c r="HP13" i="1" s="1"/>
  <c r="CR12" i="1"/>
  <c r="FA12" i="1" s="1"/>
  <c r="HK12" i="1" s="1"/>
  <c r="DC7" i="5" l="1"/>
  <c r="FL7" i="5" s="1"/>
  <c r="HV7" i="5" s="1"/>
  <c r="DD5" i="5"/>
  <c r="FM5" i="5" s="1"/>
  <c r="HW5" i="5" s="1"/>
  <c r="DC6" i="5"/>
  <c r="FL6" i="5" s="1"/>
  <c r="HV6" i="5" s="1"/>
  <c r="DC15" i="5"/>
  <c r="FL15" i="5" s="1"/>
  <c r="HV15" i="5" s="1"/>
  <c r="DD8" i="5"/>
  <c r="FM8" i="5" s="1"/>
  <c r="HW8" i="5" s="1"/>
  <c r="DC10" i="5"/>
  <c r="FL10" i="5" s="1"/>
  <c r="HV10" i="5" s="1"/>
  <c r="DC9" i="5"/>
  <c r="FL9" i="5" s="1"/>
  <c r="HV9" i="5" s="1"/>
  <c r="DC16" i="5"/>
  <c r="FL16" i="5" s="1"/>
  <c r="HV16" i="5" s="1"/>
  <c r="DD12" i="5"/>
  <c r="FM12" i="5" s="1"/>
  <c r="HW12" i="5" s="1"/>
  <c r="DC13" i="5"/>
  <c r="FL13" i="5" s="1"/>
  <c r="HV13" i="5" s="1"/>
  <c r="DE11" i="5"/>
  <c r="FN11" i="5" s="1"/>
  <c r="HX11" i="5" s="1"/>
  <c r="DB17" i="5"/>
  <c r="FK17" i="5" s="1"/>
  <c r="HU17" i="5" s="1"/>
  <c r="DC14" i="5"/>
  <c r="FL14" i="5" s="1"/>
  <c r="HV14" i="5" s="1"/>
  <c r="DA22" i="1"/>
  <c r="FJ22" i="1" s="1"/>
  <c r="HT22" i="1" s="1"/>
  <c r="DB15" i="1"/>
  <c r="FK15" i="1" s="1"/>
  <c r="HU15" i="1" s="1"/>
  <c r="DB20" i="1"/>
  <c r="FK20" i="1" s="1"/>
  <c r="HU20" i="1" s="1"/>
  <c r="DB14" i="1"/>
  <c r="FK14" i="1" s="1"/>
  <c r="HU14" i="1" s="1"/>
  <c r="DA21" i="1"/>
  <c r="FJ21" i="1" s="1"/>
  <c r="HT21" i="1" s="1"/>
  <c r="DB16" i="1"/>
  <c r="FK16" i="1" s="1"/>
  <c r="HU16" i="1" s="1"/>
  <c r="DB17" i="1"/>
  <c r="FK17" i="1" s="1"/>
  <c r="HU17" i="1" s="1"/>
  <c r="DA19" i="1"/>
  <c r="FJ19" i="1" s="1"/>
  <c r="HT19" i="1" s="1"/>
  <c r="DB18" i="1"/>
  <c r="FK18" i="1" s="1"/>
  <c r="HU18" i="1" s="1"/>
  <c r="CX13" i="1"/>
  <c r="FG13" i="1" s="1"/>
  <c r="HQ13" i="1" s="1"/>
  <c r="CS12" i="1"/>
  <c r="FB12" i="1" s="1"/>
  <c r="HL12" i="1" s="1"/>
  <c r="DE5" i="5" l="1"/>
  <c r="FN5" i="5" s="1"/>
  <c r="HX5" i="5" s="1"/>
  <c r="DD7" i="5"/>
  <c r="FM7" i="5" s="1"/>
  <c r="HW7" i="5" s="1"/>
  <c r="DD6" i="5"/>
  <c r="FM6" i="5" s="1"/>
  <c r="HW6" i="5" s="1"/>
  <c r="DF11" i="5"/>
  <c r="FO11" i="5" s="1"/>
  <c r="HY11" i="5" s="1"/>
  <c r="DD10" i="5"/>
  <c r="FM10" i="5" s="1"/>
  <c r="HW10" i="5" s="1"/>
  <c r="DE8" i="5"/>
  <c r="FN8" i="5" s="1"/>
  <c r="HX8" i="5" s="1"/>
  <c r="DD15" i="5"/>
  <c r="FM15" i="5" s="1"/>
  <c r="HW15" i="5" s="1"/>
  <c r="DD14" i="5"/>
  <c r="FM14" i="5" s="1"/>
  <c r="HW14" i="5" s="1"/>
  <c r="DC17" i="5"/>
  <c r="FL17" i="5" s="1"/>
  <c r="HV17" i="5" s="1"/>
  <c r="DD13" i="5"/>
  <c r="FM13" i="5" s="1"/>
  <c r="HW13" i="5" s="1"/>
  <c r="DD16" i="5"/>
  <c r="FM16" i="5" s="1"/>
  <c r="HW16" i="5" s="1"/>
  <c r="DE12" i="5"/>
  <c r="FN12" i="5" s="1"/>
  <c r="HX12" i="5" s="1"/>
  <c r="DD9" i="5"/>
  <c r="FM9" i="5" s="1"/>
  <c r="HW9" i="5" s="1"/>
  <c r="DB19" i="1"/>
  <c r="FK19" i="1" s="1"/>
  <c r="HU19" i="1" s="1"/>
  <c r="DC16" i="1"/>
  <c r="FL16" i="1" s="1"/>
  <c r="HV16" i="1" s="1"/>
  <c r="DC18" i="1"/>
  <c r="FL18" i="1" s="1"/>
  <c r="HV18" i="1" s="1"/>
  <c r="DC17" i="1"/>
  <c r="FL17" i="1" s="1"/>
  <c r="HV17" i="1" s="1"/>
  <c r="DC14" i="1"/>
  <c r="FL14" i="1" s="1"/>
  <c r="HV14" i="1" s="1"/>
  <c r="DC15" i="1"/>
  <c r="FL15" i="1" s="1"/>
  <c r="HV15" i="1" s="1"/>
  <c r="DB22" i="1"/>
  <c r="FK22" i="1" s="1"/>
  <c r="HU22" i="1" s="1"/>
  <c r="DB21" i="1"/>
  <c r="FK21" i="1" s="1"/>
  <c r="HU21" i="1" s="1"/>
  <c r="DC20" i="1"/>
  <c r="FL20" i="1" s="1"/>
  <c r="HV20" i="1" s="1"/>
  <c r="CY13" i="1"/>
  <c r="FH13" i="1" s="1"/>
  <c r="HR13" i="1" s="1"/>
  <c r="CT12" i="1"/>
  <c r="FC12" i="1" s="1"/>
  <c r="HM12" i="1" s="1"/>
  <c r="DE6" i="5" l="1"/>
  <c r="FN6" i="5" s="1"/>
  <c r="HX6" i="5" s="1"/>
  <c r="DE7" i="5"/>
  <c r="FN7" i="5" s="1"/>
  <c r="HX7" i="5" s="1"/>
  <c r="DF5" i="5"/>
  <c r="FO5" i="5" s="1"/>
  <c r="HY5" i="5" s="1"/>
  <c r="DF12" i="5"/>
  <c r="FO12" i="5" s="1"/>
  <c r="HY12" i="5" s="1"/>
  <c r="DE16" i="5"/>
  <c r="FN16" i="5" s="1"/>
  <c r="HX16" i="5" s="1"/>
  <c r="DE13" i="5"/>
  <c r="FN13" i="5" s="1"/>
  <c r="HX13" i="5" s="1"/>
  <c r="DE14" i="5"/>
  <c r="FN14" i="5" s="1"/>
  <c r="HX14" i="5" s="1"/>
  <c r="DG11" i="5"/>
  <c r="FP11" i="5" s="1"/>
  <c r="HZ11" i="5" s="1"/>
  <c r="DF8" i="5"/>
  <c r="FO8" i="5" s="1"/>
  <c r="HY8" i="5" s="1"/>
  <c r="DE10" i="5"/>
  <c r="FN10" i="5" s="1"/>
  <c r="HX10" i="5" s="1"/>
  <c r="DD17" i="5"/>
  <c r="FM17" i="5" s="1"/>
  <c r="HW17" i="5" s="1"/>
  <c r="DE15" i="5"/>
  <c r="FN15" i="5" s="1"/>
  <c r="HX15" i="5" s="1"/>
  <c r="DE9" i="5"/>
  <c r="FN9" i="5" s="1"/>
  <c r="HX9" i="5" s="1"/>
  <c r="DD20" i="1"/>
  <c r="FM20" i="1" s="1"/>
  <c r="HW20" i="1" s="1"/>
  <c r="DD15" i="1"/>
  <c r="FM15" i="1" s="1"/>
  <c r="HW15" i="1" s="1"/>
  <c r="DD16" i="1"/>
  <c r="FM16" i="1" s="1"/>
  <c r="HW16" i="1" s="1"/>
  <c r="DC21" i="1"/>
  <c r="FL21" i="1" s="1"/>
  <c r="HV21" i="1" s="1"/>
  <c r="DD14" i="1"/>
  <c r="FM14" i="1" s="1"/>
  <c r="HW14" i="1" s="1"/>
  <c r="DD17" i="1"/>
  <c r="FM17" i="1" s="1"/>
  <c r="HW17" i="1" s="1"/>
  <c r="DD18" i="1"/>
  <c r="FM18" i="1" s="1"/>
  <c r="HW18" i="1" s="1"/>
  <c r="DC19" i="1"/>
  <c r="FL19" i="1" s="1"/>
  <c r="HV19" i="1" s="1"/>
  <c r="DC22" i="1"/>
  <c r="FL22" i="1" s="1"/>
  <c r="HV22" i="1" s="1"/>
  <c r="CZ13" i="1"/>
  <c r="FI13" i="1" s="1"/>
  <c r="HS13" i="1" s="1"/>
  <c r="CU12" i="1"/>
  <c r="FD12" i="1" s="1"/>
  <c r="HN12" i="1" s="1"/>
  <c r="DG5" i="5" l="1"/>
  <c r="FP5" i="5" s="1"/>
  <c r="HZ5" i="5" s="1"/>
  <c r="DF7" i="5"/>
  <c r="FO7" i="5" s="1"/>
  <c r="HY7" i="5" s="1"/>
  <c r="DF6" i="5"/>
  <c r="FO6" i="5" s="1"/>
  <c r="HY6" i="5" s="1"/>
  <c r="DF15" i="5"/>
  <c r="FO15" i="5" s="1"/>
  <c r="HY15" i="5" s="1"/>
  <c r="DF9" i="5"/>
  <c r="FO9" i="5" s="1"/>
  <c r="HY9" i="5" s="1"/>
  <c r="DE17" i="5"/>
  <c r="FN17" i="5" s="1"/>
  <c r="HX17" i="5" s="1"/>
  <c r="DF10" i="5"/>
  <c r="FO10" i="5" s="1"/>
  <c r="HY10" i="5" s="1"/>
  <c r="DG8" i="5"/>
  <c r="FP8" i="5" s="1"/>
  <c r="HZ8" i="5" s="1"/>
  <c r="DH11" i="5"/>
  <c r="FQ11" i="5" s="1"/>
  <c r="IA11" i="5" s="1"/>
  <c r="DF14" i="5"/>
  <c r="FO14" i="5" s="1"/>
  <c r="HY14" i="5" s="1"/>
  <c r="DF13" i="5"/>
  <c r="FO13" i="5" s="1"/>
  <c r="HY13" i="5" s="1"/>
  <c r="DF16" i="5"/>
  <c r="FO16" i="5" s="1"/>
  <c r="HY16" i="5" s="1"/>
  <c r="DG12" i="5"/>
  <c r="FP12" i="5" s="1"/>
  <c r="HZ12" i="5" s="1"/>
  <c r="DD22" i="1"/>
  <c r="FM22" i="1" s="1"/>
  <c r="HW22" i="1" s="1"/>
  <c r="DE14" i="1"/>
  <c r="FN14" i="1" s="1"/>
  <c r="HX14" i="1" s="1"/>
  <c r="DD19" i="1"/>
  <c r="FM19" i="1" s="1"/>
  <c r="HW19" i="1" s="1"/>
  <c r="DE17" i="1"/>
  <c r="FN17" i="1" s="1"/>
  <c r="HX17" i="1" s="1"/>
  <c r="DD21" i="1"/>
  <c r="FM21" i="1" s="1"/>
  <c r="HW21" i="1" s="1"/>
  <c r="DE16" i="1"/>
  <c r="FN16" i="1" s="1"/>
  <c r="HX16" i="1" s="1"/>
  <c r="DE18" i="1"/>
  <c r="FN18" i="1" s="1"/>
  <c r="HX18" i="1" s="1"/>
  <c r="DE20" i="1"/>
  <c r="FN20" i="1" s="1"/>
  <c r="HX20" i="1" s="1"/>
  <c r="DE15" i="1"/>
  <c r="FN15" i="1" s="1"/>
  <c r="HX15" i="1" s="1"/>
  <c r="DA13" i="1"/>
  <c r="FJ13" i="1" s="1"/>
  <c r="HT13" i="1" s="1"/>
  <c r="CV12" i="1"/>
  <c r="FE12" i="1" s="1"/>
  <c r="HO12" i="1" s="1"/>
  <c r="DG7" i="5" l="1"/>
  <c r="FP7" i="5" s="1"/>
  <c r="HZ7" i="5" s="1"/>
  <c r="DH5" i="5"/>
  <c r="FQ5" i="5" s="1"/>
  <c r="IA5" i="5" s="1"/>
  <c r="DG6" i="5"/>
  <c r="FP6" i="5" s="1"/>
  <c r="HZ6" i="5" s="1"/>
  <c r="DH12" i="5"/>
  <c r="FQ12" i="5" s="1"/>
  <c r="IA12" i="5" s="1"/>
  <c r="DG16" i="5"/>
  <c r="FP16" i="5" s="1"/>
  <c r="HZ16" i="5" s="1"/>
  <c r="DG13" i="5"/>
  <c r="FP13" i="5" s="1"/>
  <c r="HZ13" i="5" s="1"/>
  <c r="DG14" i="5"/>
  <c r="FP14" i="5" s="1"/>
  <c r="HZ14" i="5" s="1"/>
  <c r="DH8" i="5"/>
  <c r="FQ8" i="5" s="1"/>
  <c r="IA8" i="5" s="1"/>
  <c r="DF17" i="5"/>
  <c r="FO17" i="5" s="1"/>
  <c r="HY17" i="5" s="1"/>
  <c r="DG15" i="5"/>
  <c r="FP15" i="5" s="1"/>
  <c r="HZ15" i="5" s="1"/>
  <c r="DI11" i="5"/>
  <c r="FR11" i="5" s="1"/>
  <c r="IB11" i="5" s="1"/>
  <c r="DG9" i="5"/>
  <c r="FP9" i="5" s="1"/>
  <c r="HZ9" i="5" s="1"/>
  <c r="DG10" i="5"/>
  <c r="FP10" i="5" s="1"/>
  <c r="HZ10" i="5" s="1"/>
  <c r="DF15" i="1"/>
  <c r="FO15" i="1" s="1"/>
  <c r="HY15" i="1" s="1"/>
  <c r="DF18" i="1"/>
  <c r="FO18" i="1" s="1"/>
  <c r="HY18" i="1" s="1"/>
  <c r="DF17" i="1"/>
  <c r="FO17" i="1" s="1"/>
  <c r="HY17" i="1" s="1"/>
  <c r="DF20" i="1"/>
  <c r="FO20" i="1" s="1"/>
  <c r="HY20" i="1" s="1"/>
  <c r="DF16" i="1"/>
  <c r="FO16" i="1" s="1"/>
  <c r="HY16" i="1" s="1"/>
  <c r="DE21" i="1"/>
  <c r="FN21" i="1" s="1"/>
  <c r="HX21" i="1" s="1"/>
  <c r="DE19" i="1"/>
  <c r="FN19" i="1" s="1"/>
  <c r="HX19" i="1" s="1"/>
  <c r="DF14" i="1"/>
  <c r="FO14" i="1" s="1"/>
  <c r="HY14" i="1" s="1"/>
  <c r="DE22" i="1"/>
  <c r="FN22" i="1" s="1"/>
  <c r="HX22" i="1" s="1"/>
  <c r="DB13" i="1"/>
  <c r="FK13" i="1" s="1"/>
  <c r="HU13" i="1" s="1"/>
  <c r="CW12" i="1"/>
  <c r="FF12" i="1" s="1"/>
  <c r="HP12" i="1" s="1"/>
  <c r="DH6" i="5" l="1"/>
  <c r="FQ6" i="5" s="1"/>
  <c r="IA6" i="5" s="1"/>
  <c r="DH7" i="5"/>
  <c r="FQ7" i="5" s="1"/>
  <c r="IA7" i="5" s="1"/>
  <c r="DI5" i="5"/>
  <c r="FR5" i="5" s="1"/>
  <c r="IB5" i="5" s="1"/>
  <c r="DH10" i="5"/>
  <c r="FQ10" i="5" s="1"/>
  <c r="IA10" i="5" s="1"/>
  <c r="DH9" i="5"/>
  <c r="FQ9" i="5" s="1"/>
  <c r="IA9" i="5" s="1"/>
  <c r="DJ11" i="5"/>
  <c r="FS11" i="5" s="1"/>
  <c r="IC11" i="5" s="1"/>
  <c r="DH15" i="5"/>
  <c r="FQ15" i="5" s="1"/>
  <c r="IA15" i="5" s="1"/>
  <c r="DG17" i="5"/>
  <c r="FP17" i="5" s="1"/>
  <c r="HZ17" i="5" s="1"/>
  <c r="DH13" i="5"/>
  <c r="FQ13" i="5" s="1"/>
  <c r="IA13" i="5" s="1"/>
  <c r="DH16" i="5"/>
  <c r="FQ16" i="5" s="1"/>
  <c r="IA16" i="5" s="1"/>
  <c r="DI12" i="5"/>
  <c r="FR12" i="5" s="1"/>
  <c r="IB12" i="5" s="1"/>
  <c r="DI8" i="5"/>
  <c r="FR8" i="5" s="1"/>
  <c r="IB8" i="5" s="1"/>
  <c r="DH14" i="5"/>
  <c r="FQ14" i="5" s="1"/>
  <c r="IA14" i="5" s="1"/>
  <c r="DG14" i="1"/>
  <c r="FP14" i="1" s="1"/>
  <c r="HZ14" i="1" s="1"/>
  <c r="DF21" i="1"/>
  <c r="FO21" i="1" s="1"/>
  <c r="HY21" i="1" s="1"/>
  <c r="DG18" i="1"/>
  <c r="FP18" i="1" s="1"/>
  <c r="HZ18" i="1" s="1"/>
  <c r="DF22" i="1"/>
  <c r="FO22" i="1" s="1"/>
  <c r="HY22" i="1" s="1"/>
  <c r="DF19" i="1"/>
  <c r="FO19" i="1" s="1"/>
  <c r="HY19" i="1" s="1"/>
  <c r="DG16" i="1"/>
  <c r="FP16" i="1" s="1"/>
  <c r="HZ16" i="1" s="1"/>
  <c r="DG20" i="1"/>
  <c r="FP20" i="1" s="1"/>
  <c r="HZ20" i="1" s="1"/>
  <c r="DG17" i="1"/>
  <c r="FP17" i="1" s="1"/>
  <c r="HZ17" i="1" s="1"/>
  <c r="DG15" i="1"/>
  <c r="FP15" i="1" s="1"/>
  <c r="HZ15" i="1" s="1"/>
  <c r="DC13" i="1"/>
  <c r="FL13" i="1" s="1"/>
  <c r="HV13" i="1" s="1"/>
  <c r="CX12" i="1"/>
  <c r="FG12" i="1" s="1"/>
  <c r="HQ12" i="1" s="1"/>
  <c r="DI7" i="5" l="1"/>
  <c r="FR7" i="5" s="1"/>
  <c r="IB7" i="5" s="1"/>
  <c r="DI6" i="5"/>
  <c r="FR6" i="5" s="1"/>
  <c r="IB6" i="5" s="1"/>
  <c r="DJ5" i="5"/>
  <c r="FS5" i="5" s="1"/>
  <c r="IC5" i="5" s="1"/>
  <c r="DJ12" i="5"/>
  <c r="FS12" i="5" s="1"/>
  <c r="IC12" i="5" s="1"/>
  <c r="DI13" i="5"/>
  <c r="FR13" i="5" s="1"/>
  <c r="IB13" i="5" s="1"/>
  <c r="DI14" i="5"/>
  <c r="FR14" i="5" s="1"/>
  <c r="IB14" i="5" s="1"/>
  <c r="DI16" i="5"/>
  <c r="FR16" i="5" s="1"/>
  <c r="IB16" i="5" s="1"/>
  <c r="DH17" i="5"/>
  <c r="FQ17" i="5" s="1"/>
  <c r="IA17" i="5" s="1"/>
  <c r="DI15" i="5"/>
  <c r="FR15" i="5" s="1"/>
  <c r="IB15" i="5" s="1"/>
  <c r="DK11" i="5"/>
  <c r="FT11" i="5" s="1"/>
  <c r="ID11" i="5" s="1"/>
  <c r="DI9" i="5"/>
  <c r="FR9" i="5" s="1"/>
  <c r="IB9" i="5" s="1"/>
  <c r="DJ8" i="5"/>
  <c r="FS8" i="5" s="1"/>
  <c r="IC8" i="5" s="1"/>
  <c r="DI10" i="5"/>
  <c r="FR10" i="5" s="1"/>
  <c r="IB10" i="5" s="1"/>
  <c r="DH17" i="1"/>
  <c r="FQ17" i="1" s="1"/>
  <c r="IA17" i="1" s="1"/>
  <c r="DG19" i="1"/>
  <c r="FP19" i="1" s="1"/>
  <c r="HZ19" i="1" s="1"/>
  <c r="DG21" i="1"/>
  <c r="FP21" i="1" s="1"/>
  <c r="HZ21" i="1" s="1"/>
  <c r="DH20" i="1"/>
  <c r="FQ20" i="1" s="1"/>
  <c r="IA20" i="1" s="1"/>
  <c r="DG22" i="1"/>
  <c r="FP22" i="1" s="1"/>
  <c r="HZ22" i="1" s="1"/>
  <c r="DH18" i="1"/>
  <c r="FQ18" i="1" s="1"/>
  <c r="IA18" i="1" s="1"/>
  <c r="DH14" i="1"/>
  <c r="FQ14" i="1" s="1"/>
  <c r="IA14" i="1" s="1"/>
  <c r="DH16" i="1"/>
  <c r="FQ16" i="1" s="1"/>
  <c r="IA16" i="1" s="1"/>
  <c r="DH15" i="1"/>
  <c r="FQ15" i="1" s="1"/>
  <c r="IA15" i="1" s="1"/>
  <c r="DD13" i="1"/>
  <c r="FM13" i="1" s="1"/>
  <c r="HW13" i="1" s="1"/>
  <c r="CY12" i="1"/>
  <c r="FH12" i="1" s="1"/>
  <c r="HR12" i="1" s="1"/>
  <c r="DJ6" i="5" l="1"/>
  <c r="FS6" i="5" s="1"/>
  <c r="IC6" i="5" s="1"/>
  <c r="DK5" i="5"/>
  <c r="FT5" i="5" s="1"/>
  <c r="ID5" i="5" s="1"/>
  <c r="DJ7" i="5"/>
  <c r="FS7" i="5" s="1"/>
  <c r="IC7" i="5" s="1"/>
  <c r="DJ9" i="5"/>
  <c r="FS9" i="5" s="1"/>
  <c r="IC9" i="5" s="1"/>
  <c r="DJ15" i="5"/>
  <c r="FS15" i="5" s="1"/>
  <c r="IC15" i="5" s="1"/>
  <c r="DJ14" i="5"/>
  <c r="FS14" i="5" s="1"/>
  <c r="IC14" i="5" s="1"/>
  <c r="DK12" i="5"/>
  <c r="FT12" i="5" s="1"/>
  <c r="ID12" i="5" s="1"/>
  <c r="DL11" i="5"/>
  <c r="FU11" i="5" s="1"/>
  <c r="IE11" i="5" s="1"/>
  <c r="DJ16" i="5"/>
  <c r="FS16" i="5" s="1"/>
  <c r="IC16" i="5" s="1"/>
  <c r="DI17" i="5"/>
  <c r="FR17" i="5" s="1"/>
  <c r="IB17" i="5" s="1"/>
  <c r="DJ10" i="5"/>
  <c r="FS10" i="5" s="1"/>
  <c r="IC10" i="5" s="1"/>
  <c r="DJ13" i="5"/>
  <c r="FS13" i="5" s="1"/>
  <c r="IC13" i="5" s="1"/>
  <c r="DK8" i="5"/>
  <c r="FT8" i="5" s="1"/>
  <c r="ID8" i="5" s="1"/>
  <c r="DI15" i="1"/>
  <c r="FR15" i="1" s="1"/>
  <c r="IB15" i="1" s="1"/>
  <c r="DH19" i="1"/>
  <c r="FQ19" i="1" s="1"/>
  <c r="IA19" i="1" s="1"/>
  <c r="DI14" i="1"/>
  <c r="FR14" i="1" s="1"/>
  <c r="IB14" i="1" s="1"/>
  <c r="DH22" i="1"/>
  <c r="FQ22" i="1" s="1"/>
  <c r="IA22" i="1" s="1"/>
  <c r="DI20" i="1"/>
  <c r="FR20" i="1" s="1"/>
  <c r="IB20" i="1" s="1"/>
  <c r="DH21" i="1"/>
  <c r="FQ21" i="1" s="1"/>
  <c r="IA21" i="1" s="1"/>
  <c r="DI17" i="1"/>
  <c r="FR17" i="1" s="1"/>
  <c r="IB17" i="1" s="1"/>
  <c r="DI18" i="1"/>
  <c r="FR18" i="1" s="1"/>
  <c r="IB18" i="1" s="1"/>
  <c r="DI16" i="1"/>
  <c r="FR16" i="1" s="1"/>
  <c r="IB16" i="1" s="1"/>
  <c r="DE13" i="1"/>
  <c r="FN13" i="1" s="1"/>
  <c r="HX13" i="1" s="1"/>
  <c r="CZ12" i="1"/>
  <c r="FI12" i="1" s="1"/>
  <c r="HS12" i="1" s="1"/>
  <c r="DK7" i="5" l="1"/>
  <c r="FT7" i="5" s="1"/>
  <c r="ID7" i="5" s="1"/>
  <c r="DL5" i="5"/>
  <c r="FU5" i="5" s="1"/>
  <c r="IE5" i="5" s="1"/>
  <c r="DK6" i="5"/>
  <c r="FT6" i="5" s="1"/>
  <c r="ID6" i="5" s="1"/>
  <c r="DK10" i="5"/>
  <c r="FT10" i="5" s="1"/>
  <c r="ID10" i="5" s="1"/>
  <c r="DJ17" i="5"/>
  <c r="FS17" i="5" s="1"/>
  <c r="IC17" i="5" s="1"/>
  <c r="DK16" i="5"/>
  <c r="FT16" i="5" s="1"/>
  <c r="ID16" i="5" s="1"/>
  <c r="DM11" i="5"/>
  <c r="FV11" i="5" s="1"/>
  <c r="IF11" i="5" s="1"/>
  <c r="DL12" i="5"/>
  <c r="FU12" i="5" s="1"/>
  <c r="IE12" i="5" s="1"/>
  <c r="DK14" i="5"/>
  <c r="FT14" i="5" s="1"/>
  <c r="ID14" i="5" s="1"/>
  <c r="DL8" i="5"/>
  <c r="FU8" i="5" s="1"/>
  <c r="IE8" i="5" s="1"/>
  <c r="DK15" i="5"/>
  <c r="FT15" i="5" s="1"/>
  <c r="ID15" i="5" s="1"/>
  <c r="DK13" i="5"/>
  <c r="FT13" i="5" s="1"/>
  <c r="ID13" i="5" s="1"/>
  <c r="DK9" i="5"/>
  <c r="FT9" i="5" s="1"/>
  <c r="ID9" i="5" s="1"/>
  <c r="DJ18" i="1"/>
  <c r="FS18" i="1" s="1"/>
  <c r="IC18" i="1" s="1"/>
  <c r="DI21" i="1"/>
  <c r="FR21" i="1" s="1"/>
  <c r="IB21" i="1" s="1"/>
  <c r="DI22" i="1"/>
  <c r="FR22" i="1" s="1"/>
  <c r="IB22" i="1" s="1"/>
  <c r="DJ16" i="1"/>
  <c r="FS16" i="1" s="1"/>
  <c r="IC16" i="1" s="1"/>
  <c r="DJ20" i="1"/>
  <c r="FS20" i="1" s="1"/>
  <c r="IC20" i="1" s="1"/>
  <c r="DJ14" i="1"/>
  <c r="FS14" i="1" s="1"/>
  <c r="IC14" i="1" s="1"/>
  <c r="DJ17" i="1"/>
  <c r="FS17" i="1" s="1"/>
  <c r="IC17" i="1" s="1"/>
  <c r="DJ15" i="1"/>
  <c r="FS15" i="1" s="1"/>
  <c r="IC15" i="1" s="1"/>
  <c r="DI19" i="1"/>
  <c r="FR19" i="1" s="1"/>
  <c r="IB19" i="1" s="1"/>
  <c r="DF13" i="1"/>
  <c r="FO13" i="1" s="1"/>
  <c r="HY13" i="1" s="1"/>
  <c r="DA12" i="1"/>
  <c r="FJ12" i="1" s="1"/>
  <c r="HT12" i="1" s="1"/>
  <c r="DM5" i="5" l="1"/>
  <c r="FV5" i="5" s="1"/>
  <c r="IF5" i="5" s="1"/>
  <c r="DL7" i="5"/>
  <c r="FU7" i="5" s="1"/>
  <c r="IE7" i="5" s="1"/>
  <c r="DL6" i="5"/>
  <c r="FU6" i="5" s="1"/>
  <c r="IE6" i="5" s="1"/>
  <c r="DL9" i="5"/>
  <c r="FU9" i="5" s="1"/>
  <c r="IE9" i="5" s="1"/>
  <c r="DM8" i="5"/>
  <c r="FV8" i="5" s="1"/>
  <c r="IF8" i="5" s="1"/>
  <c r="DL14" i="5"/>
  <c r="FU14" i="5" s="1"/>
  <c r="IE14" i="5" s="1"/>
  <c r="DM12" i="5"/>
  <c r="FV12" i="5" s="1"/>
  <c r="IF12" i="5" s="1"/>
  <c r="DN11" i="5"/>
  <c r="FW11" i="5" s="1"/>
  <c r="IG11" i="5" s="1"/>
  <c r="DK17" i="5"/>
  <c r="FT17" i="5" s="1"/>
  <c r="ID17" i="5" s="1"/>
  <c r="DL15" i="5"/>
  <c r="FU15" i="5" s="1"/>
  <c r="IE15" i="5" s="1"/>
  <c r="DL16" i="5"/>
  <c r="FU16" i="5" s="1"/>
  <c r="IE16" i="5" s="1"/>
  <c r="DL13" i="5"/>
  <c r="FU13" i="5" s="1"/>
  <c r="IE13" i="5" s="1"/>
  <c r="DL10" i="5"/>
  <c r="FU10" i="5" s="1"/>
  <c r="IE10" i="5" s="1"/>
  <c r="DJ19" i="1"/>
  <c r="FS19" i="1" s="1"/>
  <c r="IC19" i="1" s="1"/>
  <c r="DK17" i="1"/>
  <c r="FT17" i="1" s="1"/>
  <c r="ID17" i="1" s="1"/>
  <c r="DK15" i="1"/>
  <c r="FT15" i="1" s="1"/>
  <c r="ID15" i="1" s="1"/>
  <c r="DK14" i="1"/>
  <c r="FT14" i="1" s="1"/>
  <c r="ID14" i="1" s="1"/>
  <c r="DK20" i="1"/>
  <c r="FT20" i="1" s="1"/>
  <c r="ID20" i="1" s="1"/>
  <c r="DJ21" i="1"/>
  <c r="FS21" i="1" s="1"/>
  <c r="IC21" i="1" s="1"/>
  <c r="DJ22" i="1"/>
  <c r="FS22" i="1" s="1"/>
  <c r="IC22" i="1" s="1"/>
  <c r="DK16" i="1"/>
  <c r="FT16" i="1" s="1"/>
  <c r="ID16" i="1" s="1"/>
  <c r="DK18" i="1"/>
  <c r="FT18" i="1" s="1"/>
  <c r="ID18" i="1" s="1"/>
  <c r="DG13" i="1"/>
  <c r="FP13" i="1" s="1"/>
  <c r="HZ13" i="1" s="1"/>
  <c r="DB12" i="1"/>
  <c r="FK12" i="1" s="1"/>
  <c r="HU12" i="1" s="1"/>
  <c r="DM6" i="5" l="1"/>
  <c r="FV6" i="5" s="1"/>
  <c r="IF6" i="5" s="1"/>
  <c r="DM7" i="5"/>
  <c r="FV7" i="5" s="1"/>
  <c r="IF7" i="5" s="1"/>
  <c r="DN5" i="5"/>
  <c r="FW5" i="5" s="1"/>
  <c r="IG5" i="5" s="1"/>
  <c r="DM10" i="5"/>
  <c r="FV10" i="5" s="1"/>
  <c r="IF10" i="5" s="1"/>
  <c r="DM13" i="5"/>
  <c r="FV13" i="5" s="1"/>
  <c r="IF13" i="5" s="1"/>
  <c r="DM16" i="5"/>
  <c r="FV16" i="5" s="1"/>
  <c r="IF16" i="5" s="1"/>
  <c r="DM14" i="5"/>
  <c r="FV14" i="5" s="1"/>
  <c r="IF14" i="5" s="1"/>
  <c r="DM9" i="5"/>
  <c r="FV9" i="5" s="1"/>
  <c r="IF9" i="5" s="1"/>
  <c r="DM15" i="5"/>
  <c r="FV15" i="5" s="1"/>
  <c r="IF15" i="5" s="1"/>
  <c r="DL17" i="5"/>
  <c r="FU17" i="5" s="1"/>
  <c r="IE17" i="5" s="1"/>
  <c r="DO11" i="5"/>
  <c r="FX11" i="5" s="1"/>
  <c r="IH11" i="5" s="1"/>
  <c r="DN12" i="5"/>
  <c r="FW12" i="5" s="1"/>
  <c r="IG12" i="5" s="1"/>
  <c r="DN8" i="5"/>
  <c r="FW8" i="5" s="1"/>
  <c r="IG8" i="5" s="1"/>
  <c r="DL18" i="1"/>
  <c r="FU18" i="1" s="1"/>
  <c r="IE18" i="1" s="1"/>
  <c r="DK22" i="1"/>
  <c r="FT22" i="1" s="1"/>
  <c r="ID22" i="1" s="1"/>
  <c r="DL20" i="1"/>
  <c r="FU20" i="1" s="1"/>
  <c r="IE20" i="1" s="1"/>
  <c r="DL16" i="1"/>
  <c r="FU16" i="1" s="1"/>
  <c r="IE16" i="1" s="1"/>
  <c r="DL14" i="1"/>
  <c r="FU14" i="1" s="1"/>
  <c r="IE14" i="1" s="1"/>
  <c r="DK19" i="1"/>
  <c r="FT19" i="1" s="1"/>
  <c r="ID19" i="1" s="1"/>
  <c r="DK21" i="1"/>
  <c r="FT21" i="1" s="1"/>
  <c r="ID21" i="1" s="1"/>
  <c r="DL15" i="1"/>
  <c r="FU15" i="1" s="1"/>
  <c r="IE15" i="1" s="1"/>
  <c r="DL17" i="1"/>
  <c r="FU17" i="1" s="1"/>
  <c r="IE17" i="1" s="1"/>
  <c r="DH13" i="1"/>
  <c r="FQ13" i="1" s="1"/>
  <c r="IA13" i="1" s="1"/>
  <c r="DC12" i="1"/>
  <c r="FL12" i="1" s="1"/>
  <c r="HV12" i="1" s="1"/>
  <c r="DO5" i="5" l="1"/>
  <c r="FX5" i="5" s="1"/>
  <c r="IH5" i="5" s="1"/>
  <c r="DN6" i="5"/>
  <c r="FW6" i="5" s="1"/>
  <c r="IG6" i="5" s="1"/>
  <c r="DN7" i="5"/>
  <c r="FW7" i="5" s="1"/>
  <c r="IG7" i="5" s="1"/>
  <c r="DN9" i="5"/>
  <c r="FW9" i="5" s="1"/>
  <c r="IG9" i="5" s="1"/>
  <c r="DN14" i="5"/>
  <c r="FW14" i="5" s="1"/>
  <c r="IG14" i="5" s="1"/>
  <c r="DN10" i="5"/>
  <c r="FW10" i="5" s="1"/>
  <c r="IG10" i="5" s="1"/>
  <c r="DN13" i="5"/>
  <c r="FW13" i="5" s="1"/>
  <c r="IG13" i="5" s="1"/>
  <c r="DP11" i="5"/>
  <c r="FY11" i="5" s="1"/>
  <c r="II11" i="5" s="1"/>
  <c r="DM17" i="5"/>
  <c r="FV17" i="5" s="1"/>
  <c r="IF17" i="5" s="1"/>
  <c r="DN15" i="5"/>
  <c r="FW15" i="5" s="1"/>
  <c r="IG15" i="5" s="1"/>
  <c r="DN16" i="5"/>
  <c r="FW16" i="5" s="1"/>
  <c r="IG16" i="5" s="1"/>
  <c r="DO8" i="5"/>
  <c r="FX8" i="5" s="1"/>
  <c r="IH8" i="5" s="1"/>
  <c r="DO12" i="5"/>
  <c r="FX12" i="5" s="1"/>
  <c r="IH12" i="5" s="1"/>
  <c r="DM17" i="1"/>
  <c r="FV17" i="1" s="1"/>
  <c r="IF17" i="1" s="1"/>
  <c r="DL21" i="1"/>
  <c r="FU21" i="1" s="1"/>
  <c r="IE21" i="1" s="1"/>
  <c r="DM16" i="1"/>
  <c r="FV16" i="1" s="1"/>
  <c r="IF16" i="1" s="1"/>
  <c r="DM15" i="1"/>
  <c r="FV15" i="1" s="1"/>
  <c r="IF15" i="1" s="1"/>
  <c r="DL19" i="1"/>
  <c r="FU19" i="1" s="1"/>
  <c r="IE19" i="1" s="1"/>
  <c r="DM14" i="1"/>
  <c r="FV14" i="1" s="1"/>
  <c r="IF14" i="1" s="1"/>
  <c r="DM20" i="1"/>
  <c r="FV20" i="1" s="1"/>
  <c r="IF20" i="1" s="1"/>
  <c r="DM18" i="1"/>
  <c r="FV18" i="1" s="1"/>
  <c r="IF18" i="1" s="1"/>
  <c r="DL22" i="1"/>
  <c r="FU22" i="1" s="1"/>
  <c r="IE22" i="1" s="1"/>
  <c r="DI13" i="1"/>
  <c r="FR13" i="1" s="1"/>
  <c r="IB13" i="1" s="1"/>
  <c r="DD12" i="1"/>
  <c r="FM12" i="1" s="1"/>
  <c r="HW12" i="1" s="1"/>
  <c r="DO7" i="5" l="1"/>
  <c r="FX7" i="5" s="1"/>
  <c r="IH7" i="5" s="1"/>
  <c r="DO6" i="5"/>
  <c r="FX6" i="5" s="1"/>
  <c r="IH6" i="5" s="1"/>
  <c r="DP5" i="5"/>
  <c r="FY5" i="5" s="1"/>
  <c r="II5" i="5" s="1"/>
  <c r="DO13" i="5"/>
  <c r="FX13" i="5" s="1"/>
  <c r="IH13" i="5" s="1"/>
  <c r="DP12" i="5"/>
  <c r="FY12" i="5" s="1"/>
  <c r="II12" i="5" s="1"/>
  <c r="DO10" i="5"/>
  <c r="FX10" i="5" s="1"/>
  <c r="IH10" i="5" s="1"/>
  <c r="DO9" i="5"/>
  <c r="FX9" i="5" s="1"/>
  <c r="IH9" i="5" s="1"/>
  <c r="DO16" i="5"/>
  <c r="FX16" i="5" s="1"/>
  <c r="IH16" i="5" s="1"/>
  <c r="DO15" i="5"/>
  <c r="FX15" i="5" s="1"/>
  <c r="IH15" i="5" s="1"/>
  <c r="DN17" i="5"/>
  <c r="FW17" i="5" s="1"/>
  <c r="IG17" i="5" s="1"/>
  <c r="DQ11" i="5"/>
  <c r="FZ11" i="5" s="1"/>
  <c r="IJ11" i="5" s="1"/>
  <c r="DO14" i="5"/>
  <c r="FX14" i="5" s="1"/>
  <c r="IH14" i="5" s="1"/>
  <c r="DP8" i="5"/>
  <c r="FY8" i="5" s="1"/>
  <c r="II8" i="5" s="1"/>
  <c r="DM22" i="1"/>
  <c r="FV22" i="1" s="1"/>
  <c r="IF22" i="1" s="1"/>
  <c r="DN14" i="1"/>
  <c r="FW14" i="1" s="1"/>
  <c r="IG14" i="1" s="1"/>
  <c r="DN18" i="1"/>
  <c r="FW18" i="1" s="1"/>
  <c r="IG18" i="1" s="1"/>
  <c r="DN20" i="1"/>
  <c r="FW20" i="1" s="1"/>
  <c r="IG20" i="1" s="1"/>
  <c r="DM19" i="1"/>
  <c r="FV19" i="1" s="1"/>
  <c r="IF19" i="1" s="1"/>
  <c r="DN16" i="1"/>
  <c r="FW16" i="1" s="1"/>
  <c r="IG16" i="1" s="1"/>
  <c r="DN17" i="1"/>
  <c r="FW17" i="1" s="1"/>
  <c r="IG17" i="1" s="1"/>
  <c r="DN15" i="1"/>
  <c r="FW15" i="1" s="1"/>
  <c r="IG15" i="1" s="1"/>
  <c r="DM21" i="1"/>
  <c r="FV21" i="1" s="1"/>
  <c r="IF21" i="1" s="1"/>
  <c r="DJ13" i="1"/>
  <c r="FS13" i="1" s="1"/>
  <c r="IC13" i="1" s="1"/>
  <c r="DE12" i="1"/>
  <c r="FN12" i="1" s="1"/>
  <c r="HX12" i="1" s="1"/>
  <c r="DP6" i="5" l="1"/>
  <c r="FY6" i="5" s="1"/>
  <c r="II6" i="5" s="1"/>
  <c r="DP7" i="5"/>
  <c r="FY7" i="5" s="1"/>
  <c r="II7" i="5" s="1"/>
  <c r="DQ5" i="5"/>
  <c r="FZ5" i="5" s="1"/>
  <c r="IJ5" i="5" s="1"/>
  <c r="DQ8" i="5"/>
  <c r="FZ8" i="5" s="1"/>
  <c r="IJ8" i="5" s="1"/>
  <c r="DO17" i="5"/>
  <c r="FX17" i="5" s="1"/>
  <c r="IH17" i="5" s="1"/>
  <c r="DP15" i="5"/>
  <c r="FY15" i="5" s="1"/>
  <c r="II15" i="5" s="1"/>
  <c r="DP16" i="5"/>
  <c r="FY16" i="5" s="1"/>
  <c r="II16" i="5" s="1"/>
  <c r="DP9" i="5"/>
  <c r="FY9" i="5" s="1"/>
  <c r="II9" i="5" s="1"/>
  <c r="DR11" i="5"/>
  <c r="GA11" i="5" s="1"/>
  <c r="IK11" i="5" s="1"/>
  <c r="DP10" i="5"/>
  <c r="FY10" i="5" s="1"/>
  <c r="II10" i="5" s="1"/>
  <c r="DQ12" i="5"/>
  <c r="FZ12" i="5" s="1"/>
  <c r="IJ12" i="5" s="1"/>
  <c r="DP14" i="5"/>
  <c r="FY14" i="5" s="1"/>
  <c r="II14" i="5" s="1"/>
  <c r="DP13" i="5"/>
  <c r="FY13" i="5" s="1"/>
  <c r="II13" i="5" s="1"/>
  <c r="DO15" i="1"/>
  <c r="FX15" i="1" s="1"/>
  <c r="IH15" i="1" s="1"/>
  <c r="DO16" i="1"/>
  <c r="FX16" i="1" s="1"/>
  <c r="IH16" i="1" s="1"/>
  <c r="DN21" i="1"/>
  <c r="FW21" i="1" s="1"/>
  <c r="IG21" i="1" s="1"/>
  <c r="DO17" i="1"/>
  <c r="FX17" i="1" s="1"/>
  <c r="IH17" i="1" s="1"/>
  <c r="DN19" i="1"/>
  <c r="FW19" i="1" s="1"/>
  <c r="IG19" i="1" s="1"/>
  <c r="DO14" i="1"/>
  <c r="FX14" i="1" s="1"/>
  <c r="IH14" i="1" s="1"/>
  <c r="DN22" i="1"/>
  <c r="FW22" i="1" s="1"/>
  <c r="IG22" i="1" s="1"/>
  <c r="DO20" i="1"/>
  <c r="FX20" i="1" s="1"/>
  <c r="IH20" i="1" s="1"/>
  <c r="DO18" i="1"/>
  <c r="FX18" i="1" s="1"/>
  <c r="IH18" i="1" s="1"/>
  <c r="DK13" i="1"/>
  <c r="FT13" i="1" s="1"/>
  <c r="ID13" i="1" s="1"/>
  <c r="DF12" i="1"/>
  <c r="FO12" i="1" s="1"/>
  <c r="HY12" i="1" s="1"/>
  <c r="DR5" i="5" l="1"/>
  <c r="GA5" i="5" s="1"/>
  <c r="IK5" i="5" s="1"/>
  <c r="DQ6" i="5"/>
  <c r="FZ6" i="5" s="1"/>
  <c r="IJ6" i="5" s="1"/>
  <c r="DQ7" i="5"/>
  <c r="FZ7" i="5" s="1"/>
  <c r="IJ7" i="5" s="1"/>
  <c r="DR12" i="5"/>
  <c r="GA12" i="5" s="1"/>
  <c r="IK12" i="5" s="1"/>
  <c r="DQ10" i="5"/>
  <c r="FZ10" i="5" s="1"/>
  <c r="IJ10" i="5" s="1"/>
  <c r="DQ9" i="5"/>
  <c r="FZ9" i="5" s="1"/>
  <c r="IJ9" i="5" s="1"/>
  <c r="DS11" i="5"/>
  <c r="GB11" i="5" s="1"/>
  <c r="IL11" i="5" s="1"/>
  <c r="DQ16" i="5"/>
  <c r="FZ16" i="5" s="1"/>
  <c r="IJ16" i="5" s="1"/>
  <c r="DQ15" i="5"/>
  <c r="FZ15" i="5" s="1"/>
  <c r="IJ15" i="5" s="1"/>
  <c r="DQ13" i="5"/>
  <c r="FZ13" i="5" s="1"/>
  <c r="IJ13" i="5" s="1"/>
  <c r="DP17" i="5"/>
  <c r="FY17" i="5" s="1"/>
  <c r="II17" i="5" s="1"/>
  <c r="DQ14" i="5"/>
  <c r="FZ14" i="5" s="1"/>
  <c r="IJ14" i="5" s="1"/>
  <c r="DR8" i="5"/>
  <c r="GA8" i="5" s="1"/>
  <c r="IK8" i="5" s="1"/>
  <c r="DO22" i="1"/>
  <c r="FX22" i="1" s="1"/>
  <c r="IH22" i="1" s="1"/>
  <c r="DP18" i="1"/>
  <c r="FY18" i="1" s="1"/>
  <c r="II18" i="1" s="1"/>
  <c r="DP20" i="1"/>
  <c r="FY20" i="1" s="1"/>
  <c r="II20" i="1" s="1"/>
  <c r="DO19" i="1"/>
  <c r="FX19" i="1" s="1"/>
  <c r="IH19" i="1" s="1"/>
  <c r="DP16" i="1"/>
  <c r="FY16" i="1" s="1"/>
  <c r="II16" i="1" s="1"/>
  <c r="DP14" i="1"/>
  <c r="FY14" i="1" s="1"/>
  <c r="II14" i="1" s="1"/>
  <c r="DP17" i="1"/>
  <c r="FY17" i="1" s="1"/>
  <c r="II17" i="1" s="1"/>
  <c r="DP15" i="1"/>
  <c r="FY15" i="1" s="1"/>
  <c r="II15" i="1" s="1"/>
  <c r="DO21" i="1"/>
  <c r="FX21" i="1" s="1"/>
  <c r="IH21" i="1" s="1"/>
  <c r="DL13" i="1"/>
  <c r="FU13" i="1" s="1"/>
  <c r="IE13" i="1" s="1"/>
  <c r="DG12" i="1"/>
  <c r="FP12" i="1" s="1"/>
  <c r="HZ12" i="1" s="1"/>
  <c r="DR7" i="5" l="1"/>
  <c r="GA7" i="5" s="1"/>
  <c r="IK7" i="5" s="1"/>
  <c r="DR6" i="5"/>
  <c r="GA6" i="5" s="1"/>
  <c r="IK6" i="5" s="1"/>
  <c r="DS5" i="5"/>
  <c r="GB5" i="5" s="1"/>
  <c r="IL5" i="5" s="1"/>
  <c r="DS8" i="5"/>
  <c r="GB8" i="5" s="1"/>
  <c r="IL8" i="5" s="1"/>
  <c r="DQ17" i="5"/>
  <c r="FZ17" i="5" s="1"/>
  <c r="IJ17" i="5" s="1"/>
  <c r="DT11" i="5"/>
  <c r="GC11" i="5" s="1"/>
  <c r="IM11" i="5" s="1"/>
  <c r="DR9" i="5"/>
  <c r="GA9" i="5" s="1"/>
  <c r="IK9" i="5" s="1"/>
  <c r="DR10" i="5"/>
  <c r="GA10" i="5" s="1"/>
  <c r="IK10" i="5" s="1"/>
  <c r="DS12" i="5"/>
  <c r="GB12" i="5" s="1"/>
  <c r="IL12" i="5" s="1"/>
  <c r="DR13" i="5"/>
  <c r="GA13" i="5" s="1"/>
  <c r="IK13" i="5" s="1"/>
  <c r="DR15" i="5"/>
  <c r="GA15" i="5" s="1"/>
  <c r="IK15" i="5" s="1"/>
  <c r="DR16" i="5"/>
  <c r="GA16" i="5" s="1"/>
  <c r="IK16" i="5" s="1"/>
  <c r="DR14" i="5"/>
  <c r="GA14" i="5" s="1"/>
  <c r="IK14" i="5" s="1"/>
  <c r="DQ15" i="1"/>
  <c r="FZ15" i="1" s="1"/>
  <c r="IJ15" i="1" s="1"/>
  <c r="DP21" i="1"/>
  <c r="FY21" i="1" s="1"/>
  <c r="II21" i="1" s="1"/>
  <c r="DQ17" i="1"/>
  <c r="FZ17" i="1" s="1"/>
  <c r="IJ17" i="1" s="1"/>
  <c r="DQ16" i="1"/>
  <c r="FZ16" i="1" s="1"/>
  <c r="IJ16" i="1" s="1"/>
  <c r="DP19" i="1"/>
  <c r="FY19" i="1" s="1"/>
  <c r="II19" i="1" s="1"/>
  <c r="DQ20" i="1"/>
  <c r="FZ20" i="1" s="1"/>
  <c r="IJ20" i="1" s="1"/>
  <c r="DQ14" i="1"/>
  <c r="FZ14" i="1" s="1"/>
  <c r="IJ14" i="1" s="1"/>
  <c r="DP22" i="1"/>
  <c r="FY22" i="1" s="1"/>
  <c r="II22" i="1" s="1"/>
  <c r="DQ18" i="1"/>
  <c r="FZ18" i="1" s="1"/>
  <c r="IJ18" i="1" s="1"/>
  <c r="DM13" i="1"/>
  <c r="FV13" i="1" s="1"/>
  <c r="IF13" i="1" s="1"/>
  <c r="DH12" i="1"/>
  <c r="FQ12" i="1" s="1"/>
  <c r="IA12" i="1" s="1"/>
  <c r="DS6" i="5" l="1"/>
  <c r="GB6" i="5" s="1"/>
  <c r="IL6" i="5" s="1"/>
  <c r="DS7" i="5"/>
  <c r="GB7" i="5" s="1"/>
  <c r="IL7" i="5" s="1"/>
  <c r="DT5" i="5"/>
  <c r="GC5" i="5" s="1"/>
  <c r="IM5" i="5" s="1"/>
  <c r="DS14" i="5"/>
  <c r="GB14" i="5" s="1"/>
  <c r="IL14" i="5" s="1"/>
  <c r="DS16" i="5"/>
  <c r="GB16" i="5" s="1"/>
  <c r="IL16" i="5" s="1"/>
  <c r="DT12" i="5"/>
  <c r="GC12" i="5" s="1"/>
  <c r="IM12" i="5" s="1"/>
  <c r="DS10" i="5"/>
  <c r="GB10" i="5" s="1"/>
  <c r="IL10" i="5" s="1"/>
  <c r="DS9" i="5"/>
  <c r="GB9" i="5" s="1"/>
  <c r="IL9" i="5" s="1"/>
  <c r="DU11" i="5"/>
  <c r="GD11" i="5" s="1"/>
  <c r="IN11" i="5" s="1"/>
  <c r="DR17" i="5"/>
  <c r="GA17" i="5" s="1"/>
  <c r="IK17" i="5" s="1"/>
  <c r="DT8" i="5"/>
  <c r="GC8" i="5" s="1"/>
  <c r="IM8" i="5" s="1"/>
  <c r="DS15" i="5"/>
  <c r="GB15" i="5" s="1"/>
  <c r="IL15" i="5" s="1"/>
  <c r="DS13" i="5"/>
  <c r="GB13" i="5" s="1"/>
  <c r="IL13" i="5" s="1"/>
  <c r="DR18" i="1"/>
  <c r="GA18" i="1" s="1"/>
  <c r="IK18" i="1" s="1"/>
  <c r="DR14" i="1"/>
  <c r="GA14" i="1" s="1"/>
  <c r="IK14" i="1" s="1"/>
  <c r="DR16" i="1"/>
  <c r="GA16" i="1" s="1"/>
  <c r="IK16" i="1" s="1"/>
  <c r="DQ22" i="1"/>
  <c r="FZ22" i="1" s="1"/>
  <c r="IJ22" i="1" s="1"/>
  <c r="DR20" i="1"/>
  <c r="GA20" i="1" s="1"/>
  <c r="IK20" i="1" s="1"/>
  <c r="DQ19" i="1"/>
  <c r="FZ19" i="1" s="1"/>
  <c r="IJ19" i="1" s="1"/>
  <c r="DR17" i="1"/>
  <c r="GA17" i="1" s="1"/>
  <c r="IK17" i="1" s="1"/>
  <c r="DQ21" i="1"/>
  <c r="FZ21" i="1" s="1"/>
  <c r="IJ21" i="1" s="1"/>
  <c r="DR15" i="1"/>
  <c r="GA15" i="1" s="1"/>
  <c r="IK15" i="1" s="1"/>
  <c r="DN13" i="1"/>
  <c r="FW13" i="1" s="1"/>
  <c r="IG13" i="1" s="1"/>
  <c r="DI12" i="1"/>
  <c r="FR12" i="1" s="1"/>
  <c r="IB12" i="1" s="1"/>
  <c r="DT6" i="5" l="1"/>
  <c r="GC6" i="5" s="1"/>
  <c r="IM6" i="5" s="1"/>
  <c r="DT7" i="5"/>
  <c r="GC7" i="5" s="1"/>
  <c r="IM7" i="5" s="1"/>
  <c r="DU5" i="5"/>
  <c r="GD5" i="5" s="1"/>
  <c r="IN5" i="5" s="1"/>
  <c r="DT15" i="5"/>
  <c r="GC15" i="5" s="1"/>
  <c r="IM15" i="5" s="1"/>
  <c r="DU8" i="5"/>
  <c r="GD8" i="5" s="1"/>
  <c r="IN8" i="5" s="1"/>
  <c r="DS17" i="5"/>
  <c r="GB17" i="5" s="1"/>
  <c r="IL17" i="5" s="1"/>
  <c r="DV11" i="5"/>
  <c r="GE11" i="5" s="1"/>
  <c r="IO11" i="5" s="1"/>
  <c r="DT9" i="5"/>
  <c r="GC9" i="5" s="1"/>
  <c r="IM9" i="5" s="1"/>
  <c r="DT10" i="5"/>
  <c r="GC10" i="5" s="1"/>
  <c r="IM10" i="5" s="1"/>
  <c r="DU12" i="5"/>
  <c r="GD12" i="5" s="1"/>
  <c r="IN12" i="5" s="1"/>
  <c r="DT13" i="5"/>
  <c r="GC13" i="5" s="1"/>
  <c r="IM13" i="5" s="1"/>
  <c r="DT16" i="5"/>
  <c r="GC16" i="5" s="1"/>
  <c r="IM16" i="5" s="1"/>
  <c r="DT14" i="5"/>
  <c r="GC14" i="5" s="1"/>
  <c r="IM14" i="5" s="1"/>
  <c r="DS15" i="1"/>
  <c r="GB15" i="1" s="1"/>
  <c r="IL15" i="1" s="1"/>
  <c r="DS17" i="1"/>
  <c r="GB17" i="1" s="1"/>
  <c r="IL17" i="1" s="1"/>
  <c r="DS20" i="1"/>
  <c r="GB20" i="1" s="1"/>
  <c r="IL20" i="1" s="1"/>
  <c r="DR21" i="1"/>
  <c r="GA21" i="1" s="1"/>
  <c r="IK21" i="1" s="1"/>
  <c r="DR19" i="1"/>
  <c r="GA19" i="1" s="1"/>
  <c r="IK19" i="1" s="1"/>
  <c r="DR22" i="1"/>
  <c r="GA22" i="1" s="1"/>
  <c r="IK22" i="1" s="1"/>
  <c r="DS14" i="1"/>
  <c r="GB14" i="1" s="1"/>
  <c r="IL14" i="1" s="1"/>
  <c r="DS16" i="1"/>
  <c r="GB16" i="1" s="1"/>
  <c r="IL16" i="1" s="1"/>
  <c r="DS18" i="1"/>
  <c r="GB18" i="1" s="1"/>
  <c r="IL18" i="1" s="1"/>
  <c r="DO13" i="1"/>
  <c r="FX13" i="1" s="1"/>
  <c r="IH13" i="1" s="1"/>
  <c r="DJ12" i="1"/>
  <c r="FS12" i="1" s="1"/>
  <c r="IC12" i="1" s="1"/>
  <c r="DU6" i="5" l="1"/>
  <c r="GD6" i="5" s="1"/>
  <c r="IN6" i="5" s="1"/>
  <c r="DV5" i="5"/>
  <c r="GE5" i="5" s="1"/>
  <c r="IO5" i="5" s="1"/>
  <c r="DU7" i="5"/>
  <c r="GD7" i="5" s="1"/>
  <c r="IN7" i="5" s="1"/>
  <c r="DU16" i="5"/>
  <c r="GD16" i="5" s="1"/>
  <c r="IN16" i="5" s="1"/>
  <c r="DU9" i="5"/>
  <c r="GD9" i="5" s="1"/>
  <c r="IN9" i="5" s="1"/>
  <c r="DU13" i="5"/>
  <c r="GD13" i="5" s="1"/>
  <c r="IN13" i="5" s="1"/>
  <c r="DU10" i="5"/>
  <c r="GD10" i="5" s="1"/>
  <c r="IN10" i="5" s="1"/>
  <c r="DT17" i="5"/>
  <c r="GC17" i="5" s="1"/>
  <c r="IM17" i="5" s="1"/>
  <c r="DU15" i="5"/>
  <c r="GD15" i="5" s="1"/>
  <c r="IN15" i="5" s="1"/>
  <c r="DV12" i="5"/>
  <c r="GE12" i="5" s="1"/>
  <c r="IO12" i="5" s="1"/>
  <c r="DW11" i="5"/>
  <c r="GF11" i="5" s="1"/>
  <c r="IP11" i="5" s="1"/>
  <c r="DU14" i="5"/>
  <c r="GD14" i="5" s="1"/>
  <c r="IN14" i="5" s="1"/>
  <c r="DV8" i="5"/>
  <c r="GE8" i="5" s="1"/>
  <c r="IO8" i="5" s="1"/>
  <c r="DT16" i="1"/>
  <c r="GC16" i="1" s="1"/>
  <c r="IM16" i="1" s="1"/>
  <c r="DS21" i="1"/>
  <c r="GB21" i="1" s="1"/>
  <c r="IL21" i="1" s="1"/>
  <c r="DS22" i="1"/>
  <c r="GB22" i="1" s="1"/>
  <c r="IL22" i="1" s="1"/>
  <c r="DT14" i="1"/>
  <c r="GC14" i="1" s="1"/>
  <c r="IM14" i="1" s="1"/>
  <c r="DT20" i="1"/>
  <c r="GC20" i="1" s="1"/>
  <c r="IM20" i="1" s="1"/>
  <c r="DT18" i="1"/>
  <c r="GC18" i="1" s="1"/>
  <c r="IM18" i="1" s="1"/>
  <c r="DS19" i="1"/>
  <c r="GB19" i="1" s="1"/>
  <c r="IL19" i="1" s="1"/>
  <c r="DT15" i="1"/>
  <c r="GC15" i="1" s="1"/>
  <c r="IM15" i="1" s="1"/>
  <c r="DT17" i="1"/>
  <c r="GC17" i="1" s="1"/>
  <c r="IM17" i="1" s="1"/>
  <c r="DP13" i="1"/>
  <c r="FY13" i="1" s="1"/>
  <c r="II13" i="1" s="1"/>
  <c r="DK12" i="1"/>
  <c r="FT12" i="1" s="1"/>
  <c r="ID12" i="1" s="1"/>
  <c r="DW5" i="5" l="1"/>
  <c r="GF5" i="5" s="1"/>
  <c r="IP5" i="5" s="1"/>
  <c r="DV6" i="5"/>
  <c r="GE6" i="5" s="1"/>
  <c r="IO6" i="5" s="1"/>
  <c r="DV7" i="5"/>
  <c r="GE7" i="5" s="1"/>
  <c r="IO7" i="5" s="1"/>
  <c r="DW8" i="5"/>
  <c r="GF8" i="5" s="1"/>
  <c r="IP8" i="5" s="1"/>
  <c r="DX11" i="5"/>
  <c r="GG11" i="5" s="1"/>
  <c r="IQ11" i="5" s="1"/>
  <c r="DW12" i="5"/>
  <c r="GF12" i="5" s="1"/>
  <c r="IP12" i="5" s="1"/>
  <c r="DU17" i="5"/>
  <c r="GD17" i="5" s="1"/>
  <c r="IN17" i="5" s="1"/>
  <c r="DV9" i="5"/>
  <c r="GE9" i="5" s="1"/>
  <c r="IO9" i="5" s="1"/>
  <c r="DV16" i="5"/>
  <c r="GE16" i="5" s="1"/>
  <c r="IO16" i="5" s="1"/>
  <c r="DV15" i="5"/>
  <c r="GE15" i="5" s="1"/>
  <c r="IO15" i="5" s="1"/>
  <c r="DV10" i="5"/>
  <c r="GE10" i="5" s="1"/>
  <c r="IO10" i="5" s="1"/>
  <c r="DV13" i="5"/>
  <c r="GE13" i="5" s="1"/>
  <c r="IO13" i="5" s="1"/>
  <c r="DV14" i="5"/>
  <c r="GE14" i="5" s="1"/>
  <c r="IO14" i="5" s="1"/>
  <c r="DU15" i="1"/>
  <c r="GD15" i="1" s="1"/>
  <c r="IN15" i="1" s="1"/>
  <c r="DU17" i="1"/>
  <c r="GD17" i="1" s="1"/>
  <c r="IN17" i="1" s="1"/>
  <c r="DU20" i="1"/>
  <c r="GD20" i="1" s="1"/>
  <c r="IN20" i="1" s="1"/>
  <c r="DT19" i="1"/>
  <c r="GC19" i="1" s="1"/>
  <c r="IM19" i="1" s="1"/>
  <c r="DU18" i="1"/>
  <c r="GD18" i="1" s="1"/>
  <c r="IN18" i="1" s="1"/>
  <c r="DU14" i="1"/>
  <c r="GD14" i="1" s="1"/>
  <c r="IN14" i="1" s="1"/>
  <c r="DT22" i="1"/>
  <c r="GC22" i="1" s="1"/>
  <c r="IM22" i="1" s="1"/>
  <c r="DT21" i="1"/>
  <c r="GC21" i="1" s="1"/>
  <c r="IM21" i="1" s="1"/>
  <c r="DU16" i="1"/>
  <c r="GD16" i="1" s="1"/>
  <c r="IN16" i="1" s="1"/>
  <c r="DQ13" i="1"/>
  <c r="FZ13" i="1" s="1"/>
  <c r="IJ13" i="1" s="1"/>
  <c r="DL12" i="1"/>
  <c r="FU12" i="1" s="1"/>
  <c r="IE12" i="1" s="1"/>
  <c r="DW7" i="5" l="1"/>
  <c r="GF7" i="5" s="1"/>
  <c r="IP7" i="5" s="1"/>
  <c r="DX5" i="5"/>
  <c r="GG5" i="5" s="1"/>
  <c r="IQ5" i="5" s="1"/>
  <c r="DW6" i="5"/>
  <c r="GF6" i="5" s="1"/>
  <c r="IP6" i="5" s="1"/>
  <c r="DW10" i="5"/>
  <c r="GF10" i="5" s="1"/>
  <c r="IP10" i="5" s="1"/>
  <c r="DW16" i="5"/>
  <c r="GF16" i="5" s="1"/>
  <c r="IP16" i="5" s="1"/>
  <c r="DX12" i="5"/>
  <c r="GG12" i="5" s="1"/>
  <c r="IQ12" i="5" s="1"/>
  <c r="DW15" i="5"/>
  <c r="GF15" i="5" s="1"/>
  <c r="IP15" i="5" s="1"/>
  <c r="DV17" i="5"/>
  <c r="GE17" i="5" s="1"/>
  <c r="IO17" i="5" s="1"/>
  <c r="DY11" i="5"/>
  <c r="GH11" i="5" s="1"/>
  <c r="IR11" i="5" s="1"/>
  <c r="DX8" i="5"/>
  <c r="GG8" i="5" s="1"/>
  <c r="IQ8" i="5" s="1"/>
  <c r="DW13" i="5"/>
  <c r="GF13" i="5" s="1"/>
  <c r="IP13" i="5" s="1"/>
  <c r="DW14" i="5"/>
  <c r="GF14" i="5" s="1"/>
  <c r="IP14" i="5" s="1"/>
  <c r="DW9" i="5"/>
  <c r="GF9" i="5" s="1"/>
  <c r="IP9" i="5" s="1"/>
  <c r="DV18" i="1"/>
  <c r="GE18" i="1" s="1"/>
  <c r="IO18" i="1" s="1"/>
  <c r="DU21" i="1"/>
  <c r="GD21" i="1" s="1"/>
  <c r="IN21" i="1" s="1"/>
  <c r="DU22" i="1"/>
  <c r="GD22" i="1" s="1"/>
  <c r="IN22" i="1" s="1"/>
  <c r="DU19" i="1"/>
  <c r="GD19" i="1" s="1"/>
  <c r="IN19" i="1" s="1"/>
  <c r="DV20" i="1"/>
  <c r="GE20" i="1" s="1"/>
  <c r="IO20" i="1" s="1"/>
  <c r="DV17" i="1"/>
  <c r="GE17" i="1" s="1"/>
  <c r="IO17" i="1" s="1"/>
  <c r="DV16" i="1"/>
  <c r="GE16" i="1" s="1"/>
  <c r="IO16" i="1" s="1"/>
  <c r="DV14" i="1"/>
  <c r="GE14" i="1" s="1"/>
  <c r="IO14" i="1" s="1"/>
  <c r="DV15" i="1"/>
  <c r="GE15" i="1" s="1"/>
  <c r="IO15" i="1" s="1"/>
  <c r="DR13" i="1"/>
  <c r="GA13" i="1" s="1"/>
  <c r="IK13" i="1" s="1"/>
  <c r="DM12" i="1"/>
  <c r="FV12" i="1" s="1"/>
  <c r="IF12" i="1" s="1"/>
  <c r="DX6" i="5" l="1"/>
  <c r="GG6" i="5" s="1"/>
  <c r="IQ6" i="5" s="1"/>
  <c r="DY5" i="5"/>
  <c r="GH5" i="5" s="1"/>
  <c r="IR5" i="5" s="1"/>
  <c r="DX7" i="5"/>
  <c r="GG7" i="5" s="1"/>
  <c r="IQ7" i="5" s="1"/>
  <c r="DX9" i="5"/>
  <c r="GG9" i="5" s="1"/>
  <c r="IQ9" i="5" s="1"/>
  <c r="DX14" i="5"/>
  <c r="GG14" i="5" s="1"/>
  <c r="IQ14" i="5" s="1"/>
  <c r="DX13" i="5"/>
  <c r="GG13" i="5" s="1"/>
  <c r="IQ13" i="5" s="1"/>
  <c r="DY8" i="5"/>
  <c r="GH8" i="5" s="1"/>
  <c r="IR8" i="5" s="1"/>
  <c r="DZ11" i="5"/>
  <c r="GI11" i="5" s="1"/>
  <c r="IS11" i="5" s="1"/>
  <c r="DX15" i="5"/>
  <c r="GG15" i="5" s="1"/>
  <c r="IQ15" i="5" s="1"/>
  <c r="DX16" i="5"/>
  <c r="GG16" i="5" s="1"/>
  <c r="IQ16" i="5" s="1"/>
  <c r="DX10" i="5"/>
  <c r="GG10" i="5" s="1"/>
  <c r="IQ10" i="5" s="1"/>
  <c r="DY12" i="5"/>
  <c r="GH12" i="5" s="1"/>
  <c r="IR12" i="5" s="1"/>
  <c r="DW17" i="5"/>
  <c r="GF17" i="5" s="1"/>
  <c r="IP17" i="5" s="1"/>
  <c r="DW15" i="1"/>
  <c r="GF15" i="1" s="1"/>
  <c r="IP15" i="1" s="1"/>
  <c r="DW16" i="1"/>
  <c r="GF16" i="1" s="1"/>
  <c r="IP16" i="1" s="1"/>
  <c r="DV19" i="1"/>
  <c r="GE19" i="1" s="1"/>
  <c r="IO19" i="1" s="1"/>
  <c r="DW14" i="1"/>
  <c r="GF14" i="1" s="1"/>
  <c r="IP14" i="1" s="1"/>
  <c r="DW17" i="1"/>
  <c r="GF17" i="1" s="1"/>
  <c r="IP17" i="1" s="1"/>
  <c r="DW20" i="1"/>
  <c r="GF20" i="1" s="1"/>
  <c r="IP20" i="1" s="1"/>
  <c r="DV22" i="1"/>
  <c r="GE22" i="1" s="1"/>
  <c r="IO22" i="1" s="1"/>
  <c r="DV21" i="1"/>
  <c r="GE21" i="1" s="1"/>
  <c r="IO21" i="1" s="1"/>
  <c r="DW18" i="1"/>
  <c r="GF18" i="1" s="1"/>
  <c r="IP18" i="1" s="1"/>
  <c r="DS13" i="1"/>
  <c r="GB13" i="1" s="1"/>
  <c r="IL13" i="1" s="1"/>
  <c r="DN12" i="1"/>
  <c r="FW12" i="1" s="1"/>
  <c r="IG12" i="1" s="1"/>
  <c r="DY7" i="5" l="1"/>
  <c r="GH7" i="5" s="1"/>
  <c r="IR7" i="5" s="1"/>
  <c r="DZ5" i="5"/>
  <c r="GI5" i="5" s="1"/>
  <c r="IS5" i="5" s="1"/>
  <c r="DY6" i="5"/>
  <c r="GH6" i="5" s="1"/>
  <c r="IR6" i="5" s="1"/>
  <c r="DX17" i="5"/>
  <c r="GG17" i="5" s="1"/>
  <c r="IQ17" i="5" s="1"/>
  <c r="DZ12" i="5"/>
  <c r="GI12" i="5" s="1"/>
  <c r="IS12" i="5" s="1"/>
  <c r="DY10" i="5"/>
  <c r="GH10" i="5" s="1"/>
  <c r="IR10" i="5" s="1"/>
  <c r="DY16" i="5"/>
  <c r="GH16" i="5" s="1"/>
  <c r="IR16" i="5" s="1"/>
  <c r="EA11" i="5"/>
  <c r="GJ11" i="5" s="1"/>
  <c r="IT11" i="5" s="1"/>
  <c r="DZ8" i="5"/>
  <c r="GI8" i="5" s="1"/>
  <c r="IS8" i="5" s="1"/>
  <c r="DY13" i="5"/>
  <c r="GH13" i="5" s="1"/>
  <c r="IR13" i="5" s="1"/>
  <c r="DY14" i="5"/>
  <c r="GH14" i="5" s="1"/>
  <c r="IR14" i="5" s="1"/>
  <c r="DY9" i="5"/>
  <c r="GH9" i="5" s="1"/>
  <c r="IR9" i="5" s="1"/>
  <c r="DY15" i="5"/>
  <c r="GH15" i="5" s="1"/>
  <c r="IR15" i="5" s="1"/>
  <c r="DW21" i="1"/>
  <c r="GF21" i="1" s="1"/>
  <c r="IP21" i="1" s="1"/>
  <c r="DX17" i="1"/>
  <c r="GG17" i="1" s="1"/>
  <c r="IQ17" i="1" s="1"/>
  <c r="DX18" i="1"/>
  <c r="GG18" i="1" s="1"/>
  <c r="IQ18" i="1" s="1"/>
  <c r="DW22" i="1"/>
  <c r="GF22" i="1" s="1"/>
  <c r="IP22" i="1" s="1"/>
  <c r="DX20" i="1"/>
  <c r="GG20" i="1" s="1"/>
  <c r="IQ20" i="1" s="1"/>
  <c r="DX14" i="1"/>
  <c r="GG14" i="1" s="1"/>
  <c r="IQ14" i="1" s="1"/>
  <c r="DW19" i="1"/>
  <c r="GF19" i="1" s="1"/>
  <c r="IP19" i="1" s="1"/>
  <c r="DX15" i="1"/>
  <c r="GG15" i="1" s="1"/>
  <c r="IQ15" i="1" s="1"/>
  <c r="DX16" i="1"/>
  <c r="GG16" i="1" s="1"/>
  <c r="IQ16" i="1" s="1"/>
  <c r="DT13" i="1"/>
  <c r="GC13" i="1" s="1"/>
  <c r="IM13" i="1" s="1"/>
  <c r="DO12" i="1"/>
  <c r="FX12" i="1" s="1"/>
  <c r="IH12" i="1" s="1"/>
  <c r="DZ6" i="5" l="1"/>
  <c r="GI6" i="5" s="1"/>
  <c r="IS6" i="5" s="1"/>
  <c r="EA5" i="5"/>
  <c r="GJ5" i="5" s="1"/>
  <c r="IT5" i="5" s="1"/>
  <c r="DZ7" i="5"/>
  <c r="GI7" i="5" s="1"/>
  <c r="IS7" i="5" s="1"/>
  <c r="DZ15" i="5"/>
  <c r="GI15" i="5" s="1"/>
  <c r="IS15" i="5" s="1"/>
  <c r="DZ14" i="5"/>
  <c r="GI14" i="5" s="1"/>
  <c r="IS14" i="5" s="1"/>
  <c r="DZ13" i="5"/>
  <c r="GI13" i="5" s="1"/>
  <c r="IS13" i="5" s="1"/>
  <c r="EA8" i="5"/>
  <c r="GJ8" i="5" s="1"/>
  <c r="IT8" i="5" s="1"/>
  <c r="EB11" i="5"/>
  <c r="GK11" i="5" s="1"/>
  <c r="IU11" i="5" s="1"/>
  <c r="DZ16" i="5"/>
  <c r="GI16" i="5" s="1"/>
  <c r="IS16" i="5" s="1"/>
  <c r="DZ10" i="5"/>
  <c r="GI10" i="5" s="1"/>
  <c r="IS10" i="5" s="1"/>
  <c r="EA12" i="5"/>
  <c r="GJ12" i="5" s="1"/>
  <c r="IT12" i="5" s="1"/>
  <c r="DZ9" i="5"/>
  <c r="GI9" i="5" s="1"/>
  <c r="IS9" i="5" s="1"/>
  <c r="DY17" i="5"/>
  <c r="GH17" i="5" s="1"/>
  <c r="IR17" i="5" s="1"/>
  <c r="DX19" i="1"/>
  <c r="GG19" i="1" s="1"/>
  <c r="IQ19" i="1" s="1"/>
  <c r="DY16" i="1"/>
  <c r="GH16" i="1" s="1"/>
  <c r="IR16" i="1" s="1"/>
  <c r="DY18" i="1"/>
  <c r="GH18" i="1" s="1"/>
  <c r="IR18" i="1" s="1"/>
  <c r="DY20" i="1"/>
  <c r="GH20" i="1" s="1"/>
  <c r="IR20" i="1" s="1"/>
  <c r="DY15" i="1"/>
  <c r="GH15" i="1" s="1"/>
  <c r="IR15" i="1" s="1"/>
  <c r="DY14" i="1"/>
  <c r="GH14" i="1" s="1"/>
  <c r="IR14" i="1" s="1"/>
  <c r="DX21" i="1"/>
  <c r="GG21" i="1" s="1"/>
  <c r="IQ21" i="1" s="1"/>
  <c r="DX22" i="1"/>
  <c r="GG22" i="1" s="1"/>
  <c r="IQ22" i="1" s="1"/>
  <c r="DY17" i="1"/>
  <c r="GH17" i="1" s="1"/>
  <c r="IR17" i="1" s="1"/>
  <c r="DU13" i="1"/>
  <c r="GD13" i="1" s="1"/>
  <c r="IN13" i="1" s="1"/>
  <c r="DP12" i="1"/>
  <c r="FY12" i="1" s="1"/>
  <c r="II12" i="1" s="1"/>
  <c r="EA7" i="5" l="1"/>
  <c r="GJ7" i="5" s="1"/>
  <c r="IT7" i="5" s="1"/>
  <c r="EB5" i="5"/>
  <c r="GK5" i="5" s="1"/>
  <c r="IU5" i="5" s="1"/>
  <c r="EA6" i="5"/>
  <c r="GJ6" i="5" s="1"/>
  <c r="IT6" i="5" s="1"/>
  <c r="EA10" i="5"/>
  <c r="GJ10" i="5" s="1"/>
  <c r="IT10" i="5" s="1"/>
  <c r="EA16" i="5"/>
  <c r="GJ16" i="5" s="1"/>
  <c r="IT16" i="5" s="1"/>
  <c r="EC11" i="5"/>
  <c r="GL11" i="5" s="1"/>
  <c r="IV11" i="5" s="1"/>
  <c r="EB8" i="5"/>
  <c r="GK8" i="5" s="1"/>
  <c r="IU8" i="5" s="1"/>
  <c r="EA15" i="5"/>
  <c r="GJ15" i="5" s="1"/>
  <c r="IT15" i="5" s="1"/>
  <c r="EB12" i="5"/>
  <c r="GK12" i="5" s="1"/>
  <c r="IU12" i="5" s="1"/>
  <c r="EA13" i="5"/>
  <c r="GJ13" i="5" s="1"/>
  <c r="IT13" i="5" s="1"/>
  <c r="DZ17" i="5"/>
  <c r="GI17" i="5" s="1"/>
  <c r="IS17" i="5" s="1"/>
  <c r="EA14" i="5"/>
  <c r="GJ14" i="5" s="1"/>
  <c r="IT14" i="5" s="1"/>
  <c r="EA9" i="5"/>
  <c r="GJ9" i="5" s="1"/>
  <c r="IT9" i="5" s="1"/>
  <c r="DY22" i="1"/>
  <c r="GH22" i="1" s="1"/>
  <c r="IR22" i="1" s="1"/>
  <c r="DY21" i="1"/>
  <c r="GH21" i="1" s="1"/>
  <c r="IR21" i="1" s="1"/>
  <c r="DZ15" i="1"/>
  <c r="GI15" i="1" s="1"/>
  <c r="IS15" i="1" s="1"/>
  <c r="DZ16" i="1"/>
  <c r="GI16" i="1" s="1"/>
  <c r="IS16" i="1" s="1"/>
  <c r="DZ14" i="1"/>
  <c r="GI14" i="1" s="1"/>
  <c r="IS14" i="1" s="1"/>
  <c r="DZ20" i="1"/>
  <c r="GI20" i="1" s="1"/>
  <c r="IS20" i="1" s="1"/>
  <c r="DZ18" i="1"/>
  <c r="GI18" i="1" s="1"/>
  <c r="IS18" i="1" s="1"/>
  <c r="DY19" i="1"/>
  <c r="GH19" i="1" s="1"/>
  <c r="IR19" i="1" s="1"/>
  <c r="DZ17" i="1"/>
  <c r="GI17" i="1" s="1"/>
  <c r="IS17" i="1" s="1"/>
  <c r="DV13" i="1"/>
  <c r="GE13" i="1" s="1"/>
  <c r="IO13" i="1" s="1"/>
  <c r="DQ12" i="1"/>
  <c r="FZ12" i="1" s="1"/>
  <c r="IJ12" i="1" s="1"/>
  <c r="EC5" i="5" l="1"/>
  <c r="GL5" i="5" s="1"/>
  <c r="IV5" i="5" s="1"/>
  <c r="EB6" i="5"/>
  <c r="GK6" i="5" s="1"/>
  <c r="IU6" i="5" s="1"/>
  <c r="EB7" i="5"/>
  <c r="GK7" i="5" s="1"/>
  <c r="IU7" i="5" s="1"/>
  <c r="EB13" i="5"/>
  <c r="GK13" i="5" s="1"/>
  <c r="IU13" i="5" s="1"/>
  <c r="EC12" i="5"/>
  <c r="GL12" i="5" s="1"/>
  <c r="IV12" i="5" s="1"/>
  <c r="EB15" i="5"/>
  <c r="GK15" i="5" s="1"/>
  <c r="IU15" i="5" s="1"/>
  <c r="EC8" i="5"/>
  <c r="GL8" i="5" s="1"/>
  <c r="IV8" i="5" s="1"/>
  <c r="ED11" i="5"/>
  <c r="GM11" i="5" s="1"/>
  <c r="IW11" i="5" s="1"/>
  <c r="EB16" i="5"/>
  <c r="GK16" i="5" s="1"/>
  <c r="IU16" i="5" s="1"/>
  <c r="EB10" i="5"/>
  <c r="GK10" i="5" s="1"/>
  <c r="IU10" i="5" s="1"/>
  <c r="EB14" i="5"/>
  <c r="GK14" i="5" s="1"/>
  <c r="IU14" i="5" s="1"/>
  <c r="EA17" i="5"/>
  <c r="GJ17" i="5" s="1"/>
  <c r="IT17" i="5" s="1"/>
  <c r="EB9" i="5"/>
  <c r="GK9" i="5" s="1"/>
  <c r="IU9" i="5" s="1"/>
  <c r="EA17" i="1"/>
  <c r="GJ17" i="1" s="1"/>
  <c r="IT17" i="1" s="1"/>
  <c r="EA20" i="1"/>
  <c r="GJ20" i="1" s="1"/>
  <c r="IT20" i="1" s="1"/>
  <c r="DZ19" i="1"/>
  <c r="GI19" i="1" s="1"/>
  <c r="IS19" i="1" s="1"/>
  <c r="EA14" i="1"/>
  <c r="GJ14" i="1" s="1"/>
  <c r="IT14" i="1" s="1"/>
  <c r="EA16" i="1"/>
  <c r="GJ16" i="1" s="1"/>
  <c r="IT16" i="1" s="1"/>
  <c r="EA15" i="1"/>
  <c r="GJ15" i="1" s="1"/>
  <c r="IT15" i="1" s="1"/>
  <c r="DZ21" i="1"/>
  <c r="GI21" i="1" s="1"/>
  <c r="IS21" i="1" s="1"/>
  <c r="EA18" i="1"/>
  <c r="GJ18" i="1" s="1"/>
  <c r="IT18" i="1" s="1"/>
  <c r="DZ22" i="1"/>
  <c r="GI22" i="1" s="1"/>
  <c r="IS22" i="1" s="1"/>
  <c r="DW13" i="1"/>
  <c r="GF13" i="1" s="1"/>
  <c r="IP13" i="1" s="1"/>
  <c r="DR12" i="1"/>
  <c r="GA12" i="1" s="1"/>
  <c r="IK12" i="1" s="1"/>
  <c r="EC7" i="5" l="1"/>
  <c r="GL7" i="5" s="1"/>
  <c r="IV7" i="5" s="1"/>
  <c r="EC6" i="5"/>
  <c r="GL6" i="5" s="1"/>
  <c r="IV6" i="5" s="1"/>
  <c r="ED5" i="5"/>
  <c r="GM5" i="5" s="1"/>
  <c r="IW5" i="5" s="1"/>
  <c r="EB17" i="5"/>
  <c r="GK17" i="5" s="1"/>
  <c r="IU17" i="5" s="1"/>
  <c r="EC14" i="5"/>
  <c r="GL14" i="5" s="1"/>
  <c r="IV14" i="5" s="1"/>
  <c r="EC16" i="5"/>
  <c r="GL16" i="5" s="1"/>
  <c r="IV16" i="5" s="1"/>
  <c r="EE11" i="5"/>
  <c r="GN11" i="5" s="1"/>
  <c r="IX11" i="5" s="1"/>
  <c r="EC10" i="5"/>
  <c r="GL10" i="5" s="1"/>
  <c r="IV10" i="5" s="1"/>
  <c r="ED8" i="5"/>
  <c r="GM8" i="5" s="1"/>
  <c r="IW8" i="5" s="1"/>
  <c r="EC15" i="5"/>
  <c r="GL15" i="5" s="1"/>
  <c r="IV15" i="5" s="1"/>
  <c r="EC9" i="5"/>
  <c r="GL9" i="5" s="1"/>
  <c r="IV9" i="5" s="1"/>
  <c r="ED12" i="5"/>
  <c r="GM12" i="5" s="1"/>
  <c r="IW12" i="5" s="1"/>
  <c r="EC13" i="5"/>
  <c r="GL13" i="5" s="1"/>
  <c r="IV13" i="5" s="1"/>
  <c r="EA22" i="1"/>
  <c r="GJ22" i="1" s="1"/>
  <c r="IT22" i="1" s="1"/>
  <c r="EB18" i="1"/>
  <c r="GK18" i="1" s="1"/>
  <c r="IU18" i="1" s="1"/>
  <c r="EB15" i="1"/>
  <c r="GK15" i="1" s="1"/>
  <c r="IU15" i="1" s="1"/>
  <c r="EA21" i="1"/>
  <c r="GJ21" i="1" s="1"/>
  <c r="IT21" i="1" s="1"/>
  <c r="EB14" i="1"/>
  <c r="GK14" i="1" s="1"/>
  <c r="IU14" i="1" s="1"/>
  <c r="EA19" i="1"/>
  <c r="GJ19" i="1" s="1"/>
  <c r="IT19" i="1" s="1"/>
  <c r="EB17" i="1"/>
  <c r="GK17" i="1" s="1"/>
  <c r="IU17" i="1" s="1"/>
  <c r="EB16" i="1"/>
  <c r="GK16" i="1" s="1"/>
  <c r="IU16" i="1" s="1"/>
  <c r="EB20" i="1"/>
  <c r="GK20" i="1" s="1"/>
  <c r="IU20" i="1" s="1"/>
  <c r="DX13" i="1"/>
  <c r="GG13" i="1" s="1"/>
  <c r="IQ13" i="1" s="1"/>
  <c r="DS12" i="1"/>
  <c r="GB12" i="1" s="1"/>
  <c r="IL12" i="1" s="1"/>
  <c r="EE5" i="5" l="1"/>
  <c r="GN5" i="5" s="1"/>
  <c r="IX5" i="5" s="1"/>
  <c r="ED6" i="5"/>
  <c r="GM6" i="5" s="1"/>
  <c r="IW6" i="5" s="1"/>
  <c r="ED7" i="5"/>
  <c r="GM7" i="5" s="1"/>
  <c r="IW7" i="5" s="1"/>
  <c r="ED13" i="5"/>
  <c r="GM13" i="5" s="1"/>
  <c r="IW13" i="5" s="1"/>
  <c r="EE12" i="5"/>
  <c r="GN12" i="5" s="1"/>
  <c r="IX12" i="5" s="1"/>
  <c r="ED15" i="5"/>
  <c r="GM15" i="5" s="1"/>
  <c r="IW15" i="5" s="1"/>
  <c r="EE8" i="5"/>
  <c r="GN8" i="5" s="1"/>
  <c r="IX8" i="5" s="1"/>
  <c r="ED10" i="5"/>
  <c r="GM10" i="5" s="1"/>
  <c r="IW10" i="5" s="1"/>
  <c r="ED16" i="5"/>
  <c r="GM16" i="5" s="1"/>
  <c r="IW16" i="5" s="1"/>
  <c r="ED14" i="5"/>
  <c r="GM14" i="5" s="1"/>
  <c r="IW14" i="5" s="1"/>
  <c r="EF11" i="5"/>
  <c r="GO11" i="5" s="1"/>
  <c r="IY11" i="5" s="1"/>
  <c r="ED9" i="5"/>
  <c r="GM9" i="5" s="1"/>
  <c r="IW9" i="5" s="1"/>
  <c r="EC17" i="5"/>
  <c r="GL17" i="5" s="1"/>
  <c r="IV17" i="5" s="1"/>
  <c r="EC20" i="1"/>
  <c r="GL20" i="1" s="1"/>
  <c r="IV20" i="1" s="1"/>
  <c r="EC14" i="1"/>
  <c r="GL14" i="1" s="1"/>
  <c r="IV14" i="1" s="1"/>
  <c r="EB19" i="1"/>
  <c r="GK19" i="1" s="1"/>
  <c r="IU19" i="1" s="1"/>
  <c r="EC15" i="1"/>
  <c r="GL15" i="1" s="1"/>
  <c r="IV15" i="1" s="1"/>
  <c r="EC16" i="1"/>
  <c r="GL16" i="1" s="1"/>
  <c r="IV16" i="1" s="1"/>
  <c r="EC17" i="1"/>
  <c r="GL17" i="1" s="1"/>
  <c r="IV17" i="1" s="1"/>
  <c r="EB22" i="1"/>
  <c r="GK22" i="1" s="1"/>
  <c r="IU22" i="1" s="1"/>
  <c r="EB21" i="1"/>
  <c r="GK21" i="1" s="1"/>
  <c r="IU21" i="1" s="1"/>
  <c r="EC18" i="1"/>
  <c r="GL18" i="1" s="1"/>
  <c r="IV18" i="1" s="1"/>
  <c r="DY13" i="1"/>
  <c r="GH13" i="1" s="1"/>
  <c r="IR13" i="1" s="1"/>
  <c r="DT12" i="1"/>
  <c r="GC12" i="1" s="1"/>
  <c r="IM12" i="1" s="1"/>
  <c r="EE6" i="5" l="1"/>
  <c r="GN6" i="5" s="1"/>
  <c r="IX6" i="5" s="1"/>
  <c r="EF5" i="5"/>
  <c r="GO5" i="5" s="1"/>
  <c r="IY5" i="5" s="1"/>
  <c r="EE7" i="5"/>
  <c r="GN7" i="5" s="1"/>
  <c r="IX7" i="5" s="1"/>
  <c r="EE9" i="5"/>
  <c r="GN9" i="5" s="1"/>
  <c r="IX9" i="5" s="1"/>
  <c r="EG11" i="5"/>
  <c r="GP11" i="5" s="1"/>
  <c r="IZ11" i="5" s="1"/>
  <c r="EE14" i="5"/>
  <c r="GN14" i="5" s="1"/>
  <c r="IX14" i="5" s="1"/>
  <c r="EE16" i="5"/>
  <c r="GN16" i="5" s="1"/>
  <c r="IX16" i="5" s="1"/>
  <c r="EE10" i="5"/>
  <c r="GN10" i="5" s="1"/>
  <c r="IX10" i="5" s="1"/>
  <c r="EE15" i="5"/>
  <c r="GN15" i="5" s="1"/>
  <c r="IX15" i="5" s="1"/>
  <c r="EF12" i="5"/>
  <c r="GO12" i="5" s="1"/>
  <c r="IY12" i="5" s="1"/>
  <c r="EE13" i="5"/>
  <c r="GN13" i="5" s="1"/>
  <c r="IX13" i="5" s="1"/>
  <c r="EF8" i="5"/>
  <c r="GO8" i="5" s="1"/>
  <c r="IY8" i="5" s="1"/>
  <c r="ED17" i="5"/>
  <c r="GM17" i="5" s="1"/>
  <c r="IW17" i="5" s="1"/>
  <c r="EC21" i="1"/>
  <c r="GL21" i="1" s="1"/>
  <c r="IV21" i="1" s="1"/>
  <c r="EC22" i="1"/>
  <c r="GL22" i="1" s="1"/>
  <c r="IV22" i="1" s="1"/>
  <c r="ED16" i="1"/>
  <c r="GM16" i="1" s="1"/>
  <c r="IW16" i="1" s="1"/>
  <c r="ED14" i="1"/>
  <c r="GM14" i="1" s="1"/>
  <c r="IW14" i="1" s="1"/>
  <c r="ED18" i="1"/>
  <c r="GM18" i="1" s="1"/>
  <c r="IW18" i="1" s="1"/>
  <c r="ED17" i="1"/>
  <c r="GM17" i="1" s="1"/>
  <c r="IW17" i="1" s="1"/>
  <c r="ED15" i="1"/>
  <c r="GM15" i="1" s="1"/>
  <c r="IW15" i="1" s="1"/>
  <c r="EC19" i="1"/>
  <c r="GL19" i="1" s="1"/>
  <c r="IV19" i="1" s="1"/>
  <c r="ED20" i="1"/>
  <c r="GM20" i="1" s="1"/>
  <c r="IW20" i="1" s="1"/>
  <c r="DZ13" i="1"/>
  <c r="GI13" i="1" s="1"/>
  <c r="IS13" i="1" s="1"/>
  <c r="DU12" i="1"/>
  <c r="GD12" i="1" s="1"/>
  <c r="IN12" i="1" s="1"/>
  <c r="EG5" i="5" l="1"/>
  <c r="GP5" i="5" s="1"/>
  <c r="IZ5" i="5" s="1"/>
  <c r="EF6" i="5"/>
  <c r="GO6" i="5" s="1"/>
  <c r="IY6" i="5" s="1"/>
  <c r="EF7" i="5"/>
  <c r="GO7" i="5" s="1"/>
  <c r="IY7" i="5" s="1"/>
  <c r="EF16" i="5"/>
  <c r="GO16" i="5" s="1"/>
  <c r="IY16" i="5" s="1"/>
  <c r="EF10" i="5"/>
  <c r="GO10" i="5" s="1"/>
  <c r="IY10" i="5" s="1"/>
  <c r="EF14" i="5"/>
  <c r="GO14" i="5" s="1"/>
  <c r="IY14" i="5" s="1"/>
  <c r="EF9" i="5"/>
  <c r="GO9" i="5" s="1"/>
  <c r="IY9" i="5" s="1"/>
  <c r="EF13" i="5"/>
  <c r="GO13" i="5" s="1"/>
  <c r="IY13" i="5" s="1"/>
  <c r="EG12" i="5"/>
  <c r="GP12" i="5" s="1"/>
  <c r="IZ12" i="5" s="1"/>
  <c r="EF15" i="5"/>
  <c r="GO15" i="5" s="1"/>
  <c r="IY15" i="5" s="1"/>
  <c r="EE17" i="5"/>
  <c r="GN17" i="5" s="1"/>
  <c r="IX17" i="5" s="1"/>
  <c r="EH11" i="5"/>
  <c r="GQ11" i="5" s="1"/>
  <c r="JA11" i="5" s="1"/>
  <c r="EG8" i="5"/>
  <c r="GP8" i="5" s="1"/>
  <c r="IZ8" i="5" s="1"/>
  <c r="EE15" i="1"/>
  <c r="GN15" i="1" s="1"/>
  <c r="IX15" i="1" s="1"/>
  <c r="ED19" i="1"/>
  <c r="GM19" i="1" s="1"/>
  <c r="IW19" i="1" s="1"/>
  <c r="EE17" i="1"/>
  <c r="GN17" i="1" s="1"/>
  <c r="IX17" i="1" s="1"/>
  <c r="EE18" i="1"/>
  <c r="GN18" i="1" s="1"/>
  <c r="IX18" i="1" s="1"/>
  <c r="EE16" i="1"/>
  <c r="GN16" i="1" s="1"/>
  <c r="IX16" i="1" s="1"/>
  <c r="ED22" i="1"/>
  <c r="GM22" i="1" s="1"/>
  <c r="IW22" i="1" s="1"/>
  <c r="EE14" i="1"/>
  <c r="GN14" i="1" s="1"/>
  <c r="IX14" i="1" s="1"/>
  <c r="ED21" i="1"/>
  <c r="GM21" i="1" s="1"/>
  <c r="IW21" i="1" s="1"/>
  <c r="EE20" i="1"/>
  <c r="GN20" i="1" s="1"/>
  <c r="IX20" i="1" s="1"/>
  <c r="EA13" i="1"/>
  <c r="GJ13" i="1" s="1"/>
  <c r="IT13" i="1" s="1"/>
  <c r="DV12" i="1"/>
  <c r="GE12" i="1" s="1"/>
  <c r="IO12" i="1" s="1"/>
  <c r="EG7" i="5" l="1"/>
  <c r="GP7" i="5" s="1"/>
  <c r="IZ7" i="5" s="1"/>
  <c r="EG6" i="5"/>
  <c r="GP6" i="5" s="1"/>
  <c r="IZ6" i="5" s="1"/>
  <c r="EH5" i="5"/>
  <c r="GQ5" i="5" s="1"/>
  <c r="JA5" i="5" s="1"/>
  <c r="EF17" i="5"/>
  <c r="GO17" i="5" s="1"/>
  <c r="IY17" i="5" s="1"/>
  <c r="EG13" i="5"/>
  <c r="GP13" i="5" s="1"/>
  <c r="IZ13" i="5" s="1"/>
  <c r="EG10" i="5"/>
  <c r="GP10" i="5" s="1"/>
  <c r="IZ10" i="5" s="1"/>
  <c r="EG16" i="5"/>
  <c r="GP16" i="5" s="1"/>
  <c r="IZ16" i="5" s="1"/>
  <c r="EG15" i="5"/>
  <c r="GP15" i="5" s="1"/>
  <c r="IZ15" i="5" s="1"/>
  <c r="EH12" i="5"/>
  <c r="GQ12" i="5" s="1"/>
  <c r="JA12" i="5" s="1"/>
  <c r="EG9" i="5"/>
  <c r="GP9" i="5" s="1"/>
  <c r="IZ9" i="5" s="1"/>
  <c r="EG14" i="5"/>
  <c r="GP14" i="5" s="1"/>
  <c r="IZ14" i="5" s="1"/>
  <c r="EH8" i="5"/>
  <c r="GQ8" i="5" s="1"/>
  <c r="JA8" i="5" s="1"/>
  <c r="EI11" i="5"/>
  <c r="GR11" i="5" s="1"/>
  <c r="JB11" i="5" s="1"/>
  <c r="EF20" i="1"/>
  <c r="GO20" i="1" s="1"/>
  <c r="IY20" i="1" s="1"/>
  <c r="EF14" i="1"/>
  <c r="GO14" i="1" s="1"/>
  <c r="IY14" i="1" s="1"/>
  <c r="EF16" i="1"/>
  <c r="GO16" i="1" s="1"/>
  <c r="IY16" i="1" s="1"/>
  <c r="EE19" i="1"/>
  <c r="GN19" i="1" s="1"/>
  <c r="IX19" i="1" s="1"/>
  <c r="EE21" i="1"/>
  <c r="GN21" i="1" s="1"/>
  <c r="IX21" i="1" s="1"/>
  <c r="EE22" i="1"/>
  <c r="GN22" i="1" s="1"/>
  <c r="IX22" i="1" s="1"/>
  <c r="EF18" i="1"/>
  <c r="GO18" i="1" s="1"/>
  <c r="IY18" i="1" s="1"/>
  <c r="EF15" i="1"/>
  <c r="GO15" i="1" s="1"/>
  <c r="IY15" i="1" s="1"/>
  <c r="EF17" i="1"/>
  <c r="GO17" i="1" s="1"/>
  <c r="IY17" i="1" s="1"/>
  <c r="EB13" i="1"/>
  <c r="GK13" i="1" s="1"/>
  <c r="IU13" i="1" s="1"/>
  <c r="DW12" i="1"/>
  <c r="GF12" i="1" s="1"/>
  <c r="IP12" i="1" s="1"/>
  <c r="EH6" i="5" l="1"/>
  <c r="GQ6" i="5" s="1"/>
  <c r="JA6" i="5" s="1"/>
  <c r="EH7" i="5"/>
  <c r="GQ7" i="5" s="1"/>
  <c r="JA7" i="5" s="1"/>
  <c r="EI5" i="5"/>
  <c r="GR5" i="5" s="1"/>
  <c r="JB5" i="5" s="1"/>
  <c r="EH14" i="5"/>
  <c r="GQ14" i="5" s="1"/>
  <c r="JA14" i="5" s="1"/>
  <c r="EH9" i="5"/>
  <c r="GQ9" i="5" s="1"/>
  <c r="JA9" i="5" s="1"/>
  <c r="EI12" i="5"/>
  <c r="GR12" i="5" s="1"/>
  <c r="JB12" i="5" s="1"/>
  <c r="EH15" i="5"/>
  <c r="GQ15" i="5" s="1"/>
  <c r="JA15" i="5" s="1"/>
  <c r="EH10" i="5"/>
  <c r="GQ10" i="5" s="1"/>
  <c r="JA10" i="5" s="1"/>
  <c r="EG17" i="5"/>
  <c r="GP17" i="5" s="1"/>
  <c r="IZ17" i="5" s="1"/>
  <c r="EH16" i="5"/>
  <c r="GQ16" i="5" s="1"/>
  <c r="JA16" i="5" s="1"/>
  <c r="EJ11" i="5"/>
  <c r="GS11" i="5" s="1"/>
  <c r="JC11" i="5" s="1"/>
  <c r="EH13" i="5"/>
  <c r="GQ13" i="5" s="1"/>
  <c r="JA13" i="5" s="1"/>
  <c r="EI8" i="5"/>
  <c r="GR8" i="5" s="1"/>
  <c r="JB8" i="5" s="1"/>
  <c r="EG15" i="1"/>
  <c r="GP15" i="1" s="1"/>
  <c r="IZ15" i="1" s="1"/>
  <c r="EF21" i="1"/>
  <c r="GO21" i="1" s="1"/>
  <c r="IY21" i="1" s="1"/>
  <c r="EG17" i="1"/>
  <c r="GP17" i="1" s="1"/>
  <c r="IZ17" i="1" s="1"/>
  <c r="EG18" i="1"/>
  <c r="GP18" i="1" s="1"/>
  <c r="IZ18" i="1" s="1"/>
  <c r="EF22" i="1"/>
  <c r="GO22" i="1" s="1"/>
  <c r="IY22" i="1" s="1"/>
  <c r="EF19" i="1"/>
  <c r="GO19" i="1" s="1"/>
  <c r="IY19" i="1" s="1"/>
  <c r="EG16" i="1"/>
  <c r="GP16" i="1" s="1"/>
  <c r="IZ16" i="1" s="1"/>
  <c r="EG14" i="1"/>
  <c r="GP14" i="1" s="1"/>
  <c r="IZ14" i="1" s="1"/>
  <c r="EG20" i="1"/>
  <c r="GP20" i="1" s="1"/>
  <c r="IZ20" i="1" s="1"/>
  <c r="EC13" i="1"/>
  <c r="GL13" i="1" s="1"/>
  <c r="IV13" i="1" s="1"/>
  <c r="DX12" i="1"/>
  <c r="GG12" i="1" s="1"/>
  <c r="IQ12" i="1" s="1"/>
  <c r="EJ5" i="5" l="1"/>
  <c r="GS5" i="5" s="1"/>
  <c r="JC5" i="5" s="1"/>
  <c r="EI7" i="5"/>
  <c r="GR7" i="5" s="1"/>
  <c r="JB7" i="5" s="1"/>
  <c r="EI6" i="5"/>
  <c r="GR6" i="5" s="1"/>
  <c r="JB6" i="5" s="1"/>
  <c r="EK11" i="5"/>
  <c r="GT11" i="5" s="1"/>
  <c r="JD11" i="5" s="1"/>
  <c r="EH17" i="5"/>
  <c r="GQ17" i="5" s="1"/>
  <c r="JA17" i="5" s="1"/>
  <c r="EJ12" i="5"/>
  <c r="GS12" i="5" s="1"/>
  <c r="JC12" i="5" s="1"/>
  <c r="EI9" i="5"/>
  <c r="GR9" i="5" s="1"/>
  <c r="JB9" i="5" s="1"/>
  <c r="EI13" i="5"/>
  <c r="GR13" i="5" s="1"/>
  <c r="JB13" i="5" s="1"/>
  <c r="EI16" i="5"/>
  <c r="GR16" i="5" s="1"/>
  <c r="JB16" i="5" s="1"/>
  <c r="EI10" i="5"/>
  <c r="GR10" i="5" s="1"/>
  <c r="JB10" i="5" s="1"/>
  <c r="EI14" i="5"/>
  <c r="GR14" i="5" s="1"/>
  <c r="JB14" i="5" s="1"/>
  <c r="EJ8" i="5"/>
  <c r="GS8" i="5" s="1"/>
  <c r="JC8" i="5" s="1"/>
  <c r="EI15" i="5"/>
  <c r="GR15" i="5" s="1"/>
  <c r="JB15" i="5" s="1"/>
  <c r="EH16" i="1"/>
  <c r="GQ16" i="1" s="1"/>
  <c r="JA16" i="1" s="1"/>
  <c r="EH14" i="1"/>
  <c r="GQ14" i="1" s="1"/>
  <c r="JA14" i="1" s="1"/>
  <c r="EG21" i="1"/>
  <c r="GP21" i="1" s="1"/>
  <c r="IZ21" i="1" s="1"/>
  <c r="EG19" i="1"/>
  <c r="GP19" i="1" s="1"/>
  <c r="IZ19" i="1" s="1"/>
  <c r="EG22" i="1"/>
  <c r="GP22" i="1" s="1"/>
  <c r="IZ22" i="1" s="1"/>
  <c r="EH18" i="1"/>
  <c r="GQ18" i="1" s="1"/>
  <c r="JA18" i="1" s="1"/>
  <c r="EH17" i="1"/>
  <c r="GQ17" i="1" s="1"/>
  <c r="JA17" i="1" s="1"/>
  <c r="EH15" i="1"/>
  <c r="GQ15" i="1" s="1"/>
  <c r="JA15" i="1" s="1"/>
  <c r="EH20" i="1"/>
  <c r="GQ20" i="1" s="1"/>
  <c r="JA20" i="1" s="1"/>
  <c r="ED13" i="1"/>
  <c r="GM13" i="1" s="1"/>
  <c r="IW13" i="1" s="1"/>
  <c r="DY12" i="1"/>
  <c r="GH12" i="1" s="1"/>
  <c r="IR12" i="1" s="1"/>
  <c r="EJ7" i="5" l="1"/>
  <c r="GS7" i="5" s="1"/>
  <c r="JC7" i="5" s="1"/>
  <c r="EJ6" i="5"/>
  <c r="GS6" i="5" s="1"/>
  <c r="JC6" i="5" s="1"/>
  <c r="EK5" i="5"/>
  <c r="GT5" i="5" s="1"/>
  <c r="JD5" i="5" s="1"/>
  <c r="EI17" i="5"/>
  <c r="GR17" i="5" s="1"/>
  <c r="JB17" i="5" s="1"/>
  <c r="EK12" i="5"/>
  <c r="GT12" i="5" s="1"/>
  <c r="JD12" i="5" s="1"/>
  <c r="EK8" i="5"/>
  <c r="GT8" i="5" s="1"/>
  <c r="JD8" i="5" s="1"/>
  <c r="EJ15" i="5"/>
  <c r="GS15" i="5" s="1"/>
  <c r="JC15" i="5" s="1"/>
  <c r="EJ14" i="5"/>
  <c r="GS14" i="5" s="1"/>
  <c r="JC14" i="5" s="1"/>
  <c r="EJ10" i="5"/>
  <c r="GS10" i="5" s="1"/>
  <c r="JC10" i="5" s="1"/>
  <c r="EJ16" i="5"/>
  <c r="GS16" i="5" s="1"/>
  <c r="JC16" i="5" s="1"/>
  <c r="EJ13" i="5"/>
  <c r="GS13" i="5" s="1"/>
  <c r="JC13" i="5" s="1"/>
  <c r="EJ9" i="5"/>
  <c r="GS9" i="5" s="1"/>
  <c r="JC9" i="5" s="1"/>
  <c r="EL11" i="5"/>
  <c r="GU11" i="5" s="1"/>
  <c r="JE11" i="5" s="1"/>
  <c r="EI18" i="1"/>
  <c r="GR18" i="1" s="1"/>
  <c r="JB18" i="1" s="1"/>
  <c r="EH19" i="1"/>
  <c r="GQ19" i="1" s="1"/>
  <c r="JA19" i="1" s="1"/>
  <c r="EI15" i="1"/>
  <c r="GR15" i="1" s="1"/>
  <c r="JB15" i="1" s="1"/>
  <c r="EI17" i="1"/>
  <c r="GR17" i="1" s="1"/>
  <c r="JB17" i="1" s="1"/>
  <c r="EH21" i="1"/>
  <c r="GQ21" i="1" s="1"/>
  <c r="JA21" i="1" s="1"/>
  <c r="EI14" i="1"/>
  <c r="GR14" i="1" s="1"/>
  <c r="JB14" i="1" s="1"/>
  <c r="EI16" i="1"/>
  <c r="GR16" i="1" s="1"/>
  <c r="JB16" i="1" s="1"/>
  <c r="EI20" i="1"/>
  <c r="GR20" i="1" s="1"/>
  <c r="JB20" i="1" s="1"/>
  <c r="EH22" i="1"/>
  <c r="GQ22" i="1" s="1"/>
  <c r="JA22" i="1" s="1"/>
  <c r="EE13" i="1"/>
  <c r="GN13" i="1" s="1"/>
  <c r="IX13" i="1" s="1"/>
  <c r="DZ12" i="1"/>
  <c r="GI12" i="1" s="1"/>
  <c r="IS12" i="1" s="1"/>
  <c r="EK7" i="5" l="1"/>
  <c r="GT7" i="5" s="1"/>
  <c r="JD7" i="5" s="1"/>
  <c r="EL5" i="5"/>
  <c r="GU5" i="5" s="1"/>
  <c r="JE5" i="5" s="1"/>
  <c r="EK6" i="5"/>
  <c r="GT6" i="5" s="1"/>
  <c r="JD6" i="5" s="1"/>
  <c r="EK10" i="5"/>
  <c r="GT10" i="5" s="1"/>
  <c r="JD10" i="5" s="1"/>
  <c r="EK15" i="5"/>
  <c r="GT15" i="5" s="1"/>
  <c r="JD15" i="5" s="1"/>
  <c r="EK13" i="5"/>
  <c r="GT13" i="5" s="1"/>
  <c r="JD13" i="5" s="1"/>
  <c r="EK16" i="5"/>
  <c r="GT16" i="5" s="1"/>
  <c r="JD16" i="5" s="1"/>
  <c r="EK14" i="5"/>
  <c r="GT14" i="5" s="1"/>
  <c r="JD14" i="5" s="1"/>
  <c r="EL8" i="5"/>
  <c r="GU8" i="5" s="1"/>
  <c r="JE8" i="5" s="1"/>
  <c r="EM11" i="5"/>
  <c r="GV11" i="5" s="1"/>
  <c r="JF11" i="5" s="1"/>
  <c r="EL12" i="5"/>
  <c r="GU12" i="5" s="1"/>
  <c r="JE12" i="5" s="1"/>
  <c r="EK9" i="5"/>
  <c r="GT9" i="5" s="1"/>
  <c r="JD9" i="5" s="1"/>
  <c r="EJ17" i="5"/>
  <c r="GS17" i="5" s="1"/>
  <c r="JC17" i="5" s="1"/>
  <c r="EJ20" i="1"/>
  <c r="GS20" i="1" s="1"/>
  <c r="JC20" i="1" s="1"/>
  <c r="EJ14" i="1"/>
  <c r="GS14" i="1" s="1"/>
  <c r="JC14" i="1" s="1"/>
  <c r="EI22" i="1"/>
  <c r="GR22" i="1" s="1"/>
  <c r="JB22" i="1" s="1"/>
  <c r="EJ16" i="1"/>
  <c r="GS16" i="1" s="1"/>
  <c r="JC16" i="1" s="1"/>
  <c r="EI21" i="1"/>
  <c r="GR21" i="1" s="1"/>
  <c r="JB21" i="1" s="1"/>
  <c r="EJ17" i="1"/>
  <c r="GS17" i="1" s="1"/>
  <c r="JC17" i="1" s="1"/>
  <c r="EJ15" i="1"/>
  <c r="GS15" i="1" s="1"/>
  <c r="JC15" i="1" s="1"/>
  <c r="EJ18" i="1"/>
  <c r="GS18" i="1" s="1"/>
  <c r="JC18" i="1" s="1"/>
  <c r="EI19" i="1"/>
  <c r="GR19" i="1" s="1"/>
  <c r="JB19" i="1" s="1"/>
  <c r="EF13" i="1"/>
  <c r="GO13" i="1" s="1"/>
  <c r="IY13" i="1" s="1"/>
  <c r="EA12" i="1"/>
  <c r="GJ12" i="1" s="1"/>
  <c r="IT12" i="1" s="1"/>
  <c r="EL6" i="5" l="1"/>
  <c r="GU6" i="5" s="1"/>
  <c r="JE6" i="5" s="1"/>
  <c r="EM5" i="5"/>
  <c r="GV5" i="5" s="1"/>
  <c r="JF5" i="5" s="1"/>
  <c r="EL7" i="5"/>
  <c r="GU7" i="5" s="1"/>
  <c r="JE7" i="5" s="1"/>
  <c r="EM12" i="5"/>
  <c r="GV12" i="5" s="1"/>
  <c r="JF12" i="5" s="1"/>
  <c r="EM8" i="5"/>
  <c r="GV8" i="5" s="1"/>
  <c r="JF8" i="5" s="1"/>
  <c r="EL16" i="5"/>
  <c r="GU16" i="5" s="1"/>
  <c r="JE16" i="5" s="1"/>
  <c r="EL13" i="5"/>
  <c r="GU13" i="5" s="1"/>
  <c r="JE13" i="5" s="1"/>
  <c r="EL10" i="5"/>
  <c r="GU10" i="5" s="1"/>
  <c r="JE10" i="5" s="1"/>
  <c r="EN11" i="5"/>
  <c r="GW11" i="5" s="1"/>
  <c r="JG11" i="5" s="1"/>
  <c r="EL14" i="5"/>
  <c r="GU14" i="5" s="1"/>
  <c r="JE14" i="5" s="1"/>
  <c r="EK17" i="5"/>
  <c r="GT17" i="5" s="1"/>
  <c r="JD17" i="5" s="1"/>
  <c r="EL15" i="5"/>
  <c r="GU15" i="5" s="1"/>
  <c r="JE15" i="5" s="1"/>
  <c r="EL9" i="5"/>
  <c r="GU9" i="5" s="1"/>
  <c r="JE9" i="5" s="1"/>
  <c r="EJ19" i="1"/>
  <c r="GS19" i="1" s="1"/>
  <c r="JC19" i="1" s="1"/>
  <c r="EK17" i="1"/>
  <c r="GT17" i="1" s="1"/>
  <c r="JD17" i="1" s="1"/>
  <c r="EK18" i="1"/>
  <c r="GT18" i="1" s="1"/>
  <c r="JD18" i="1" s="1"/>
  <c r="EK15" i="1"/>
  <c r="GT15" i="1" s="1"/>
  <c r="JD15" i="1" s="1"/>
  <c r="EJ21" i="1"/>
  <c r="GS21" i="1" s="1"/>
  <c r="JC21" i="1" s="1"/>
  <c r="EK16" i="1"/>
  <c r="GT16" i="1" s="1"/>
  <c r="JD16" i="1" s="1"/>
  <c r="EJ22" i="1"/>
  <c r="GS22" i="1" s="1"/>
  <c r="JC22" i="1" s="1"/>
  <c r="EK14" i="1"/>
  <c r="GT14" i="1" s="1"/>
  <c r="JD14" i="1" s="1"/>
  <c r="EK20" i="1"/>
  <c r="GT20" i="1" s="1"/>
  <c r="JD20" i="1" s="1"/>
  <c r="EG13" i="1"/>
  <c r="GP13" i="1" s="1"/>
  <c r="IZ13" i="1" s="1"/>
  <c r="EB12" i="1"/>
  <c r="GK12" i="1" s="1"/>
  <c r="IU12" i="1" s="1"/>
  <c r="EN5" i="5" l="1"/>
  <c r="GW5" i="5" s="1"/>
  <c r="JG5" i="5" s="1"/>
  <c r="EM6" i="5"/>
  <c r="GV6" i="5" s="1"/>
  <c r="JF6" i="5" s="1"/>
  <c r="EM7" i="5"/>
  <c r="GV7" i="5" s="1"/>
  <c r="JF7" i="5" s="1"/>
  <c r="EM13" i="5"/>
  <c r="GV13" i="5" s="1"/>
  <c r="JF13" i="5" s="1"/>
  <c r="EN12" i="5"/>
  <c r="GW12" i="5" s="1"/>
  <c r="JG12" i="5" s="1"/>
  <c r="EM9" i="5"/>
  <c r="GV9" i="5" s="1"/>
  <c r="JF9" i="5" s="1"/>
  <c r="EL17" i="5"/>
  <c r="GU17" i="5" s="1"/>
  <c r="JE17" i="5" s="1"/>
  <c r="EO11" i="5"/>
  <c r="GX11" i="5" s="1"/>
  <c r="JH11" i="5" s="1"/>
  <c r="EM14" i="5"/>
  <c r="GV14" i="5" s="1"/>
  <c r="JF14" i="5" s="1"/>
  <c r="EM10" i="5"/>
  <c r="GV10" i="5" s="1"/>
  <c r="JF10" i="5" s="1"/>
  <c r="EM16" i="5"/>
  <c r="GV16" i="5" s="1"/>
  <c r="JF16" i="5" s="1"/>
  <c r="EN8" i="5"/>
  <c r="GW8" i="5" s="1"/>
  <c r="JG8" i="5" s="1"/>
  <c r="EM15" i="5"/>
  <c r="GV15" i="5" s="1"/>
  <c r="JF15" i="5" s="1"/>
  <c r="EL20" i="1"/>
  <c r="GU20" i="1" s="1"/>
  <c r="JE20" i="1" s="1"/>
  <c r="EK22" i="1"/>
  <c r="GT22" i="1" s="1"/>
  <c r="JD22" i="1" s="1"/>
  <c r="EL14" i="1"/>
  <c r="GU14" i="1" s="1"/>
  <c r="JE14" i="1" s="1"/>
  <c r="EL16" i="1"/>
  <c r="GU16" i="1" s="1"/>
  <c r="JE16" i="1" s="1"/>
  <c r="EK21" i="1"/>
  <c r="GT21" i="1" s="1"/>
  <c r="JD21" i="1" s="1"/>
  <c r="EL18" i="1"/>
  <c r="GU18" i="1" s="1"/>
  <c r="JE18" i="1" s="1"/>
  <c r="EL15" i="1"/>
  <c r="GU15" i="1" s="1"/>
  <c r="JE15" i="1" s="1"/>
  <c r="EL17" i="1"/>
  <c r="GU17" i="1" s="1"/>
  <c r="JE17" i="1" s="1"/>
  <c r="EK19" i="1"/>
  <c r="GT19" i="1" s="1"/>
  <c r="JD19" i="1" s="1"/>
  <c r="EH13" i="1"/>
  <c r="GQ13" i="1" s="1"/>
  <c r="JA13" i="1" s="1"/>
  <c r="EC12" i="1"/>
  <c r="GL12" i="1" s="1"/>
  <c r="IV12" i="1" s="1"/>
  <c r="EN6" i="5" l="1"/>
  <c r="GW6" i="5" s="1"/>
  <c r="JG6" i="5" s="1"/>
  <c r="EN7" i="5"/>
  <c r="GW7" i="5" s="1"/>
  <c r="JG7" i="5" s="1"/>
  <c r="EO5" i="5"/>
  <c r="GX5" i="5" s="1"/>
  <c r="JH5" i="5" s="1"/>
  <c r="EN9" i="5"/>
  <c r="GW9" i="5" s="1"/>
  <c r="JG9" i="5" s="1"/>
  <c r="EN13" i="5"/>
  <c r="GW13" i="5" s="1"/>
  <c r="JG13" i="5" s="1"/>
  <c r="EO12" i="5"/>
  <c r="GX12" i="5" s="1"/>
  <c r="JH12" i="5" s="1"/>
  <c r="EN16" i="5"/>
  <c r="GW16" i="5" s="1"/>
  <c r="JG16" i="5" s="1"/>
  <c r="EN10" i="5"/>
  <c r="GW10" i="5" s="1"/>
  <c r="JG10" i="5" s="1"/>
  <c r="EN14" i="5"/>
  <c r="GW14" i="5" s="1"/>
  <c r="JG14" i="5" s="1"/>
  <c r="EN15" i="5"/>
  <c r="GW15" i="5" s="1"/>
  <c r="JG15" i="5" s="1"/>
  <c r="EM17" i="5"/>
  <c r="GV17" i="5" s="1"/>
  <c r="JF17" i="5" s="1"/>
  <c r="EO8" i="5"/>
  <c r="GX8" i="5" s="1"/>
  <c r="JH8" i="5" s="1"/>
  <c r="EP11" i="5"/>
  <c r="GY11" i="5" s="1"/>
  <c r="JI11" i="5" s="1"/>
  <c r="EL19" i="1"/>
  <c r="GU19" i="1" s="1"/>
  <c r="JE19" i="1" s="1"/>
  <c r="EM18" i="1"/>
  <c r="GV18" i="1" s="1"/>
  <c r="JF18" i="1" s="1"/>
  <c r="EM15" i="1"/>
  <c r="GV15" i="1" s="1"/>
  <c r="JF15" i="1" s="1"/>
  <c r="EL21" i="1"/>
  <c r="GU21" i="1" s="1"/>
  <c r="JE21" i="1" s="1"/>
  <c r="EM16" i="1"/>
  <c r="GV16" i="1" s="1"/>
  <c r="JF16" i="1" s="1"/>
  <c r="EM14" i="1"/>
  <c r="GV14" i="1" s="1"/>
  <c r="JF14" i="1" s="1"/>
  <c r="EM17" i="1"/>
  <c r="GV17" i="1" s="1"/>
  <c r="JF17" i="1" s="1"/>
  <c r="EM20" i="1"/>
  <c r="GV20" i="1" s="1"/>
  <c r="JF20" i="1" s="1"/>
  <c r="EL22" i="1"/>
  <c r="GU22" i="1" s="1"/>
  <c r="JE22" i="1" s="1"/>
  <c r="EI13" i="1"/>
  <c r="GR13" i="1" s="1"/>
  <c r="JB13" i="1" s="1"/>
  <c r="ED12" i="1"/>
  <c r="GM12" i="1" s="1"/>
  <c r="IW12" i="1" s="1"/>
  <c r="EP5" i="5" l="1"/>
  <c r="GY5" i="5" s="1"/>
  <c r="JI5" i="5" s="1"/>
  <c r="EO7" i="5"/>
  <c r="GX7" i="5" s="1"/>
  <c r="JH7" i="5" s="1"/>
  <c r="EO6" i="5"/>
  <c r="GX6" i="5" s="1"/>
  <c r="JH6" i="5" s="1"/>
  <c r="EP12" i="5"/>
  <c r="GY12" i="5" s="1"/>
  <c r="JI12" i="5" s="1"/>
  <c r="EO16" i="5"/>
  <c r="GX16" i="5" s="1"/>
  <c r="JH16" i="5" s="1"/>
  <c r="EO9" i="5"/>
  <c r="GX9" i="5" s="1"/>
  <c r="JH9" i="5" s="1"/>
  <c r="EN17" i="5"/>
  <c r="GW17" i="5" s="1"/>
  <c r="JG17" i="5" s="1"/>
  <c r="EO15" i="5"/>
  <c r="GX15" i="5" s="1"/>
  <c r="JH15" i="5" s="1"/>
  <c r="EO14" i="5"/>
  <c r="GX14" i="5" s="1"/>
  <c r="JH14" i="5" s="1"/>
  <c r="EO10" i="5"/>
  <c r="GX10" i="5" s="1"/>
  <c r="JH10" i="5" s="1"/>
  <c r="EQ11" i="5"/>
  <c r="GZ11" i="5" s="1"/>
  <c r="JJ11" i="5" s="1"/>
  <c r="EO13" i="5"/>
  <c r="GX13" i="5" s="1"/>
  <c r="JH13" i="5" s="1"/>
  <c r="EP8" i="5"/>
  <c r="GY8" i="5" s="1"/>
  <c r="JI8" i="5" s="1"/>
  <c r="EN20" i="1"/>
  <c r="GW20" i="1" s="1"/>
  <c r="JG20" i="1" s="1"/>
  <c r="EN14" i="1"/>
  <c r="GW14" i="1" s="1"/>
  <c r="JG14" i="1" s="1"/>
  <c r="EM22" i="1"/>
  <c r="GV22" i="1" s="1"/>
  <c r="JF22" i="1" s="1"/>
  <c r="EN17" i="1"/>
  <c r="GW17" i="1" s="1"/>
  <c r="JG17" i="1" s="1"/>
  <c r="EN16" i="1"/>
  <c r="GW16" i="1" s="1"/>
  <c r="JG16" i="1" s="1"/>
  <c r="EM21" i="1"/>
  <c r="GV21" i="1" s="1"/>
  <c r="JF21" i="1" s="1"/>
  <c r="EN15" i="1"/>
  <c r="GW15" i="1" s="1"/>
  <c r="JG15" i="1" s="1"/>
  <c r="EN18" i="1"/>
  <c r="GW18" i="1" s="1"/>
  <c r="JG18" i="1" s="1"/>
  <c r="EM19" i="1"/>
  <c r="GV19" i="1" s="1"/>
  <c r="JF19" i="1" s="1"/>
  <c r="EJ13" i="1"/>
  <c r="GS13" i="1" s="1"/>
  <c r="JC13" i="1" s="1"/>
  <c r="EE12" i="1"/>
  <c r="GN12" i="1" s="1"/>
  <c r="IX12" i="1" s="1"/>
  <c r="EP7" i="5" l="1"/>
  <c r="GY7" i="5" s="1"/>
  <c r="JI7" i="5" s="1"/>
  <c r="EP6" i="5"/>
  <c r="GY6" i="5" s="1"/>
  <c r="JI6" i="5" s="1"/>
  <c r="EQ5" i="5"/>
  <c r="GZ5" i="5" s="1"/>
  <c r="JJ5" i="5" s="1"/>
  <c r="EO17" i="5"/>
  <c r="GX17" i="5" s="1"/>
  <c r="JH17" i="5" s="1"/>
  <c r="EP16" i="5"/>
  <c r="GY16" i="5" s="1"/>
  <c r="JI16" i="5" s="1"/>
  <c r="EQ8" i="5"/>
  <c r="GZ8" i="5" s="1"/>
  <c r="JJ8" i="5" s="1"/>
  <c r="EP9" i="5"/>
  <c r="GY9" i="5" s="1"/>
  <c r="JI9" i="5" s="1"/>
  <c r="EP10" i="5"/>
  <c r="GY10" i="5" s="1"/>
  <c r="JI10" i="5" s="1"/>
  <c r="EP14" i="5"/>
  <c r="GY14" i="5" s="1"/>
  <c r="JI14" i="5" s="1"/>
  <c r="ER11" i="5"/>
  <c r="HA11" i="5" s="1"/>
  <c r="JK11" i="5" s="1"/>
  <c r="EP15" i="5"/>
  <c r="GY15" i="5" s="1"/>
  <c r="JI15" i="5" s="1"/>
  <c r="EP13" i="5"/>
  <c r="GY13" i="5" s="1"/>
  <c r="JI13" i="5" s="1"/>
  <c r="EQ12" i="5"/>
  <c r="GZ12" i="5" s="1"/>
  <c r="JJ12" i="5" s="1"/>
  <c r="EO15" i="1"/>
  <c r="GX15" i="1" s="1"/>
  <c r="JH15" i="1" s="1"/>
  <c r="EN19" i="1"/>
  <c r="GW19" i="1" s="1"/>
  <c r="JG19" i="1" s="1"/>
  <c r="EO18" i="1"/>
  <c r="GX18" i="1" s="1"/>
  <c r="JH18" i="1" s="1"/>
  <c r="EN21" i="1"/>
  <c r="GW21" i="1" s="1"/>
  <c r="JG21" i="1" s="1"/>
  <c r="EO16" i="1"/>
  <c r="GX16" i="1" s="1"/>
  <c r="JH16" i="1" s="1"/>
  <c r="EO17" i="1"/>
  <c r="GX17" i="1" s="1"/>
  <c r="JH17" i="1" s="1"/>
  <c r="EO14" i="1"/>
  <c r="GX14" i="1" s="1"/>
  <c r="JH14" i="1" s="1"/>
  <c r="EO20" i="1"/>
  <c r="GX20" i="1" s="1"/>
  <c r="JH20" i="1" s="1"/>
  <c r="EN22" i="1"/>
  <c r="GW22" i="1" s="1"/>
  <c r="JG22" i="1" s="1"/>
  <c r="EK13" i="1"/>
  <c r="GT13" i="1" s="1"/>
  <c r="JD13" i="1" s="1"/>
  <c r="EF12" i="1"/>
  <c r="GO12" i="1" s="1"/>
  <c r="IY12" i="1" s="1"/>
  <c r="ER5" i="5" l="1"/>
  <c r="HA5" i="5" s="1"/>
  <c r="JK5" i="5" s="1"/>
  <c r="EQ6" i="5"/>
  <c r="GZ6" i="5" s="1"/>
  <c r="JJ6" i="5" s="1"/>
  <c r="EQ7" i="5"/>
  <c r="GZ7" i="5" s="1"/>
  <c r="JJ7" i="5" s="1"/>
  <c r="EQ13" i="5"/>
  <c r="GZ13" i="5" s="1"/>
  <c r="JJ13" i="5" s="1"/>
  <c r="EQ15" i="5"/>
  <c r="GZ15" i="5" s="1"/>
  <c r="JJ15" i="5" s="1"/>
  <c r="EQ14" i="5"/>
  <c r="GZ14" i="5" s="1"/>
  <c r="JJ14" i="5" s="1"/>
  <c r="ER8" i="5"/>
  <c r="HA8" i="5" s="1"/>
  <c r="JK8" i="5" s="1"/>
  <c r="EQ16" i="5"/>
  <c r="GZ16" i="5" s="1"/>
  <c r="JJ16" i="5" s="1"/>
  <c r="EQ10" i="5"/>
  <c r="GZ10" i="5" s="1"/>
  <c r="JJ10" i="5" s="1"/>
  <c r="EQ9" i="5"/>
  <c r="GZ9" i="5" s="1"/>
  <c r="JJ9" i="5" s="1"/>
  <c r="ER12" i="5"/>
  <c r="HA12" i="5" s="1"/>
  <c r="JK12" i="5" s="1"/>
  <c r="EP17" i="5"/>
  <c r="GY17" i="5" s="1"/>
  <c r="JI17" i="5" s="1"/>
  <c r="EP14" i="1"/>
  <c r="GY14" i="1" s="1"/>
  <c r="JI14" i="1" s="1"/>
  <c r="EO22" i="1"/>
  <c r="GX22" i="1" s="1"/>
  <c r="JH22" i="1" s="1"/>
  <c r="EP20" i="1"/>
  <c r="GY20" i="1" s="1"/>
  <c r="JI20" i="1" s="1"/>
  <c r="EP17" i="1"/>
  <c r="GY17" i="1" s="1"/>
  <c r="JI17" i="1" s="1"/>
  <c r="EP16" i="1"/>
  <c r="GY16" i="1" s="1"/>
  <c r="JI16" i="1" s="1"/>
  <c r="EO21" i="1"/>
  <c r="GX21" i="1" s="1"/>
  <c r="JH21" i="1" s="1"/>
  <c r="EP18" i="1"/>
  <c r="GY18" i="1" s="1"/>
  <c r="JI18" i="1" s="1"/>
  <c r="EP15" i="1"/>
  <c r="GY15" i="1" s="1"/>
  <c r="JI15" i="1" s="1"/>
  <c r="EO19" i="1"/>
  <c r="GX19" i="1" s="1"/>
  <c r="JH19" i="1" s="1"/>
  <c r="EL13" i="1"/>
  <c r="GU13" i="1" s="1"/>
  <c r="JE13" i="1" s="1"/>
  <c r="EG12" i="1"/>
  <c r="GP12" i="1" s="1"/>
  <c r="IZ12" i="1" s="1"/>
  <c r="ER6" i="5" l="1"/>
  <c r="HA6" i="5" s="1"/>
  <c r="JK6" i="5" s="1"/>
  <c r="ER7" i="5"/>
  <c r="HA7" i="5" s="1"/>
  <c r="JK7" i="5" s="1"/>
  <c r="EQ17" i="5"/>
  <c r="GZ17" i="5" s="1"/>
  <c r="JJ17" i="5" s="1"/>
  <c r="ER9" i="5"/>
  <c r="HA9" i="5" s="1"/>
  <c r="JK9" i="5" s="1"/>
  <c r="ER16" i="5"/>
  <c r="HA16" i="5" s="1"/>
  <c r="JK16" i="5" s="1"/>
  <c r="ER15" i="5"/>
  <c r="HA15" i="5" s="1"/>
  <c r="JK15" i="5" s="1"/>
  <c r="ER10" i="5"/>
  <c r="HA10" i="5" s="1"/>
  <c r="JK10" i="5" s="1"/>
  <c r="ER14" i="5"/>
  <c r="HA14" i="5" s="1"/>
  <c r="JK14" i="5" s="1"/>
  <c r="ER13" i="5"/>
  <c r="HA13" i="5" s="1"/>
  <c r="JK13" i="5" s="1"/>
  <c r="EP19" i="1"/>
  <c r="GY19" i="1" s="1"/>
  <c r="JI19" i="1" s="1"/>
  <c r="EQ18" i="1"/>
  <c r="GZ18" i="1" s="1"/>
  <c r="JJ18" i="1" s="1"/>
  <c r="EP21" i="1"/>
  <c r="GY21" i="1" s="1"/>
  <c r="JI21" i="1" s="1"/>
  <c r="EQ17" i="1"/>
  <c r="GZ17" i="1" s="1"/>
  <c r="JJ17" i="1" s="1"/>
  <c r="EQ20" i="1"/>
  <c r="GZ20" i="1" s="1"/>
  <c r="JJ20" i="1" s="1"/>
  <c r="EP22" i="1"/>
  <c r="GY22" i="1" s="1"/>
  <c r="JI22" i="1" s="1"/>
  <c r="EQ15" i="1"/>
  <c r="GZ15" i="1" s="1"/>
  <c r="JJ15" i="1" s="1"/>
  <c r="EQ16" i="1"/>
  <c r="GZ16" i="1" s="1"/>
  <c r="JJ16" i="1" s="1"/>
  <c r="EQ14" i="1"/>
  <c r="GZ14" i="1" s="1"/>
  <c r="JJ14" i="1" s="1"/>
  <c r="EM13" i="1"/>
  <c r="GV13" i="1" s="1"/>
  <c r="JF13" i="1" s="1"/>
  <c r="EH12" i="1"/>
  <c r="GQ12" i="1" s="1"/>
  <c r="JA12" i="1" s="1"/>
  <c r="ER17" i="5" l="1"/>
  <c r="HA17" i="5" s="1"/>
  <c r="JK17" i="5" s="1"/>
  <c r="ER15" i="1"/>
  <c r="HA15" i="1" s="1"/>
  <c r="JK15" i="1" s="1"/>
  <c r="ER14" i="1"/>
  <c r="HA14" i="1" s="1"/>
  <c r="JK14" i="1" s="1"/>
  <c r="EQ22" i="1"/>
  <c r="GZ22" i="1" s="1"/>
  <c r="JJ22" i="1" s="1"/>
  <c r="ER17" i="1"/>
  <c r="HA17" i="1" s="1"/>
  <c r="JK17" i="1" s="1"/>
  <c r="EQ21" i="1"/>
  <c r="GZ21" i="1" s="1"/>
  <c r="JJ21" i="1" s="1"/>
  <c r="ER18" i="1"/>
  <c r="HA18" i="1" s="1"/>
  <c r="JK18" i="1" s="1"/>
  <c r="ER16" i="1"/>
  <c r="HA16" i="1" s="1"/>
  <c r="JK16" i="1" s="1"/>
  <c r="EQ19" i="1"/>
  <c r="GZ19" i="1" s="1"/>
  <c r="JJ19" i="1" s="1"/>
  <c r="ER20" i="1"/>
  <c r="HA20" i="1" s="1"/>
  <c r="JK20" i="1" s="1"/>
  <c r="EN13" i="1"/>
  <c r="GW13" i="1" s="1"/>
  <c r="JG13" i="1" s="1"/>
  <c r="EI12" i="1"/>
  <c r="GR12" i="1" s="1"/>
  <c r="JB12" i="1" s="1"/>
  <c r="ER21" i="1" l="1"/>
  <c r="HA21" i="1" s="1"/>
  <c r="JK21" i="1" s="1"/>
  <c r="ER22" i="1"/>
  <c r="HA22" i="1" s="1"/>
  <c r="JK22" i="1" s="1"/>
  <c r="ER19" i="1"/>
  <c r="HA19" i="1" s="1"/>
  <c r="JK19" i="1" s="1"/>
  <c r="EO13" i="1"/>
  <c r="GX13" i="1" s="1"/>
  <c r="JH13" i="1" s="1"/>
  <c r="EJ12" i="1"/>
  <c r="GS12" i="1" s="1"/>
  <c r="JC12" i="1" s="1"/>
  <c r="EP13" i="1" l="1"/>
  <c r="GY13" i="1" s="1"/>
  <c r="JI13" i="1" s="1"/>
  <c r="EK12" i="1"/>
  <c r="GT12" i="1" s="1"/>
  <c r="JD12" i="1" s="1"/>
  <c r="EQ13" i="1" l="1"/>
  <c r="GZ13" i="1" s="1"/>
  <c r="JJ13" i="1" s="1"/>
  <c r="EL12" i="1"/>
  <c r="GU12" i="1" s="1"/>
  <c r="JE12" i="1" s="1"/>
  <c r="ER13" i="1" l="1"/>
  <c r="HA13" i="1" s="1"/>
  <c r="JK13" i="1" s="1"/>
  <c r="EM12" i="1"/>
  <c r="GV12" i="1" s="1"/>
  <c r="JF12" i="1" s="1"/>
  <c r="EN12" i="1" l="1"/>
  <c r="GW12" i="1" s="1"/>
  <c r="JG12" i="1" s="1"/>
  <c r="EO12" i="1" l="1"/>
  <c r="GX12" i="1" s="1"/>
  <c r="JH12" i="1" s="1"/>
  <c r="EP12" i="1" l="1"/>
  <c r="GY12" i="1" s="1"/>
  <c r="JI12" i="1" s="1"/>
  <c r="EQ12" i="1" l="1"/>
  <c r="GZ12" i="1" s="1"/>
  <c r="JJ12" i="1" s="1"/>
  <c r="ER12" i="1" l="1"/>
  <c r="HA12" i="1" s="1"/>
  <c r="JK12" i="1" s="1"/>
  <c r="JS4" i="1" l="1"/>
  <c r="JU4" i="1"/>
  <c r="JY4" i="1"/>
  <c r="JS5" i="1"/>
  <c r="JU5" i="1"/>
  <c r="JY5" i="1"/>
  <c r="JS6" i="1"/>
  <c r="JU6" i="1"/>
  <c r="JS7" i="1"/>
  <c r="JU7" i="1"/>
  <c r="JY7" i="1"/>
  <c r="JS8" i="1"/>
  <c r="JU8" i="1"/>
  <c r="JY8" i="1"/>
  <c r="JS9" i="1"/>
  <c r="JU9" i="1"/>
  <c r="JY9" i="1"/>
  <c r="JS10" i="1"/>
  <c r="JU10" i="1"/>
  <c r="JY10" i="1"/>
  <c r="JS11" i="1"/>
  <c r="JU11" i="1"/>
  <c r="JY11" i="1"/>
  <c r="C4" i="1"/>
  <c r="D4" i="1"/>
  <c r="E4" i="1"/>
  <c r="F4" i="1"/>
  <c r="H4" i="1"/>
  <c r="J4" i="1"/>
  <c r="K4" i="1"/>
  <c r="L4" i="1"/>
  <c r="M4" i="1"/>
  <c r="P4" i="1"/>
  <c r="D5" i="1"/>
  <c r="E5" i="1"/>
  <c r="F5" i="1"/>
  <c r="H5" i="1"/>
  <c r="J5" i="1"/>
  <c r="K5" i="1"/>
  <c r="L5" i="1"/>
  <c r="M5" i="1"/>
  <c r="P5" i="1"/>
  <c r="C6" i="1"/>
  <c r="D6" i="1"/>
  <c r="E6" i="1"/>
  <c r="F6" i="1"/>
  <c r="H6" i="1"/>
  <c r="J6" i="1"/>
  <c r="K6" i="1"/>
  <c r="L6" i="1"/>
  <c r="M6" i="1"/>
  <c r="P6" i="1"/>
  <c r="C7" i="1"/>
  <c r="D7" i="1"/>
  <c r="E7" i="1"/>
  <c r="F7" i="1"/>
  <c r="H7" i="1"/>
  <c r="J7" i="1"/>
  <c r="K7" i="1"/>
  <c r="L7" i="1"/>
  <c r="M7" i="1"/>
  <c r="P7" i="1"/>
  <c r="C8" i="1"/>
  <c r="D8" i="1"/>
  <c r="E8" i="1"/>
  <c r="F8" i="1"/>
  <c r="H8" i="1"/>
  <c r="J8" i="1"/>
  <c r="K8" i="1"/>
  <c r="L8" i="1"/>
  <c r="M8" i="1"/>
  <c r="P8" i="1"/>
  <c r="C9" i="1"/>
  <c r="D9" i="1"/>
  <c r="E9" i="1"/>
  <c r="F9" i="1"/>
  <c r="H9" i="1"/>
  <c r="J9" i="1"/>
  <c r="K9" i="1"/>
  <c r="L9" i="1"/>
  <c r="M9" i="1"/>
  <c r="P9" i="1"/>
  <c r="C10" i="1"/>
  <c r="D10" i="1"/>
  <c r="E10" i="1"/>
  <c r="F10" i="1"/>
  <c r="H10" i="1"/>
  <c r="J10" i="1"/>
  <c r="K10" i="1"/>
  <c r="L10" i="1"/>
  <c r="M10" i="1"/>
  <c r="P10" i="1"/>
  <c r="C11" i="1"/>
  <c r="D11" i="1"/>
  <c r="E11" i="1"/>
  <c r="F11" i="1"/>
  <c r="H11" i="1"/>
  <c r="J11" i="1"/>
  <c r="K11" i="1"/>
  <c r="L11" i="1"/>
  <c r="M11" i="1"/>
  <c r="P11" i="1"/>
  <c r="Q8" i="1" l="1"/>
  <c r="S8" i="1" s="1"/>
  <c r="R6" i="1"/>
  <c r="U6" i="1" s="1"/>
  <c r="Q10" i="1"/>
  <c r="S10" i="1" s="1"/>
  <c r="Q6" i="1"/>
  <c r="S6" i="1" s="1"/>
  <c r="R10" i="1"/>
  <c r="I5" i="1"/>
  <c r="I4" i="1"/>
  <c r="R11" i="1"/>
  <c r="Q9" i="1"/>
  <c r="S9" i="1" s="1"/>
  <c r="I8" i="1"/>
  <c r="Q11" i="1"/>
  <c r="S11" i="1" s="1"/>
  <c r="R7" i="1"/>
  <c r="U7" i="1" s="1"/>
  <c r="Q7" i="1"/>
  <c r="S7" i="1" s="1"/>
  <c r="I11" i="1"/>
  <c r="I9" i="1"/>
  <c r="R5" i="1"/>
  <c r="U5" i="1" s="1"/>
  <c r="JZ5" i="1" s="1"/>
  <c r="Q5" i="1"/>
  <c r="R8" i="1"/>
  <c r="U8" i="1" s="1"/>
  <c r="JZ8" i="1" s="1"/>
  <c r="R4" i="1"/>
  <c r="U4" i="1" s="1"/>
  <c r="JZ4" i="1" s="1"/>
  <c r="KB4" i="1" s="1"/>
  <c r="Q4" i="1"/>
  <c r="S4" i="1" s="1"/>
  <c r="I6" i="1"/>
  <c r="R9" i="1"/>
  <c r="I10" i="1"/>
  <c r="I7" i="1"/>
  <c r="T10" i="1" l="1"/>
  <c r="U10" i="1"/>
  <c r="JZ10" i="1" s="1"/>
  <c r="KB10" i="1" s="1"/>
  <c r="AO8" i="1"/>
  <c r="BK8" i="1"/>
  <c r="CG8" i="1"/>
  <c r="AC8" i="1"/>
  <c r="Z8" i="1"/>
  <c r="BS8" i="1"/>
  <c r="AY8" i="1"/>
  <c r="BW8" i="1"/>
  <c r="W8" i="1"/>
  <c r="V8" i="1" s="1"/>
  <c r="JZ6" i="1"/>
  <c r="KA6" i="1" s="1"/>
  <c r="W6" i="1"/>
  <c r="V6" i="1" s="1"/>
  <c r="Y6" i="1" s="1"/>
  <c r="AE8" i="1"/>
  <c r="BR8" i="1"/>
  <c r="W4" i="1"/>
  <c r="V4" i="1" s="1"/>
  <c r="T6" i="1"/>
  <c r="BF6" i="1"/>
  <c r="T5" i="1"/>
  <c r="W5" i="1"/>
  <c r="JZ7" i="1"/>
  <c r="KB7" i="1" s="1"/>
  <c r="KC7" i="1" s="1"/>
  <c r="JM7" i="1" s="1"/>
  <c r="W7" i="1"/>
  <c r="V7" i="1" s="1"/>
  <c r="Y7" i="1" s="1"/>
  <c r="AX8" i="1"/>
  <c r="T9" i="1"/>
  <c r="BF11" i="1"/>
  <c r="AA8" i="1"/>
  <c r="BS6" i="1"/>
  <c r="AP6" i="1"/>
  <c r="BG11" i="1"/>
  <c r="BN11" i="1"/>
  <c r="AR11" i="1"/>
  <c r="CF11" i="1"/>
  <c r="CA11" i="1"/>
  <c r="AW11" i="1"/>
  <c r="AV11" i="1"/>
  <c r="BU11" i="1"/>
  <c r="BD11" i="1"/>
  <c r="BB11" i="1"/>
  <c r="BI11" i="1"/>
  <c r="CD11" i="1"/>
  <c r="CC11" i="1"/>
  <c r="AP11" i="1"/>
  <c r="BY11" i="1"/>
  <c r="BM11" i="1"/>
  <c r="BV11" i="1"/>
  <c r="AS11" i="1"/>
  <c r="BC11" i="1"/>
  <c r="AT11" i="1"/>
  <c r="T7" i="1"/>
  <c r="BS11" i="1"/>
  <c r="AN11" i="1"/>
  <c r="AM11" i="1"/>
  <c r="BL11" i="1"/>
  <c r="AU11" i="1"/>
  <c r="BO11" i="1"/>
  <c r="AL11" i="1"/>
  <c r="CB11" i="1"/>
  <c r="BX11" i="1"/>
  <c r="BK11" i="1"/>
  <c r="BA11" i="1"/>
  <c r="CG11" i="1"/>
  <c r="AQ11" i="1"/>
  <c r="BT11" i="1"/>
  <c r="AO11" i="1"/>
  <c r="BE11" i="1"/>
  <c r="BL8" i="1"/>
  <c r="BJ11" i="1"/>
  <c r="BP11" i="1"/>
  <c r="T11" i="1"/>
  <c r="BT9" i="1"/>
  <c r="CE11" i="1"/>
  <c r="AK11" i="1"/>
  <c r="S5" i="1"/>
  <c r="AF5" i="1" s="1"/>
  <c r="BX6" i="1"/>
  <c r="U11" i="1"/>
  <c r="AE11" i="1" s="1"/>
  <c r="BZ11" i="1"/>
  <c r="BH11" i="1"/>
  <c r="BJ8" i="1"/>
  <c r="AZ11" i="1"/>
  <c r="BB8" i="1"/>
  <c r="BR11" i="1"/>
  <c r="BI9" i="1"/>
  <c r="AY11" i="1"/>
  <c r="BQ11" i="1"/>
  <c r="BW11" i="1"/>
  <c r="AX11" i="1"/>
  <c r="KC4" i="1"/>
  <c r="JM4" i="1" s="1"/>
  <c r="KD4" i="1"/>
  <c r="KE4" i="1" s="1"/>
  <c r="AH4" i="1"/>
  <c r="BW4" i="1"/>
  <c r="BM4" i="1"/>
  <c r="AO4" i="1"/>
  <c r="AF4" i="1"/>
  <c r="AJ4" i="1"/>
  <c r="BX4" i="1"/>
  <c r="AZ4" i="1"/>
  <c r="BI4" i="1"/>
  <c r="BZ4" i="1"/>
  <c r="BH4" i="1"/>
  <c r="CC4" i="1"/>
  <c r="CA4" i="1"/>
  <c r="Z4" i="1"/>
  <c r="BT4" i="1"/>
  <c r="BV4" i="1"/>
  <c r="BP4" i="1"/>
  <c r="AD4" i="1"/>
  <c r="BF4" i="1"/>
  <c r="BS4" i="1"/>
  <c r="AR4" i="1"/>
  <c r="AK4" i="1"/>
  <c r="CB4" i="1"/>
  <c r="AT4" i="1"/>
  <c r="AG4" i="1"/>
  <c r="AA4" i="1"/>
  <c r="AB4" i="1"/>
  <c r="AS4" i="1"/>
  <c r="CD4" i="1"/>
  <c r="CG4" i="1"/>
  <c r="BN4" i="1"/>
  <c r="BA4" i="1"/>
  <c r="AP4" i="1"/>
  <c r="BU4" i="1"/>
  <c r="AU4" i="1"/>
  <c r="AL4" i="1"/>
  <c r="CF4" i="1"/>
  <c r="AV4" i="1"/>
  <c r="AW4" i="1"/>
  <c r="BE4" i="1"/>
  <c r="AE4" i="1"/>
  <c r="AN4" i="1"/>
  <c r="BY4" i="1"/>
  <c r="CE4" i="1"/>
  <c r="AQ4" i="1"/>
  <c r="AI4" i="1"/>
  <c r="BB4" i="1"/>
  <c r="BC4" i="1"/>
  <c r="AY4" i="1"/>
  <c r="BL4" i="1"/>
  <c r="BO4" i="1"/>
  <c r="BK4" i="1"/>
  <c r="AX4" i="1"/>
  <c r="BR4" i="1"/>
  <c r="BJ4" i="1"/>
  <c r="AC4" i="1"/>
  <c r="BD4" i="1"/>
  <c r="BQ4" i="1"/>
  <c r="BG4" i="1"/>
  <c r="AM4" i="1"/>
  <c r="KB5" i="1"/>
  <c r="KA5" i="1"/>
  <c r="BR6" i="1"/>
  <c r="BD9" i="1"/>
  <c r="AZ6" i="1"/>
  <c r="U9" i="1"/>
  <c r="Z9" i="1" s="1"/>
  <c r="BM9" i="1"/>
  <c r="BL9" i="1"/>
  <c r="AS6" i="1"/>
  <c r="CE9" i="1"/>
  <c r="BE6" i="1"/>
  <c r="BA9" i="1"/>
  <c r="AA6" i="1"/>
  <c r="Z6" i="1"/>
  <c r="BK6" i="1"/>
  <c r="CE8" i="1"/>
  <c r="AY6" i="1"/>
  <c r="BN9" i="1"/>
  <c r="AX6" i="1"/>
  <c r="AI6" i="1"/>
  <c r="BY6" i="1"/>
  <c r="BI6" i="1"/>
  <c r="AH6" i="1"/>
  <c r="CC9" i="1"/>
  <c r="BO6" i="1"/>
  <c r="BL6" i="1"/>
  <c r="T8" i="1"/>
  <c r="CD6" i="1"/>
  <c r="BB9" i="1"/>
  <c r="AK8" i="1"/>
  <c r="AV6" i="1"/>
  <c r="CB6" i="1"/>
  <c r="BH9" i="1"/>
  <c r="KA4" i="1"/>
  <c r="AC6" i="1"/>
  <c r="AW9" i="1"/>
  <c r="BJ6" i="1"/>
  <c r="BU9" i="1"/>
  <c r="BC6" i="1"/>
  <c r="AR6" i="1"/>
  <c r="BO9" i="1"/>
  <c r="CB9" i="1"/>
  <c r="CC6" i="1"/>
  <c r="BX9" i="1"/>
  <c r="AG6" i="1"/>
  <c r="BH6" i="1"/>
  <c r="BG9" i="1"/>
  <c r="BT8" i="1"/>
  <c r="AJ6" i="1"/>
  <c r="BP6" i="1"/>
  <c r="AN6" i="1"/>
  <c r="BR9" i="1"/>
  <c r="BE9" i="1"/>
  <c r="BW9" i="1"/>
  <c r="CF6" i="1"/>
  <c r="BN6" i="1"/>
  <c r="CD9" i="1"/>
  <c r="BB6" i="1"/>
  <c r="BA6" i="1"/>
  <c r="AT8" i="1"/>
  <c r="AW6" i="1"/>
  <c r="BX8" i="1"/>
  <c r="CG9" i="1"/>
  <c r="BD8" i="1"/>
  <c r="BQ6" i="1"/>
  <c r="CF9" i="1"/>
  <c r="BF9" i="1"/>
  <c r="AK6" i="1"/>
  <c r="AZ8" i="1"/>
  <c r="BW6" i="1"/>
  <c r="AF6" i="1"/>
  <c r="CA6" i="1"/>
  <c r="BQ9" i="1"/>
  <c r="AZ9" i="1"/>
  <c r="AY9" i="1"/>
  <c r="BY9" i="1"/>
  <c r="AB6" i="1"/>
  <c r="BD6" i="1"/>
  <c r="KA8" i="1"/>
  <c r="KB8" i="1"/>
  <c r="CE6" i="1"/>
  <c r="BC9" i="1"/>
  <c r="AQ6" i="1"/>
  <c r="BV8" i="1"/>
  <c r="AO6" i="1"/>
  <c r="AU6" i="1"/>
  <c r="AJ8" i="1"/>
  <c r="BS9" i="1"/>
  <c r="AF8" i="1"/>
  <c r="AE6" i="1"/>
  <c r="BU6" i="1"/>
  <c r="BG6" i="1"/>
  <c r="BP9" i="1"/>
  <c r="CA9" i="1"/>
  <c r="T4" i="1"/>
  <c r="CG6" i="1"/>
  <c r="BM6" i="1"/>
  <c r="AT6" i="1"/>
  <c r="BV9" i="1"/>
  <c r="AL6" i="1"/>
  <c r="BV6" i="1"/>
  <c r="AM6" i="1"/>
  <c r="BK9" i="1"/>
  <c r="AR9" i="1"/>
  <c r="AD6" i="1"/>
  <c r="BT6" i="1"/>
  <c r="BZ6" i="1"/>
  <c r="BJ9" i="1"/>
  <c r="BZ9" i="1"/>
  <c r="AX9" i="1"/>
  <c r="BG8" i="1"/>
  <c r="AD8" i="1"/>
  <c r="AP8" i="1"/>
  <c r="AB8" i="1"/>
  <c r="CF8" i="1"/>
  <c r="BF8" i="1"/>
  <c r="AQ10" i="1"/>
  <c r="BK10" i="1"/>
  <c r="CE10" i="1"/>
  <c r="AP10" i="1"/>
  <c r="BL10" i="1"/>
  <c r="CG10" i="1"/>
  <c r="AN10" i="1"/>
  <c r="BJ10" i="1"/>
  <c r="AO10" i="1"/>
  <c r="BM10" i="1"/>
  <c r="AW10" i="1"/>
  <c r="BS10" i="1"/>
  <c r="BB10" i="1"/>
  <c r="CA10" i="1"/>
  <c r="BG10" i="1"/>
  <c r="BN10" i="1"/>
  <c r="BO10" i="1"/>
  <c r="AK10" i="1"/>
  <c r="AV10" i="1"/>
  <c r="BX10" i="1"/>
  <c r="BA10" i="1"/>
  <c r="CC10" i="1"/>
  <c r="BC10" i="1"/>
  <c r="CD10" i="1"/>
  <c r="AS10" i="1"/>
  <c r="CB10" i="1"/>
  <c r="AT10" i="1"/>
  <c r="CF10" i="1"/>
  <c r="AX10" i="1"/>
  <c r="AY10" i="1"/>
  <c r="BD10" i="1"/>
  <c r="BE10" i="1"/>
  <c r="BF10" i="1"/>
  <c r="BH10" i="1"/>
  <c r="BI10" i="1"/>
  <c r="BP10" i="1"/>
  <c r="BQ10" i="1"/>
  <c r="BT10" i="1"/>
  <c r="BU10" i="1"/>
  <c r="BV10" i="1"/>
  <c r="AZ10" i="1"/>
  <c r="BY10" i="1"/>
  <c r="AR10" i="1"/>
  <c r="BR10" i="1"/>
  <c r="BW10" i="1"/>
  <c r="BZ10" i="1"/>
  <c r="AH7" i="1"/>
  <c r="BB7" i="1"/>
  <c r="BV7" i="1"/>
  <c r="AI7" i="1"/>
  <c r="BC7" i="1"/>
  <c r="BW7" i="1"/>
  <c r="AJ7" i="1"/>
  <c r="BD7" i="1"/>
  <c r="BX7" i="1"/>
  <c r="AK7" i="1"/>
  <c r="BE7" i="1"/>
  <c r="BY7" i="1"/>
  <c r="AM7" i="1"/>
  <c r="BG7" i="1"/>
  <c r="CA7" i="1"/>
  <c r="AN7" i="1"/>
  <c r="BH7" i="1"/>
  <c r="CB7" i="1"/>
  <c r="AO7" i="1"/>
  <c r="BI7" i="1"/>
  <c r="CC7" i="1"/>
  <c r="AW7" i="1"/>
  <c r="CE7" i="1"/>
  <c r="AC7" i="1"/>
  <c r="BL7" i="1"/>
  <c r="AD7" i="1"/>
  <c r="BM7" i="1"/>
  <c r="AQ7" i="1"/>
  <c r="BS7" i="1"/>
  <c r="AR7" i="1"/>
  <c r="BT7" i="1"/>
  <c r="AA7" i="1"/>
  <c r="BP7" i="1"/>
  <c r="AV7" i="1"/>
  <c r="BA7" i="1"/>
  <c r="BF7" i="1"/>
  <c r="BJ7" i="1"/>
  <c r="AE7" i="1"/>
  <c r="CG7" i="1"/>
  <c r="AF7" i="1"/>
  <c r="AG7" i="1"/>
  <c r="AL7" i="1"/>
  <c r="AS7" i="1"/>
  <c r="AT7" i="1"/>
  <c r="AU7" i="1"/>
  <c r="AX7" i="1"/>
  <c r="AY7" i="1"/>
  <c r="AZ7" i="1"/>
  <c r="BK7" i="1"/>
  <c r="BN7" i="1"/>
  <c r="BO7" i="1"/>
  <c r="BQ7" i="1"/>
  <c r="BR7" i="1"/>
  <c r="BU7" i="1"/>
  <c r="BZ7" i="1"/>
  <c r="CD7" i="1"/>
  <c r="CF7" i="1"/>
  <c r="Z7" i="1"/>
  <c r="AB7" i="1"/>
  <c r="AP7" i="1"/>
  <c r="BO8" i="1"/>
  <c r="BP8" i="1"/>
  <c r="AG8" i="1"/>
  <c r="BQ8" i="1"/>
  <c r="AH8" i="1"/>
  <c r="BU8" i="1"/>
  <c r="AL8" i="1"/>
  <c r="CB8" i="1"/>
  <c r="AM8" i="1"/>
  <c r="CC8" i="1"/>
  <c r="AN8" i="1"/>
  <c r="CD8" i="1"/>
  <c r="AV8" i="1"/>
  <c r="AU8" i="1"/>
  <c r="BC8" i="1"/>
  <c r="BH8" i="1"/>
  <c r="BI8" i="1"/>
  <c r="BM8" i="1"/>
  <c r="BN8" i="1"/>
  <c r="BZ8" i="1"/>
  <c r="AI8" i="1"/>
  <c r="AQ8" i="1"/>
  <c r="AR8" i="1"/>
  <c r="BE8" i="1"/>
  <c r="BY8" i="1"/>
  <c r="AW8" i="1"/>
  <c r="CA8" i="1"/>
  <c r="BA8" i="1"/>
  <c r="AS8" i="1"/>
  <c r="JS4" i="5"/>
  <c r="JS3" i="1"/>
  <c r="X6" i="1" l="1"/>
  <c r="CK6" i="1" s="1"/>
  <c r="ET6" i="1" s="1"/>
  <c r="HD6" i="1" s="1"/>
  <c r="X7" i="1"/>
  <c r="CK7" i="1" s="1"/>
  <c r="ET7" i="1" s="1"/>
  <c r="HD7" i="1" s="1"/>
  <c r="AJ10" i="1"/>
  <c r="AI10" i="1"/>
  <c r="AF10" i="1"/>
  <c r="AG10" i="1"/>
  <c r="AA10" i="1"/>
  <c r="Z10" i="1"/>
  <c r="AE10" i="1"/>
  <c r="AB10" i="1"/>
  <c r="AJ11" i="1"/>
  <c r="AD10" i="1"/>
  <c r="AH10" i="1"/>
  <c r="AI11" i="1"/>
  <c r="AH11" i="1"/>
  <c r="KA10" i="1"/>
  <c r="AM10" i="1"/>
  <c r="AU10" i="1"/>
  <c r="W10" i="1"/>
  <c r="V10" i="1" s="1"/>
  <c r="HC10" i="1" s="1"/>
  <c r="AL10" i="1"/>
  <c r="AC10" i="1"/>
  <c r="Z5" i="1"/>
  <c r="BO5" i="1"/>
  <c r="BC5" i="1"/>
  <c r="HC6" i="1"/>
  <c r="Z11" i="1"/>
  <c r="KB6" i="1"/>
  <c r="KC6" i="1" s="1"/>
  <c r="JM6" i="1" s="1"/>
  <c r="HC4" i="1"/>
  <c r="Y4" i="1"/>
  <c r="X4" i="1" s="1"/>
  <c r="AT9" i="1"/>
  <c r="AN9" i="1"/>
  <c r="AL9" i="1"/>
  <c r="HC7" i="1"/>
  <c r="AB11" i="1"/>
  <c r="AG9" i="1"/>
  <c r="AC9" i="1"/>
  <c r="AF11" i="1"/>
  <c r="AQ9" i="1"/>
  <c r="AO9" i="1"/>
  <c r="AA9" i="1"/>
  <c r="AV9" i="1"/>
  <c r="AD9" i="1"/>
  <c r="JZ11" i="1"/>
  <c r="KB11" i="1" s="1"/>
  <c r="KD11" i="1" s="1"/>
  <c r="KE11" i="1" s="1"/>
  <c r="W11" i="1"/>
  <c r="V11" i="1" s="1"/>
  <c r="AD11" i="1"/>
  <c r="AG11" i="1"/>
  <c r="AH9" i="1"/>
  <c r="AA11" i="1"/>
  <c r="AM9" i="1"/>
  <c r="AF9" i="1"/>
  <c r="KA7" i="1"/>
  <c r="AS9" i="1"/>
  <c r="JZ9" i="1"/>
  <c r="KB9" i="1" s="1"/>
  <c r="W9" i="1"/>
  <c r="V9" i="1" s="1"/>
  <c r="HC9" i="1" s="1"/>
  <c r="AK9" i="1"/>
  <c r="AE9" i="1"/>
  <c r="AI9" i="1"/>
  <c r="AP9" i="1"/>
  <c r="AB9" i="1"/>
  <c r="AJ9" i="1"/>
  <c r="AC11" i="1"/>
  <c r="AU9" i="1"/>
  <c r="BS5" i="1"/>
  <c r="BB5" i="1"/>
  <c r="AK5" i="1"/>
  <c r="CG5" i="1"/>
  <c r="BG5" i="1"/>
  <c r="BZ5" i="1"/>
  <c r="BJ5" i="1"/>
  <c r="BY5" i="1"/>
  <c r="V5" i="1"/>
  <c r="Y5" i="1" s="1"/>
  <c r="AW5" i="1"/>
  <c r="BK5" i="1"/>
  <c r="AJ5" i="1"/>
  <c r="CB5" i="1"/>
  <c r="AI5" i="1"/>
  <c r="BQ5" i="1"/>
  <c r="AU5" i="1"/>
  <c r="BI5" i="1"/>
  <c r="BP5" i="1"/>
  <c r="AM5" i="1"/>
  <c r="BN5" i="1"/>
  <c r="BX5" i="1"/>
  <c r="AA5" i="1"/>
  <c r="AN5" i="1"/>
  <c r="BR5" i="1"/>
  <c r="CC5" i="1"/>
  <c r="BW5" i="1"/>
  <c r="AG5" i="1"/>
  <c r="AS5" i="1"/>
  <c r="CA5" i="1"/>
  <c r="AX5" i="1"/>
  <c r="CE5" i="1"/>
  <c r="BH5" i="1"/>
  <c r="BE5" i="1"/>
  <c r="BA5" i="1"/>
  <c r="CD5" i="1"/>
  <c r="AZ5" i="1"/>
  <c r="AH5" i="1"/>
  <c r="BF5" i="1"/>
  <c r="BV5" i="1"/>
  <c r="AD5" i="1"/>
  <c r="AB5" i="1"/>
  <c r="BD5" i="1"/>
  <c r="AL5" i="1"/>
  <c r="AV5" i="1"/>
  <c r="AE5" i="1"/>
  <c r="BU5" i="1"/>
  <c r="BM5" i="1"/>
  <c r="AY5" i="1"/>
  <c r="CF5" i="1"/>
  <c r="AO5" i="1"/>
  <c r="BT5" i="1"/>
  <c r="AQ5" i="1"/>
  <c r="AP5" i="1"/>
  <c r="BL5" i="1"/>
  <c r="AR5" i="1"/>
  <c r="AT5" i="1"/>
  <c r="AC5" i="1"/>
  <c r="KC10" i="1"/>
  <c r="JM10" i="1" s="1"/>
  <c r="KD10" i="1"/>
  <c r="KE10" i="1" s="1"/>
  <c r="KC5" i="1"/>
  <c r="JM5" i="1" s="1"/>
  <c r="KD5" i="1"/>
  <c r="KE5" i="1" s="1"/>
  <c r="KD7" i="1"/>
  <c r="KE7" i="1" s="1"/>
  <c r="KC8" i="1"/>
  <c r="JM8" i="1" s="1"/>
  <c r="KD8" i="1"/>
  <c r="KE8" i="1" s="1"/>
  <c r="CH6" i="1"/>
  <c r="CI6" i="1" s="1"/>
  <c r="Y8" i="1"/>
  <c r="X8" i="1" s="1"/>
  <c r="HC8" i="1"/>
  <c r="CH7" i="1"/>
  <c r="CI7" i="1" s="1"/>
  <c r="JY3" i="5"/>
  <c r="JY4" i="5"/>
  <c r="X5" i="1" l="1"/>
  <c r="CK5" i="1" s="1"/>
  <c r="ET5" i="1" s="1"/>
  <c r="HD5" i="1" s="1"/>
  <c r="CH4" i="1"/>
  <c r="CI4" i="1" s="1"/>
  <c r="CK4" i="1"/>
  <c r="ET4" i="1" s="1"/>
  <c r="HD4" i="1" s="1"/>
  <c r="CL4" i="1" s="1"/>
  <c r="EU4" i="1" s="1"/>
  <c r="HE4" i="1" s="1"/>
  <c r="Y10" i="1"/>
  <c r="KD6" i="1"/>
  <c r="KE6" i="1" s="1"/>
  <c r="KC11" i="1"/>
  <c r="JM11" i="1" s="1"/>
  <c r="Y9" i="1"/>
  <c r="X9" i="1" s="1"/>
  <c r="KA9" i="1"/>
  <c r="KA11" i="1"/>
  <c r="HC5" i="1"/>
  <c r="Y11" i="1"/>
  <c r="X11" i="1" s="1"/>
  <c r="HC11" i="1"/>
  <c r="KD9" i="1"/>
  <c r="KE9" i="1" s="1"/>
  <c r="KC9" i="1"/>
  <c r="JM9" i="1" s="1"/>
  <c r="CL7" i="1"/>
  <c r="EU7" i="1" s="1"/>
  <c r="HE7" i="1" s="1"/>
  <c r="CK8" i="1"/>
  <c r="ET8" i="1" s="1"/>
  <c r="HD8" i="1" s="1"/>
  <c r="CH8" i="1"/>
  <c r="CI8" i="1" s="1"/>
  <c r="CH5" i="1"/>
  <c r="CI5" i="1" s="1"/>
  <c r="CL6" i="1"/>
  <c r="EU6" i="1" s="1"/>
  <c r="HE6" i="1" s="1"/>
  <c r="JU4" i="5"/>
  <c r="P4" i="5"/>
  <c r="M4" i="5"/>
  <c r="L4" i="5"/>
  <c r="K4" i="5"/>
  <c r="J4" i="5"/>
  <c r="H4" i="5"/>
  <c r="F4" i="5"/>
  <c r="E4" i="5"/>
  <c r="D4" i="5"/>
  <c r="C4" i="5"/>
  <c r="CH10" i="1" l="1"/>
  <c r="CI10" i="1" s="1"/>
  <c r="X10" i="1"/>
  <c r="CK10" i="1" s="1"/>
  <c r="ET10" i="1" s="1"/>
  <c r="HD10" i="1" s="1"/>
  <c r="CL10" i="1" s="1"/>
  <c r="EU10" i="1" s="1"/>
  <c r="HE10" i="1" s="1"/>
  <c r="CM10" i="1" s="1"/>
  <c r="EV10" i="1" s="1"/>
  <c r="HF10" i="1" s="1"/>
  <c r="CK11" i="1"/>
  <c r="ET11" i="1" s="1"/>
  <c r="HD11" i="1" s="1"/>
  <c r="CL11" i="1" s="1"/>
  <c r="EU11" i="1" s="1"/>
  <c r="HE11" i="1" s="1"/>
  <c r="CM11" i="1" s="1"/>
  <c r="EV11" i="1" s="1"/>
  <c r="HF11" i="1" s="1"/>
  <c r="CH11" i="1"/>
  <c r="CI11" i="1" s="1"/>
  <c r="CK9" i="1"/>
  <c r="ET9" i="1" s="1"/>
  <c r="HD9" i="1" s="1"/>
  <c r="CL9" i="1" s="1"/>
  <c r="EU9" i="1" s="1"/>
  <c r="HE9" i="1" s="1"/>
  <c r="CM9" i="1" s="1"/>
  <c r="EV9" i="1" s="1"/>
  <c r="HF9" i="1" s="1"/>
  <c r="CH9" i="1"/>
  <c r="CI9" i="1" s="1"/>
  <c r="CM7" i="1"/>
  <c r="EV7" i="1" s="1"/>
  <c r="HF7" i="1" s="1"/>
  <c r="CM6" i="1"/>
  <c r="EV6" i="1" s="1"/>
  <c r="HF6" i="1" s="1"/>
  <c r="CL5" i="1"/>
  <c r="EU5" i="1" s="1"/>
  <c r="HE5" i="1" s="1"/>
  <c r="CL8" i="1"/>
  <c r="EU8" i="1" s="1"/>
  <c r="HE8" i="1" s="1"/>
  <c r="JO8" i="1" s="1"/>
  <c r="CM4" i="1"/>
  <c r="EV4" i="1" s="1"/>
  <c r="HF4" i="1" s="1"/>
  <c r="I4" i="5"/>
  <c r="Q4" i="5"/>
  <c r="R4" i="5"/>
  <c r="U4" i="5" s="1"/>
  <c r="JZ4" i="5" s="1"/>
  <c r="JU3" i="5"/>
  <c r="P3" i="5"/>
  <c r="M3" i="5"/>
  <c r="L3" i="5"/>
  <c r="K3" i="5"/>
  <c r="J3" i="5"/>
  <c r="H3" i="5"/>
  <c r="F3" i="5"/>
  <c r="E3" i="5"/>
  <c r="D3" i="5"/>
  <c r="C3" i="5"/>
  <c r="JO9" i="1" l="1"/>
  <c r="R3" i="5"/>
  <c r="U3" i="5" s="1"/>
  <c r="JZ3" i="5" s="1"/>
  <c r="KB3" i="5" s="1"/>
  <c r="CN11" i="1"/>
  <c r="EW11" i="1" s="1"/>
  <c r="HG11" i="1" s="1"/>
  <c r="CN9" i="1"/>
  <c r="EW9" i="1" s="1"/>
  <c r="HG9" i="1" s="1"/>
  <c r="CN6" i="1"/>
  <c r="EW6" i="1" s="1"/>
  <c r="HG6" i="1" s="1"/>
  <c r="CN7" i="1"/>
  <c r="EW7" i="1" s="1"/>
  <c r="HG7" i="1" s="1"/>
  <c r="CM8" i="1"/>
  <c r="EV8" i="1" s="1"/>
  <c r="HF8" i="1" s="1"/>
  <c r="CN4" i="1"/>
  <c r="EW4" i="1" s="1"/>
  <c r="HG4" i="1" s="1"/>
  <c r="CM5" i="1"/>
  <c r="EV5" i="1" s="1"/>
  <c r="HF5" i="1" s="1"/>
  <c r="CN10" i="1"/>
  <c r="EW10" i="1" s="1"/>
  <c r="HG10" i="1" s="1"/>
  <c r="Q3" i="5"/>
  <c r="T4" i="5"/>
  <c r="KB4" i="5"/>
  <c r="KA4" i="5"/>
  <c r="S4" i="5"/>
  <c r="CG4" i="5" s="1"/>
  <c r="W4" i="5"/>
  <c r="I3" i="5"/>
  <c r="BA4" i="5" l="1"/>
  <c r="AE4" i="5"/>
  <c r="AD4" i="5"/>
  <c r="Z4" i="5"/>
  <c r="AS4" i="5"/>
  <c r="T3" i="5"/>
  <c r="BU4" i="5"/>
  <c r="CO7" i="1"/>
  <c r="EX7" i="1" s="1"/>
  <c r="HH7" i="1" s="1"/>
  <c r="CO4" i="1"/>
  <c r="EX4" i="1" s="1"/>
  <c r="HH4" i="1" s="1"/>
  <c r="CN8" i="1"/>
  <c r="EW8" i="1" s="1"/>
  <c r="HG8" i="1" s="1"/>
  <c r="CO6" i="1"/>
  <c r="EX6" i="1" s="1"/>
  <c r="HH6" i="1" s="1"/>
  <c r="CO9" i="1"/>
  <c r="EX9" i="1" s="1"/>
  <c r="HH9" i="1" s="1"/>
  <c r="CO11" i="1"/>
  <c r="EX11" i="1" s="1"/>
  <c r="HH11" i="1" s="1"/>
  <c r="CO10" i="1"/>
  <c r="EX10" i="1" s="1"/>
  <c r="HH10" i="1" s="1"/>
  <c r="CN5" i="1"/>
  <c r="EW5" i="1" s="1"/>
  <c r="HG5" i="1" s="1"/>
  <c r="S3" i="5"/>
  <c r="BZ3" i="5" s="1"/>
  <c r="KA3" i="5"/>
  <c r="AJ4" i="5"/>
  <c r="CA4" i="5"/>
  <c r="BH4" i="5"/>
  <c r="BR4" i="5"/>
  <c r="CE4" i="5"/>
  <c r="AB4" i="5"/>
  <c r="KC4" i="5"/>
  <c r="KD4" i="5"/>
  <c r="KE4" i="5" s="1"/>
  <c r="BK4" i="5"/>
  <c r="W3" i="5"/>
  <c r="AA4" i="5"/>
  <c r="AT4" i="5"/>
  <c r="BF4" i="5"/>
  <c r="AH4" i="5"/>
  <c r="BE4" i="5"/>
  <c r="AC4" i="5"/>
  <c r="BY4" i="5"/>
  <c r="BB4" i="5"/>
  <c r="AX4" i="5"/>
  <c r="BW4" i="5"/>
  <c r="BP4" i="5"/>
  <c r="BL4" i="5"/>
  <c r="AL4" i="5"/>
  <c r="BJ4" i="5"/>
  <c r="AR4" i="5"/>
  <c r="CF4" i="5"/>
  <c r="CB4" i="5"/>
  <c r="AP4" i="5"/>
  <c r="AN4" i="5"/>
  <c r="AW4" i="5"/>
  <c r="BV4" i="5"/>
  <c r="AI4" i="5"/>
  <c r="BS4" i="5"/>
  <c r="BN4" i="5"/>
  <c r="BD4" i="5"/>
  <c r="BM4" i="5"/>
  <c r="BG4" i="5"/>
  <c r="AZ4" i="5"/>
  <c r="AV4" i="5"/>
  <c r="AQ4" i="5"/>
  <c r="BO4" i="5"/>
  <c r="AF4" i="5"/>
  <c r="CD4" i="5"/>
  <c r="BC4" i="5"/>
  <c r="AG4" i="5"/>
  <c r="BI4" i="5"/>
  <c r="BQ4" i="5"/>
  <c r="AU4" i="5"/>
  <c r="AO4" i="5"/>
  <c r="AY4" i="5"/>
  <c r="BT4" i="5"/>
  <c r="AK4" i="5"/>
  <c r="V4" i="5"/>
  <c r="Y4" i="5" s="1"/>
  <c r="CC4" i="5"/>
  <c r="BX4" i="5"/>
  <c r="BZ4" i="5"/>
  <c r="AM4" i="5"/>
  <c r="KC3" i="5"/>
  <c r="KD3" i="5"/>
  <c r="KE3" i="5" s="1"/>
  <c r="AG3" i="5" l="1"/>
  <c r="CB3" i="5"/>
  <c r="AW3" i="5"/>
  <c r="BB3" i="5"/>
  <c r="AA3" i="5"/>
  <c r="BC3" i="5"/>
  <c r="AM3" i="5"/>
  <c r="AQ3" i="5"/>
  <c r="BR3" i="5"/>
  <c r="BF3" i="5"/>
  <c r="BA3" i="5"/>
  <c r="CE3" i="5"/>
  <c r="BT3" i="5"/>
  <c r="AH3" i="5"/>
  <c r="AK3" i="5"/>
  <c r="AN3" i="5"/>
  <c r="BM3" i="5"/>
  <c r="BW3" i="5"/>
  <c r="BU3" i="5"/>
  <c r="BI3" i="5"/>
  <c r="AJ3" i="5"/>
  <c r="AC3" i="5"/>
  <c r="AE3" i="5"/>
  <c r="BK3" i="5"/>
  <c r="BS3" i="5"/>
  <c r="AS3" i="5"/>
  <c r="CC3" i="5"/>
  <c r="BO3" i="5"/>
  <c r="BG3" i="5"/>
  <c r="BE3" i="5"/>
  <c r="AU3" i="5"/>
  <c r="BD3" i="5"/>
  <c r="AO3" i="5"/>
  <c r="AD3" i="5"/>
  <c r="AY3" i="5"/>
  <c r="AP3" i="5"/>
  <c r="CG3" i="5"/>
  <c r="BL3" i="5"/>
  <c r="AF3" i="5"/>
  <c r="BH3" i="5"/>
  <c r="BQ3" i="5"/>
  <c r="BP3" i="5"/>
  <c r="AI3" i="5"/>
  <c r="AV3" i="5"/>
  <c r="BY3" i="5"/>
  <c r="CD3" i="5"/>
  <c r="AT3" i="5"/>
  <c r="AL3" i="5"/>
  <c r="BX3" i="5"/>
  <c r="BV3" i="5"/>
  <c r="CF3" i="5"/>
  <c r="Z3" i="5"/>
  <c r="AR3" i="5"/>
  <c r="V3" i="5"/>
  <c r="Y3" i="5" s="1"/>
  <c r="AB3" i="5"/>
  <c r="AZ3" i="5"/>
  <c r="BN3" i="5"/>
  <c r="AX3" i="5"/>
  <c r="CA3" i="5"/>
  <c r="BJ3" i="5"/>
  <c r="CP6" i="1"/>
  <c r="EY6" i="1" s="1"/>
  <c r="HI6" i="1" s="1"/>
  <c r="CP9" i="1"/>
  <c r="EY9" i="1" s="1"/>
  <c r="HI9" i="1" s="1"/>
  <c r="CO8" i="1"/>
  <c r="EX8" i="1" s="1"/>
  <c r="HH8" i="1" s="1"/>
  <c r="CP7" i="1"/>
  <c r="EY7" i="1" s="1"/>
  <c r="HI7" i="1" s="1"/>
  <c r="CO5" i="1"/>
  <c r="EX5" i="1" s="1"/>
  <c r="HH5" i="1" s="1"/>
  <c r="CP10" i="1"/>
  <c r="EY10" i="1" s="1"/>
  <c r="HI10" i="1" s="1"/>
  <c r="CP11" i="1"/>
  <c r="EY11" i="1" s="1"/>
  <c r="HI11" i="1" s="1"/>
  <c r="CP4" i="1"/>
  <c r="EY4" i="1" s="1"/>
  <c r="HI4" i="1" s="1"/>
  <c r="JM4" i="5"/>
  <c r="HC4" i="5"/>
  <c r="X4" i="5"/>
  <c r="CK4" i="5" s="1"/>
  <c r="ET4" i="5" s="1"/>
  <c r="HD4" i="5" s="1"/>
  <c r="CH4" i="5"/>
  <c r="CI4" i="5" s="1"/>
  <c r="HC3" i="5" l="1"/>
  <c r="CH3" i="5"/>
  <c r="CI3" i="5" s="1"/>
  <c r="X3" i="5"/>
  <c r="CK3" i="5" s="1"/>
  <c r="ET3" i="5" s="1"/>
  <c r="HD3" i="5" s="1"/>
  <c r="CL3" i="5" s="1"/>
  <c r="EU3" i="5" s="1"/>
  <c r="HE3" i="5" s="1"/>
  <c r="CQ10" i="1"/>
  <c r="EZ10" i="1" s="1"/>
  <c r="HJ10" i="1" s="1"/>
  <c r="CP5" i="1"/>
  <c r="EY5" i="1" s="1"/>
  <c r="HI5" i="1" s="1"/>
  <c r="CQ9" i="1"/>
  <c r="EZ9" i="1" s="1"/>
  <c r="HJ9" i="1" s="1"/>
  <c r="CQ6" i="1"/>
  <c r="EZ6" i="1" s="1"/>
  <c r="HJ6" i="1" s="1"/>
  <c r="CQ7" i="1"/>
  <c r="EZ7" i="1" s="1"/>
  <c r="HJ7" i="1" s="1"/>
  <c r="CQ4" i="1"/>
  <c r="EZ4" i="1" s="1"/>
  <c r="HJ4" i="1" s="1"/>
  <c r="CQ11" i="1"/>
  <c r="EZ11" i="1" s="1"/>
  <c r="HJ11" i="1" s="1"/>
  <c r="CP8" i="1"/>
  <c r="EY8" i="1" s="1"/>
  <c r="HI8" i="1" s="1"/>
  <c r="CL4" i="5"/>
  <c r="EU4" i="5" s="1"/>
  <c r="HE4" i="5" s="1"/>
  <c r="JO3" i="5" l="1"/>
  <c r="JP3" i="5" s="1"/>
  <c r="JT3" i="5" s="1"/>
  <c r="JV3" i="5" s="1"/>
  <c r="CQ8" i="1"/>
  <c r="EZ8" i="1" s="1"/>
  <c r="HJ8" i="1" s="1"/>
  <c r="CR11" i="1"/>
  <c r="FA11" i="1" s="1"/>
  <c r="HK11" i="1" s="1"/>
  <c r="CR4" i="1"/>
  <c r="FA4" i="1" s="1"/>
  <c r="HK4" i="1" s="1"/>
  <c r="CR7" i="1"/>
  <c r="FA7" i="1" s="1"/>
  <c r="HK7" i="1" s="1"/>
  <c r="CR9" i="1"/>
  <c r="FA9" i="1" s="1"/>
  <c r="HK9" i="1" s="1"/>
  <c r="CQ5" i="1"/>
  <c r="EZ5" i="1" s="1"/>
  <c r="HJ5" i="1" s="1"/>
  <c r="CR6" i="1"/>
  <c r="FA6" i="1" s="1"/>
  <c r="HK6" i="1" s="1"/>
  <c r="CR10" i="1"/>
  <c r="FA10" i="1" s="1"/>
  <c r="HK10" i="1" s="1"/>
  <c r="CM4" i="5"/>
  <c r="EV4" i="5" s="1"/>
  <c r="HF4" i="5" s="1"/>
  <c r="CM3" i="5"/>
  <c r="EV3" i="5" s="1"/>
  <c r="HF3" i="5" s="1"/>
  <c r="CS10" i="1" l="1"/>
  <c r="FB10" i="1" s="1"/>
  <c r="HL10" i="1" s="1"/>
  <c r="CS9" i="1"/>
  <c r="FB9" i="1" s="1"/>
  <c r="HL9" i="1" s="1"/>
  <c r="CS7" i="1"/>
  <c r="FB7" i="1" s="1"/>
  <c r="HL7" i="1" s="1"/>
  <c r="CS4" i="1"/>
  <c r="FB4" i="1" s="1"/>
  <c r="HL4" i="1" s="1"/>
  <c r="CS11" i="1"/>
  <c r="FB11" i="1" s="1"/>
  <c r="HL11" i="1" s="1"/>
  <c r="CR8" i="1"/>
  <c r="FA8" i="1" s="1"/>
  <c r="HK8" i="1" s="1"/>
  <c r="CR5" i="1"/>
  <c r="FA5" i="1" s="1"/>
  <c r="HK5" i="1" s="1"/>
  <c r="CS6" i="1"/>
  <c r="FB6" i="1" s="1"/>
  <c r="HL6" i="1" s="1"/>
  <c r="CN4" i="5"/>
  <c r="EW4" i="5" s="1"/>
  <c r="HG4" i="5" s="1"/>
  <c r="CN3" i="5"/>
  <c r="EW3" i="5" s="1"/>
  <c r="HG3" i="5" s="1"/>
  <c r="CS5" i="1" l="1"/>
  <c r="FB5" i="1" s="1"/>
  <c r="HL5" i="1" s="1"/>
  <c r="CT4" i="1"/>
  <c r="FC4" i="1" s="1"/>
  <c r="HM4" i="1" s="1"/>
  <c r="CT10" i="1"/>
  <c r="FC10" i="1" s="1"/>
  <c r="HM10" i="1" s="1"/>
  <c r="CT6" i="1"/>
  <c r="FC6" i="1" s="1"/>
  <c r="HM6" i="1" s="1"/>
  <c r="CT11" i="1"/>
  <c r="FC11" i="1" s="1"/>
  <c r="HM11" i="1" s="1"/>
  <c r="CS8" i="1"/>
  <c r="FB8" i="1" s="1"/>
  <c r="HL8" i="1" s="1"/>
  <c r="CT7" i="1"/>
  <c r="FC7" i="1" s="1"/>
  <c r="HM7" i="1" s="1"/>
  <c r="CT9" i="1"/>
  <c r="FC9" i="1" s="1"/>
  <c r="HM9" i="1" s="1"/>
  <c r="CO4" i="5"/>
  <c r="EX4" i="5" s="1"/>
  <c r="HH4" i="5" s="1"/>
  <c r="CO3" i="5"/>
  <c r="EX3" i="5" s="1"/>
  <c r="HH3" i="5" s="1"/>
  <c r="JO480" i="1"/>
  <c r="JO446" i="1"/>
  <c r="CU9" i="1" l="1"/>
  <c r="FD9" i="1" s="1"/>
  <c r="HN9" i="1" s="1"/>
  <c r="CU7" i="1"/>
  <c r="FD7" i="1" s="1"/>
  <c r="HN7" i="1" s="1"/>
  <c r="CT8" i="1"/>
  <c r="FC8" i="1" s="1"/>
  <c r="HM8" i="1" s="1"/>
  <c r="CU6" i="1"/>
  <c r="FD6" i="1" s="1"/>
  <c r="HN6" i="1" s="1"/>
  <c r="CU4" i="1"/>
  <c r="FD4" i="1" s="1"/>
  <c r="HN4" i="1" s="1"/>
  <c r="CT5" i="1"/>
  <c r="FC5" i="1" s="1"/>
  <c r="HM5" i="1" s="1"/>
  <c r="CU11" i="1"/>
  <c r="FD11" i="1" s="1"/>
  <c r="HN11" i="1" s="1"/>
  <c r="CU10" i="1"/>
  <c r="FD10" i="1" s="1"/>
  <c r="HN10" i="1" s="1"/>
  <c r="CP4" i="5"/>
  <c r="EY4" i="5" s="1"/>
  <c r="HI4" i="5" s="1"/>
  <c r="CP3" i="5"/>
  <c r="EY3" i="5" s="1"/>
  <c r="HI3" i="5" s="1"/>
  <c r="JO464" i="1"/>
  <c r="JO459" i="1"/>
  <c r="JO474" i="1"/>
  <c r="JO481" i="1"/>
  <c r="JO455" i="1"/>
  <c r="JO492" i="1"/>
  <c r="JO463" i="1"/>
  <c r="JO488" i="1"/>
  <c r="JO462" i="1"/>
  <c r="JO490" i="1"/>
  <c r="JO503" i="1"/>
  <c r="JO445" i="1"/>
  <c r="JO452" i="1"/>
  <c r="JO448" i="1"/>
  <c r="JO496" i="1"/>
  <c r="JO471" i="1"/>
  <c r="JO485" i="1"/>
  <c r="JO504" i="1"/>
  <c r="JO449" i="1"/>
  <c r="JO482" i="1"/>
  <c r="JO470" i="1"/>
  <c r="JO467" i="1"/>
  <c r="JO451" i="1"/>
  <c r="JO469" i="1"/>
  <c r="JO454" i="1"/>
  <c r="JO466" i="1"/>
  <c r="JO478" i="1"/>
  <c r="JO484" i="1"/>
  <c r="JO486" i="1"/>
  <c r="JO491" i="1"/>
  <c r="CV4" i="1" l="1"/>
  <c r="FE4" i="1" s="1"/>
  <c r="HO4" i="1" s="1"/>
  <c r="CV7" i="1"/>
  <c r="FE7" i="1" s="1"/>
  <c r="HO7" i="1" s="1"/>
  <c r="CU5" i="1"/>
  <c r="FD5" i="1" s="1"/>
  <c r="HN5" i="1" s="1"/>
  <c r="CV6" i="1"/>
  <c r="FE6" i="1" s="1"/>
  <c r="HO6" i="1" s="1"/>
  <c r="CV9" i="1"/>
  <c r="FE9" i="1" s="1"/>
  <c r="HO9" i="1" s="1"/>
  <c r="CV10" i="1"/>
  <c r="FE10" i="1" s="1"/>
  <c r="HO10" i="1" s="1"/>
  <c r="CV11" i="1"/>
  <c r="FE11" i="1" s="1"/>
  <c r="HO11" i="1" s="1"/>
  <c r="CU8" i="1"/>
  <c r="FD8" i="1" s="1"/>
  <c r="HN8" i="1" s="1"/>
  <c r="CQ4" i="5"/>
  <c r="EZ4" i="5" s="1"/>
  <c r="HJ4" i="5" s="1"/>
  <c r="CQ3" i="5"/>
  <c r="EZ3" i="5" s="1"/>
  <c r="HJ3" i="5" s="1"/>
  <c r="JO465" i="1"/>
  <c r="JO311" i="1"/>
  <c r="JO392" i="1"/>
  <c r="JO502" i="1"/>
  <c r="JO238" i="1"/>
  <c r="JO473" i="1"/>
  <c r="JO294" i="1"/>
  <c r="JO479" i="1"/>
  <c r="JO447" i="1"/>
  <c r="JO458" i="1"/>
  <c r="JO457" i="1"/>
  <c r="JO501" i="1"/>
  <c r="JO483" i="1"/>
  <c r="JO307" i="1"/>
  <c r="JO289" i="1"/>
  <c r="JO222" i="1"/>
  <c r="JO250" i="1"/>
  <c r="JO319" i="1"/>
  <c r="JO400" i="1"/>
  <c r="JO453" i="1"/>
  <c r="JO495" i="1"/>
  <c r="JO494" i="1"/>
  <c r="JO487" i="1"/>
  <c r="JO489" i="1"/>
  <c r="JO476" i="1"/>
  <c r="JO477" i="1"/>
  <c r="JO500" i="1"/>
  <c r="JO468" i="1"/>
  <c r="JO456" i="1"/>
  <c r="JO472" i="1"/>
  <c r="JO498" i="1"/>
  <c r="JO499" i="1"/>
  <c r="JO493" i="1"/>
  <c r="JO461" i="1"/>
  <c r="JO475" i="1"/>
  <c r="JO497" i="1"/>
  <c r="JO505" i="1"/>
  <c r="JO450" i="1"/>
  <c r="JO460" i="1"/>
  <c r="F3" i="1"/>
  <c r="CW9" i="1" l="1"/>
  <c r="FF9" i="1" s="1"/>
  <c r="HP9" i="1" s="1"/>
  <c r="CW6" i="1"/>
  <c r="FF6" i="1" s="1"/>
  <c r="HP6" i="1" s="1"/>
  <c r="CW4" i="1"/>
  <c r="FF4" i="1" s="1"/>
  <c r="HP4" i="1" s="1"/>
  <c r="CW10" i="1"/>
  <c r="FF10" i="1" s="1"/>
  <c r="HP10" i="1" s="1"/>
  <c r="CV5" i="1"/>
  <c r="FE5" i="1" s="1"/>
  <c r="HO5" i="1" s="1"/>
  <c r="CW7" i="1"/>
  <c r="FF7" i="1" s="1"/>
  <c r="HP7" i="1" s="1"/>
  <c r="CV8" i="1"/>
  <c r="FE8" i="1" s="1"/>
  <c r="HO8" i="1" s="1"/>
  <c r="CW11" i="1"/>
  <c r="FF11" i="1" s="1"/>
  <c r="HP11" i="1" s="1"/>
  <c r="CR4" i="5"/>
  <c r="FA4" i="5" s="1"/>
  <c r="HK4" i="5" s="1"/>
  <c r="CR3" i="5"/>
  <c r="FA3" i="5" s="1"/>
  <c r="HK3" i="5" s="1"/>
  <c r="JO430" i="1"/>
  <c r="JO320" i="1"/>
  <c r="JO422" i="1"/>
  <c r="JO233" i="1"/>
  <c r="JO290" i="1"/>
  <c r="JO437" i="1"/>
  <c r="JO390" i="1"/>
  <c r="JO350" i="1"/>
  <c r="JO277" i="1"/>
  <c r="JO367" i="1"/>
  <c r="JO355" i="1"/>
  <c r="JO413" i="1"/>
  <c r="JO359" i="1"/>
  <c r="JO410" i="1"/>
  <c r="JO395" i="1"/>
  <c r="JO405" i="1"/>
  <c r="JO366" i="1"/>
  <c r="JO339" i="1"/>
  <c r="JO210" i="1"/>
  <c r="JO212" i="1"/>
  <c r="JO444" i="1"/>
  <c r="JO406" i="1"/>
  <c r="JO229" i="1"/>
  <c r="JO385" i="1"/>
  <c r="JO442" i="1"/>
  <c r="JO373" i="1"/>
  <c r="JO281" i="1"/>
  <c r="JO288" i="1"/>
  <c r="JO272" i="1"/>
  <c r="JO284" i="1"/>
  <c r="JO251" i="1"/>
  <c r="JO314" i="1"/>
  <c r="JO227" i="1"/>
  <c r="JO421" i="1"/>
  <c r="JO334" i="1"/>
  <c r="JO313" i="1"/>
  <c r="JO377" i="1"/>
  <c r="JO431" i="1"/>
  <c r="JO333" i="1"/>
  <c r="JO398" i="1"/>
  <c r="JO328" i="1"/>
  <c r="JO358" i="1"/>
  <c r="JO300" i="1"/>
  <c r="JO291" i="1"/>
  <c r="JO271" i="1"/>
  <c r="JO253" i="1"/>
  <c r="JO326" i="1"/>
  <c r="JO351" i="1"/>
  <c r="JO434" i="1"/>
  <c r="JO306" i="1"/>
  <c r="JO240" i="1"/>
  <c r="JO397" i="1"/>
  <c r="JO393" i="1"/>
  <c r="JO298" i="1"/>
  <c r="JO325" i="1"/>
  <c r="JO329" i="1"/>
  <c r="JO267" i="1"/>
  <c r="JO208" i="1"/>
  <c r="JO433" i="1"/>
  <c r="JO335" i="1"/>
  <c r="JO346" i="1"/>
  <c r="JO246" i="1"/>
  <c r="JO420" i="1"/>
  <c r="JO375" i="1"/>
  <c r="JO236" i="1"/>
  <c r="JO207" i="1"/>
  <c r="JO228" i="1"/>
  <c r="JO411" i="1"/>
  <c r="JO304" i="1"/>
  <c r="JO376" i="1"/>
  <c r="JO381" i="1"/>
  <c r="JO293" i="1"/>
  <c r="JO428" i="1"/>
  <c r="JO403" i="1"/>
  <c r="JO309" i="1"/>
  <c r="JO308" i="1"/>
  <c r="CX11" i="1" l="1"/>
  <c r="FG11" i="1" s="1"/>
  <c r="HQ11" i="1" s="1"/>
  <c r="CW5" i="1"/>
  <c r="FF5" i="1" s="1"/>
  <c r="HP5" i="1" s="1"/>
  <c r="CX4" i="1"/>
  <c r="FG4" i="1" s="1"/>
  <c r="HQ4" i="1" s="1"/>
  <c r="CX7" i="1"/>
  <c r="FG7" i="1" s="1"/>
  <c r="HQ7" i="1" s="1"/>
  <c r="CX9" i="1"/>
  <c r="FG9" i="1" s="1"/>
  <c r="HQ9" i="1" s="1"/>
  <c r="CX6" i="1"/>
  <c r="FG6" i="1" s="1"/>
  <c r="HQ6" i="1" s="1"/>
  <c r="CX10" i="1"/>
  <c r="FG10" i="1" s="1"/>
  <c r="HQ10" i="1" s="1"/>
  <c r="CW8" i="1"/>
  <c r="FF8" i="1" s="1"/>
  <c r="HP8" i="1" s="1"/>
  <c r="CS4" i="5"/>
  <c r="FB4" i="5" s="1"/>
  <c r="HL4" i="5" s="1"/>
  <c r="CS3" i="5"/>
  <c r="FB3" i="5" s="1"/>
  <c r="HL3" i="5" s="1"/>
  <c r="JO303" i="1"/>
  <c r="JO354" i="1"/>
  <c r="JO255" i="1"/>
  <c r="JO282" i="1"/>
  <c r="JO372" i="1"/>
  <c r="JO279" i="1"/>
  <c r="JO268" i="1"/>
  <c r="JO337" i="1"/>
  <c r="JO278" i="1"/>
  <c r="JO242" i="1"/>
  <c r="JO425" i="1"/>
  <c r="JO286" i="1"/>
  <c r="JO310" i="1"/>
  <c r="JO424" i="1"/>
  <c r="JO220" i="1"/>
  <c r="JO316" i="1"/>
  <c r="JO353" i="1"/>
  <c r="JO362" i="1"/>
  <c r="JO305" i="1"/>
  <c r="JO348" i="1"/>
  <c r="JO357" i="1"/>
  <c r="JO287" i="1"/>
  <c r="JO352" i="1"/>
  <c r="JO243" i="1"/>
  <c r="JO301" i="1"/>
  <c r="JO213" i="1"/>
  <c r="JO435" i="1"/>
  <c r="JO244" i="1"/>
  <c r="JO396" i="1"/>
  <c r="JO415" i="1"/>
  <c r="JO237" i="1"/>
  <c r="JO409" i="1"/>
  <c r="JO426" i="1"/>
  <c r="JO297" i="1"/>
  <c r="JO402" i="1"/>
  <c r="JO432" i="1"/>
  <c r="JO439" i="1"/>
  <c r="JO343" i="1"/>
  <c r="JO417" i="1"/>
  <c r="JO317" i="1"/>
  <c r="JO312" i="1"/>
  <c r="JO257" i="1"/>
  <c r="JO296" i="1"/>
  <c r="JO254" i="1"/>
  <c r="JO344" i="1"/>
  <c r="JO440" i="1"/>
  <c r="JO378" i="1"/>
  <c r="JO336" i="1"/>
  <c r="JO209" i="1"/>
  <c r="JO258" i="1"/>
  <c r="JO217" i="1"/>
  <c r="JO241" i="1"/>
  <c r="JO292" i="1"/>
  <c r="JO364" i="1"/>
  <c r="JO299" i="1"/>
  <c r="JO259" i="1"/>
  <c r="JO386" i="1"/>
  <c r="JO205" i="1"/>
  <c r="JO226" i="1"/>
  <c r="JO262" i="1"/>
  <c r="JO206" i="1"/>
  <c r="JO203" i="1"/>
  <c r="JO266" i="1"/>
  <c r="JO322" i="1"/>
  <c r="JO318" i="1"/>
  <c r="JO239" i="1"/>
  <c r="JO370" i="1"/>
  <c r="JO414" i="1"/>
  <c r="JO214" i="1"/>
  <c r="JO323" i="1"/>
  <c r="JO382" i="1"/>
  <c r="JO429" i="1"/>
  <c r="JO302" i="1"/>
  <c r="JO264" i="1"/>
  <c r="JO332" i="1"/>
  <c r="JO383" i="1"/>
  <c r="JO388" i="1"/>
  <c r="JO419" i="1"/>
  <c r="JO401" i="1"/>
  <c r="JO202" i="1"/>
  <c r="JO219" i="1"/>
  <c r="JO248" i="1"/>
  <c r="JO231" i="1"/>
  <c r="JO384" i="1"/>
  <c r="JO330" i="1"/>
  <c r="JO235" i="1"/>
  <c r="JO232" i="1"/>
  <c r="JO324" i="1"/>
  <c r="JO260" i="1"/>
  <c r="JO394" i="1"/>
  <c r="JO340" i="1"/>
  <c r="JO361" i="1"/>
  <c r="JO331" i="1"/>
  <c r="JO438" i="1"/>
  <c r="JO261" i="1"/>
  <c r="JO408" i="1"/>
  <c r="JO389" i="1"/>
  <c r="JO247" i="1"/>
  <c r="JO252" i="1"/>
  <c r="JO347" i="1"/>
  <c r="JO265" i="1"/>
  <c r="JO221" i="1"/>
  <c r="JO234" i="1"/>
  <c r="JO225" i="1"/>
  <c r="JO285" i="1"/>
  <c r="JO338" i="1"/>
  <c r="JO204" i="1"/>
  <c r="JO379" i="1"/>
  <c r="JO399" i="1"/>
  <c r="JO249" i="1"/>
  <c r="JO274" i="1"/>
  <c r="JO273" i="1"/>
  <c r="JO404" i="1"/>
  <c r="JO363" i="1"/>
  <c r="JO211" i="1"/>
  <c r="JO416" i="1"/>
  <c r="JO387" i="1"/>
  <c r="JO391" i="1"/>
  <c r="JO245" i="1"/>
  <c r="JO295" i="1"/>
  <c r="JO380" i="1"/>
  <c r="JO276" i="1"/>
  <c r="JO327" i="1"/>
  <c r="JO275" i="1"/>
  <c r="JO365" i="1"/>
  <c r="JO345" i="1"/>
  <c r="JO321" i="1"/>
  <c r="JO356" i="1"/>
  <c r="JO270" i="1"/>
  <c r="JO412" i="1"/>
  <c r="JO374" i="1"/>
  <c r="JO280" i="1"/>
  <c r="JO201" i="1"/>
  <c r="JO223" i="1"/>
  <c r="JO360" i="1"/>
  <c r="JO418" i="1"/>
  <c r="JO230" i="1"/>
  <c r="JO349" i="1"/>
  <c r="JO427" i="1"/>
  <c r="JO368" i="1"/>
  <c r="JO407" i="1"/>
  <c r="JO341" i="1"/>
  <c r="JO371" i="1"/>
  <c r="JO441" i="1"/>
  <c r="JO263" i="1"/>
  <c r="JO423" i="1"/>
  <c r="JO342" i="1"/>
  <c r="JO224" i="1"/>
  <c r="JO436" i="1"/>
  <c r="JO269" i="1"/>
  <c r="JO216" i="1"/>
  <c r="CY9" i="1" l="1"/>
  <c r="FH9" i="1" s="1"/>
  <c r="HR9" i="1" s="1"/>
  <c r="CX5" i="1"/>
  <c r="FG5" i="1" s="1"/>
  <c r="HQ5" i="1" s="1"/>
  <c r="CY6" i="1"/>
  <c r="FH6" i="1" s="1"/>
  <c r="HR6" i="1" s="1"/>
  <c r="CY4" i="1"/>
  <c r="FH4" i="1" s="1"/>
  <c r="HR4" i="1" s="1"/>
  <c r="CX8" i="1"/>
  <c r="FG8" i="1" s="1"/>
  <c r="HQ8" i="1" s="1"/>
  <c r="CY11" i="1"/>
  <c r="FH11" i="1" s="1"/>
  <c r="HR11" i="1" s="1"/>
  <c r="CY10" i="1"/>
  <c r="FH10" i="1" s="1"/>
  <c r="HR10" i="1" s="1"/>
  <c r="CY7" i="1"/>
  <c r="FH7" i="1" s="1"/>
  <c r="HR7" i="1" s="1"/>
  <c r="CT4" i="5"/>
  <c r="FC4" i="5" s="1"/>
  <c r="HM4" i="5" s="1"/>
  <c r="CT3" i="5"/>
  <c r="FC3" i="5" s="1"/>
  <c r="HM3" i="5" s="1"/>
  <c r="JO283" i="1"/>
  <c r="JO443" i="1"/>
  <c r="JO215" i="1"/>
  <c r="JO315" i="1"/>
  <c r="JO256" i="1"/>
  <c r="JO369" i="1"/>
  <c r="JO218" i="1"/>
  <c r="CZ10" i="1" l="1"/>
  <c r="FI10" i="1" s="1"/>
  <c r="HS10" i="1" s="1"/>
  <c r="CZ11" i="1"/>
  <c r="FI11" i="1" s="1"/>
  <c r="HS11" i="1" s="1"/>
  <c r="CY8" i="1"/>
  <c r="FH8" i="1" s="1"/>
  <c r="HR8" i="1" s="1"/>
  <c r="CZ4" i="1"/>
  <c r="FI4" i="1" s="1"/>
  <c r="HS4" i="1" s="1"/>
  <c r="CZ6" i="1"/>
  <c r="FI6" i="1" s="1"/>
  <c r="HS6" i="1" s="1"/>
  <c r="CY5" i="1"/>
  <c r="FH5" i="1" s="1"/>
  <c r="HR5" i="1" s="1"/>
  <c r="CZ9" i="1"/>
  <c r="FI9" i="1" s="1"/>
  <c r="HS9" i="1" s="1"/>
  <c r="CZ7" i="1"/>
  <c r="FI7" i="1" s="1"/>
  <c r="HS7" i="1" s="1"/>
  <c r="CU4" i="5"/>
  <c r="FD4" i="5" s="1"/>
  <c r="HN4" i="5" s="1"/>
  <c r="CU3" i="5"/>
  <c r="FD3" i="5" s="1"/>
  <c r="HN3" i="5" s="1"/>
  <c r="E3" i="1"/>
  <c r="D3" i="1"/>
  <c r="C3" i="1"/>
  <c r="DA9" i="1" l="1"/>
  <c r="FJ9" i="1" s="1"/>
  <c r="HT9" i="1" s="1"/>
  <c r="DA11" i="1"/>
  <c r="FJ11" i="1" s="1"/>
  <c r="HT11" i="1" s="1"/>
  <c r="DA10" i="1"/>
  <c r="FJ10" i="1" s="1"/>
  <c r="HT10" i="1" s="1"/>
  <c r="DA7" i="1"/>
  <c r="FJ7" i="1" s="1"/>
  <c r="HT7" i="1" s="1"/>
  <c r="CZ5" i="1"/>
  <c r="FI5" i="1" s="1"/>
  <c r="HS5" i="1" s="1"/>
  <c r="DA6" i="1"/>
  <c r="FJ6" i="1" s="1"/>
  <c r="HT6" i="1" s="1"/>
  <c r="DA4" i="1"/>
  <c r="FJ4" i="1" s="1"/>
  <c r="HT4" i="1" s="1"/>
  <c r="CZ8" i="1"/>
  <c r="FI8" i="1" s="1"/>
  <c r="HS8" i="1" s="1"/>
  <c r="CV4" i="5"/>
  <c r="FE4" i="5" s="1"/>
  <c r="HO4" i="5" s="1"/>
  <c r="CV3" i="5"/>
  <c r="FE3" i="5" s="1"/>
  <c r="HO3" i="5" s="1"/>
  <c r="JO180" i="1"/>
  <c r="DA8" i="1" l="1"/>
  <c r="FJ8" i="1" s="1"/>
  <c r="HT8" i="1" s="1"/>
  <c r="DA5" i="1"/>
  <c r="FJ5" i="1" s="1"/>
  <c r="HT5" i="1" s="1"/>
  <c r="DB11" i="1"/>
  <c r="FK11" i="1" s="1"/>
  <c r="HU11" i="1" s="1"/>
  <c r="DB10" i="1"/>
  <c r="FK10" i="1" s="1"/>
  <c r="HU10" i="1" s="1"/>
  <c r="DB7" i="1"/>
  <c r="FK7" i="1" s="1"/>
  <c r="HU7" i="1" s="1"/>
  <c r="DB9" i="1"/>
  <c r="FK9" i="1" s="1"/>
  <c r="HU9" i="1" s="1"/>
  <c r="DB4" i="1"/>
  <c r="FK4" i="1" s="1"/>
  <c r="HU4" i="1" s="1"/>
  <c r="DB6" i="1"/>
  <c r="FK6" i="1" s="1"/>
  <c r="HU6" i="1" s="1"/>
  <c r="CW4" i="5"/>
  <c r="FF4" i="5" s="1"/>
  <c r="HP4" i="5" s="1"/>
  <c r="CW3" i="5"/>
  <c r="FF3" i="5" s="1"/>
  <c r="HP3" i="5" s="1"/>
  <c r="JO125" i="1"/>
  <c r="JO196" i="1"/>
  <c r="DC9" i="1" l="1"/>
  <c r="FL9" i="1" s="1"/>
  <c r="HV9" i="1" s="1"/>
  <c r="DC7" i="1"/>
  <c r="FL7" i="1" s="1"/>
  <c r="HV7" i="1" s="1"/>
  <c r="JO7" i="1" s="1"/>
  <c r="DC4" i="1"/>
  <c r="FL4" i="1" s="1"/>
  <c r="HV4" i="1" s="1"/>
  <c r="DC6" i="1"/>
  <c r="FL6" i="1" s="1"/>
  <c r="HV6" i="1" s="1"/>
  <c r="DC10" i="1"/>
  <c r="FL10" i="1" s="1"/>
  <c r="HV10" i="1" s="1"/>
  <c r="DC11" i="1"/>
  <c r="FL11" i="1" s="1"/>
  <c r="HV11" i="1" s="1"/>
  <c r="DB5" i="1"/>
  <c r="FK5" i="1" s="1"/>
  <c r="HU5" i="1" s="1"/>
  <c r="DB8" i="1"/>
  <c r="FK8" i="1" s="1"/>
  <c r="HU8" i="1" s="1"/>
  <c r="CX4" i="5"/>
  <c r="FG4" i="5" s="1"/>
  <c r="HQ4" i="5" s="1"/>
  <c r="CX3" i="5"/>
  <c r="FG3" i="5" s="1"/>
  <c r="HQ3" i="5" s="1"/>
  <c r="JO181" i="1"/>
  <c r="JO174" i="1"/>
  <c r="JO170" i="1"/>
  <c r="JO159" i="1"/>
  <c r="JO115" i="1"/>
  <c r="DD10" i="1" l="1"/>
  <c r="FM10" i="1" s="1"/>
  <c r="HW10" i="1" s="1"/>
  <c r="DD6" i="1"/>
  <c r="FM6" i="1" s="1"/>
  <c r="HW6" i="1" s="1"/>
  <c r="DD9" i="1"/>
  <c r="FM9" i="1" s="1"/>
  <c r="HW9" i="1" s="1"/>
  <c r="DC8" i="1"/>
  <c r="FL8" i="1" s="1"/>
  <c r="HV8" i="1" s="1"/>
  <c r="DD7" i="1"/>
  <c r="FM7" i="1" s="1"/>
  <c r="HW7" i="1" s="1"/>
  <c r="DD4" i="1"/>
  <c r="FM4" i="1" s="1"/>
  <c r="HW4" i="1" s="1"/>
  <c r="DC5" i="1"/>
  <c r="FL5" i="1" s="1"/>
  <c r="HV5" i="1" s="1"/>
  <c r="DD11" i="1"/>
  <c r="FM11" i="1" s="1"/>
  <c r="HW11" i="1" s="1"/>
  <c r="CY4" i="5"/>
  <c r="FH4" i="5" s="1"/>
  <c r="HR4" i="5" s="1"/>
  <c r="CY3" i="5"/>
  <c r="FH3" i="5" s="1"/>
  <c r="HR3" i="5" s="1"/>
  <c r="JO25" i="1"/>
  <c r="JO81" i="1"/>
  <c r="JO171" i="1"/>
  <c r="JO155" i="1"/>
  <c r="JO151" i="1"/>
  <c r="JO117" i="1"/>
  <c r="JO136" i="1"/>
  <c r="JO177" i="1"/>
  <c r="JO113" i="1"/>
  <c r="JO114" i="1"/>
  <c r="JO121" i="1"/>
  <c r="JO157" i="1"/>
  <c r="JO107" i="1"/>
  <c r="JO49" i="1"/>
  <c r="DD5" i="1" l="1"/>
  <c r="FM5" i="1" s="1"/>
  <c r="HW5" i="1" s="1"/>
  <c r="DD8" i="1"/>
  <c r="FM8" i="1" s="1"/>
  <c r="HW8" i="1" s="1"/>
  <c r="DE9" i="1"/>
  <c r="FN9" i="1" s="1"/>
  <c r="HX9" i="1" s="1"/>
  <c r="DE6" i="1"/>
  <c r="FN6" i="1" s="1"/>
  <c r="HX6" i="1" s="1"/>
  <c r="DE10" i="1"/>
  <c r="FN10" i="1" s="1"/>
  <c r="HX10" i="1" s="1"/>
  <c r="DE11" i="1"/>
  <c r="FN11" i="1" s="1"/>
  <c r="HX11" i="1" s="1"/>
  <c r="DE4" i="1"/>
  <c r="FN4" i="1" s="1"/>
  <c r="HX4" i="1" s="1"/>
  <c r="DE7" i="1"/>
  <c r="FN7" i="1" s="1"/>
  <c r="HX7" i="1" s="1"/>
  <c r="CZ4" i="5"/>
  <c r="FI4" i="5" s="1"/>
  <c r="HS4" i="5" s="1"/>
  <c r="CZ3" i="5"/>
  <c r="FI3" i="5" s="1"/>
  <c r="HS3" i="5" s="1"/>
  <c r="JO99" i="1"/>
  <c r="JP8" i="1"/>
  <c r="JT8" i="1" s="1"/>
  <c r="JV8" i="1" s="1"/>
  <c r="JO85" i="1"/>
  <c r="JO55" i="1"/>
  <c r="JO24" i="1"/>
  <c r="JO62" i="1"/>
  <c r="JO48" i="1"/>
  <c r="JO59" i="1"/>
  <c r="JO191" i="1"/>
  <c r="JO123" i="1"/>
  <c r="JO198" i="1"/>
  <c r="JO187" i="1"/>
  <c r="JO140" i="1"/>
  <c r="JO137" i="1"/>
  <c r="JO158" i="1"/>
  <c r="JO118" i="1"/>
  <c r="JO185" i="1"/>
  <c r="JO105" i="1"/>
  <c r="JO188" i="1"/>
  <c r="JO169" i="1"/>
  <c r="JO189" i="1"/>
  <c r="JO87" i="1"/>
  <c r="JO63" i="1"/>
  <c r="JO41" i="1"/>
  <c r="P3" i="1"/>
  <c r="M3" i="1"/>
  <c r="L3" i="1"/>
  <c r="K3" i="1"/>
  <c r="J3" i="1"/>
  <c r="H3" i="1"/>
  <c r="DF10" i="1" l="1"/>
  <c r="FO10" i="1" s="1"/>
  <c r="HY10" i="1" s="1"/>
  <c r="DE8" i="1"/>
  <c r="FN8" i="1" s="1"/>
  <c r="HX8" i="1" s="1"/>
  <c r="DF7" i="1"/>
  <c r="FO7" i="1" s="1"/>
  <c r="HY7" i="1" s="1"/>
  <c r="DF6" i="1"/>
  <c r="FO6" i="1" s="1"/>
  <c r="HY6" i="1" s="1"/>
  <c r="DF11" i="1"/>
  <c r="FO11" i="1" s="1"/>
  <c r="HY11" i="1" s="1"/>
  <c r="DF9" i="1"/>
  <c r="FO9" i="1" s="1"/>
  <c r="HY9" i="1" s="1"/>
  <c r="DE5" i="1"/>
  <c r="FN5" i="1" s="1"/>
  <c r="HX5" i="1" s="1"/>
  <c r="DF4" i="1"/>
  <c r="FO4" i="1" s="1"/>
  <c r="HY4" i="1" s="1"/>
  <c r="DA4" i="5"/>
  <c r="FJ4" i="5" s="1"/>
  <c r="HT4" i="5" s="1"/>
  <c r="DA3" i="5"/>
  <c r="FJ3" i="5" s="1"/>
  <c r="HT3" i="5" s="1"/>
  <c r="JO56" i="1"/>
  <c r="JO53" i="1"/>
  <c r="JO31" i="1"/>
  <c r="JO38" i="1"/>
  <c r="JO74" i="1"/>
  <c r="JO89" i="1"/>
  <c r="JO61" i="1"/>
  <c r="JO77" i="1"/>
  <c r="JO111" i="1"/>
  <c r="JO190" i="1"/>
  <c r="JO143" i="1"/>
  <c r="JO193" i="1"/>
  <c r="JO172" i="1"/>
  <c r="JO104" i="1"/>
  <c r="JO128" i="1"/>
  <c r="JO168" i="1"/>
  <c r="JO197" i="1"/>
  <c r="JO199" i="1"/>
  <c r="JO200" i="1"/>
  <c r="JO173" i="1"/>
  <c r="JO182" i="1"/>
  <c r="JO119" i="1"/>
  <c r="JO166" i="1"/>
  <c r="JO194" i="1"/>
  <c r="JO192" i="1"/>
  <c r="JO98" i="1"/>
  <c r="JO47" i="1"/>
  <c r="JO30" i="1"/>
  <c r="JO57" i="1"/>
  <c r="JO84" i="1"/>
  <c r="JO20" i="1"/>
  <c r="JP20" i="1" s="1"/>
  <c r="JT20" i="1" s="1"/>
  <c r="JV20" i="1" s="1"/>
  <c r="JU3" i="1"/>
  <c r="DG11" i="1" l="1"/>
  <c r="FP11" i="1" s="1"/>
  <c r="HZ11" i="1" s="1"/>
  <c r="DF8" i="1"/>
  <c r="FO8" i="1" s="1"/>
  <c r="HY8" i="1" s="1"/>
  <c r="DF5" i="1"/>
  <c r="FO5" i="1" s="1"/>
  <c r="HY5" i="1" s="1"/>
  <c r="DG6" i="1"/>
  <c r="FP6" i="1" s="1"/>
  <c r="HZ6" i="1" s="1"/>
  <c r="DG7" i="1"/>
  <c r="FP7" i="1" s="1"/>
  <c r="HZ7" i="1" s="1"/>
  <c r="DG10" i="1"/>
  <c r="FP10" i="1" s="1"/>
  <c r="HZ10" i="1" s="1"/>
  <c r="DG4" i="1"/>
  <c r="FP4" i="1" s="1"/>
  <c r="HZ4" i="1" s="1"/>
  <c r="DG9" i="1"/>
  <c r="FP9" i="1" s="1"/>
  <c r="HZ9" i="1" s="1"/>
  <c r="DB4" i="5"/>
  <c r="FK4" i="5" s="1"/>
  <c r="HU4" i="5" s="1"/>
  <c r="DB3" i="5"/>
  <c r="FK3" i="5" s="1"/>
  <c r="HU3" i="5" s="1"/>
  <c r="JO22" i="1"/>
  <c r="JP22" i="1" s="1"/>
  <c r="JT22" i="1" s="1"/>
  <c r="JV22" i="1" s="1"/>
  <c r="JO92" i="1"/>
  <c r="JO28" i="1"/>
  <c r="JO68" i="1"/>
  <c r="JO29" i="1"/>
  <c r="JO91" i="1"/>
  <c r="JO109" i="1"/>
  <c r="JO124" i="1"/>
  <c r="JO195" i="1"/>
  <c r="JO133" i="1"/>
  <c r="JO129" i="1"/>
  <c r="JO145" i="1"/>
  <c r="JO142" i="1"/>
  <c r="JO184" i="1"/>
  <c r="JO139" i="1"/>
  <c r="JO178" i="1"/>
  <c r="JO116" i="1"/>
  <c r="JO39" i="1"/>
  <c r="JO43" i="1"/>
  <c r="JO37" i="1"/>
  <c r="JO32" i="1"/>
  <c r="JO17" i="1"/>
  <c r="JP17" i="1" s="1"/>
  <c r="JT17" i="1" s="1"/>
  <c r="JV17" i="1" s="1"/>
  <c r="JO44" i="1"/>
  <c r="R3" i="1"/>
  <c r="U3" i="1" s="1"/>
  <c r="Q3" i="1"/>
  <c r="I3" i="1"/>
  <c r="DH7" i="1" l="1"/>
  <c r="FQ7" i="1" s="1"/>
  <c r="IA7" i="1" s="1"/>
  <c r="DH10" i="1"/>
  <c r="FQ10" i="1" s="1"/>
  <c r="IA10" i="1" s="1"/>
  <c r="DG8" i="1"/>
  <c r="FP8" i="1" s="1"/>
  <c r="HZ8" i="1" s="1"/>
  <c r="DH11" i="1"/>
  <c r="FQ11" i="1" s="1"/>
  <c r="IA11" i="1" s="1"/>
  <c r="DH4" i="1"/>
  <c r="FQ4" i="1" s="1"/>
  <c r="IA4" i="1" s="1"/>
  <c r="DH6" i="1"/>
  <c r="FQ6" i="1" s="1"/>
  <c r="IA6" i="1" s="1"/>
  <c r="DG5" i="1"/>
  <c r="FP5" i="1" s="1"/>
  <c r="HZ5" i="1" s="1"/>
  <c r="DH9" i="1"/>
  <c r="FQ9" i="1" s="1"/>
  <c r="IA9" i="1" s="1"/>
  <c r="DC4" i="5"/>
  <c r="FL4" i="5" s="1"/>
  <c r="HV4" i="5" s="1"/>
  <c r="JO4" i="5" s="1"/>
  <c r="JP4" i="5" s="1"/>
  <c r="JT4" i="5" s="1"/>
  <c r="JV4" i="5" s="1"/>
  <c r="DC3" i="5"/>
  <c r="FL3" i="5" s="1"/>
  <c r="HV3" i="5" s="1"/>
  <c r="JO78" i="1"/>
  <c r="JO96" i="1"/>
  <c r="JO179" i="1"/>
  <c r="JO93" i="1"/>
  <c r="JO183" i="1"/>
  <c r="JO186" i="1"/>
  <c r="JO150" i="1"/>
  <c r="JO167" i="1"/>
  <c r="JO132" i="1"/>
  <c r="JO82" i="1"/>
  <c r="JO70" i="1"/>
  <c r="JO46" i="1"/>
  <c r="JO52" i="1"/>
  <c r="JO71" i="1"/>
  <c r="JO64" i="1"/>
  <c r="JO76" i="1"/>
  <c r="JO83" i="1"/>
  <c r="JO101" i="1"/>
  <c r="T3" i="1"/>
  <c r="W3" i="1"/>
  <c r="S3" i="1"/>
  <c r="BG3" i="1" s="1"/>
  <c r="DI11" i="1" l="1"/>
  <c r="FR11" i="1" s="1"/>
  <c r="IB11" i="1" s="1"/>
  <c r="DH5" i="1"/>
  <c r="FQ5" i="1" s="1"/>
  <c r="IA5" i="1" s="1"/>
  <c r="DI4" i="1"/>
  <c r="FR4" i="1" s="1"/>
  <c r="IB4" i="1" s="1"/>
  <c r="DH8" i="1"/>
  <c r="FQ8" i="1" s="1"/>
  <c r="IA8" i="1" s="1"/>
  <c r="DI10" i="1"/>
  <c r="FR10" i="1" s="1"/>
  <c r="IB10" i="1" s="1"/>
  <c r="DI7" i="1"/>
  <c r="FR7" i="1" s="1"/>
  <c r="IB7" i="1" s="1"/>
  <c r="DI6" i="1"/>
  <c r="FR6" i="1" s="1"/>
  <c r="IB6" i="1" s="1"/>
  <c r="DI9" i="1"/>
  <c r="FR9" i="1" s="1"/>
  <c r="IB9" i="1" s="1"/>
  <c r="DD4" i="5"/>
  <c r="FM4" i="5" s="1"/>
  <c r="HW4" i="5" s="1"/>
  <c r="DD3" i="5"/>
  <c r="FM3" i="5" s="1"/>
  <c r="HW3" i="5" s="1"/>
  <c r="JO40" i="1"/>
  <c r="JO67" i="1"/>
  <c r="JO175" i="1"/>
  <c r="JO131" i="1"/>
  <c r="JO130" i="1"/>
  <c r="JO60" i="1"/>
  <c r="JO45" i="1"/>
  <c r="JO102" i="1"/>
  <c r="JO73" i="1"/>
  <c r="JO27" i="1"/>
  <c r="BA3" i="1"/>
  <c r="AB3" i="1"/>
  <c r="AD3" i="1"/>
  <c r="AL3" i="1"/>
  <c r="BJ3" i="1"/>
  <c r="AE3" i="1"/>
  <c r="AN3" i="1"/>
  <c r="AY3" i="1"/>
  <c r="AS3" i="1"/>
  <c r="BS3" i="1"/>
  <c r="AU3" i="1"/>
  <c r="BZ3" i="1"/>
  <c r="AV3" i="1"/>
  <c r="AW3" i="1"/>
  <c r="AX3" i="1"/>
  <c r="Z3" i="1"/>
  <c r="BN3" i="1"/>
  <c r="AP3" i="1"/>
  <c r="BR3" i="1"/>
  <c r="BY3" i="1"/>
  <c r="BF3" i="1"/>
  <c r="AH3" i="1"/>
  <c r="AA3" i="1"/>
  <c r="BI3" i="1"/>
  <c r="BV3" i="1"/>
  <c r="BE3" i="1"/>
  <c r="AO3" i="1"/>
  <c r="BL3" i="1"/>
  <c r="AK3" i="1"/>
  <c r="BT3" i="1"/>
  <c r="BM3" i="1"/>
  <c r="BP3" i="1"/>
  <c r="AI3" i="1"/>
  <c r="BD3" i="1"/>
  <c r="BK3" i="1"/>
  <c r="CA3" i="1"/>
  <c r="BQ3" i="1"/>
  <c r="AQ3" i="1"/>
  <c r="BC3" i="1"/>
  <c r="AC3" i="1"/>
  <c r="BW3" i="1"/>
  <c r="CE3" i="1"/>
  <c r="CC3" i="1"/>
  <c r="AT3" i="1"/>
  <c r="CG3" i="1"/>
  <c r="CD3" i="1"/>
  <c r="AG3" i="1"/>
  <c r="BX3" i="1"/>
  <c r="CF3" i="1"/>
  <c r="AM3" i="1"/>
  <c r="CB3" i="1"/>
  <c r="BH3" i="1"/>
  <c r="BO3" i="1"/>
  <c r="BU3" i="1"/>
  <c r="BB3" i="1"/>
  <c r="AR3" i="1"/>
  <c r="AZ3" i="1"/>
  <c r="AJ3" i="1"/>
  <c r="AF3" i="1"/>
  <c r="V3" i="1"/>
  <c r="DJ9" i="1" l="1"/>
  <c r="FS9" i="1" s="1"/>
  <c r="IC9" i="1" s="1"/>
  <c r="DJ10" i="1"/>
  <c r="FS10" i="1" s="1"/>
  <c r="IC10" i="1" s="1"/>
  <c r="DJ6" i="1"/>
  <c r="FS6" i="1" s="1"/>
  <c r="IC6" i="1" s="1"/>
  <c r="DJ7" i="1"/>
  <c r="FS7" i="1" s="1"/>
  <c r="IC7" i="1" s="1"/>
  <c r="DI5" i="1"/>
  <c r="FR5" i="1" s="1"/>
  <c r="IB5" i="1" s="1"/>
  <c r="DJ11" i="1"/>
  <c r="FS11" i="1" s="1"/>
  <c r="IC11" i="1" s="1"/>
  <c r="DI8" i="1"/>
  <c r="FR8" i="1" s="1"/>
  <c r="IB8" i="1" s="1"/>
  <c r="DJ4" i="1"/>
  <c r="FS4" i="1" s="1"/>
  <c r="IC4" i="1" s="1"/>
  <c r="DE4" i="5"/>
  <c r="FN4" i="5" s="1"/>
  <c r="HX4" i="5" s="1"/>
  <c r="DE3" i="5"/>
  <c r="FN3" i="5" s="1"/>
  <c r="HX3" i="5" s="1"/>
  <c r="JO34" i="1"/>
  <c r="JO86" i="1"/>
  <c r="JO154" i="1"/>
  <c r="JO126" i="1"/>
  <c r="JO100" i="1"/>
  <c r="JO50" i="1"/>
  <c r="JO36" i="1"/>
  <c r="HC3" i="1"/>
  <c r="Y3" i="1"/>
  <c r="X3" i="1" s="1"/>
  <c r="CH3" i="1" l="1"/>
  <c r="CI3" i="1" s="1"/>
  <c r="DJ5" i="1"/>
  <c r="FS5" i="1" s="1"/>
  <c r="IC5" i="1" s="1"/>
  <c r="DK4" i="1"/>
  <c r="FT4" i="1" s="1"/>
  <c r="ID4" i="1" s="1"/>
  <c r="DK11" i="1"/>
  <c r="FT11" i="1" s="1"/>
  <c r="ID11" i="1" s="1"/>
  <c r="DK7" i="1"/>
  <c r="FT7" i="1" s="1"/>
  <c r="ID7" i="1" s="1"/>
  <c r="DK6" i="1"/>
  <c r="FT6" i="1" s="1"/>
  <c r="ID6" i="1" s="1"/>
  <c r="DJ8" i="1"/>
  <c r="FS8" i="1" s="1"/>
  <c r="IC8" i="1" s="1"/>
  <c r="DK9" i="1"/>
  <c r="FT9" i="1" s="1"/>
  <c r="ID9" i="1" s="1"/>
  <c r="DK10" i="1"/>
  <c r="FT10" i="1" s="1"/>
  <c r="ID10" i="1" s="1"/>
  <c r="DF4" i="5"/>
  <c r="FO4" i="5" s="1"/>
  <c r="HY4" i="5" s="1"/>
  <c r="DF3" i="5"/>
  <c r="FO3" i="5" s="1"/>
  <c r="HY3" i="5" s="1"/>
  <c r="JO42" i="1"/>
  <c r="JO19" i="1"/>
  <c r="JP19" i="1" s="1"/>
  <c r="JT19" i="1" s="1"/>
  <c r="JV19" i="1" s="1"/>
  <c r="JO153" i="1"/>
  <c r="JO112" i="1"/>
  <c r="JO35" i="1"/>
  <c r="DL9" i="1" l="1"/>
  <c r="FU9" i="1" s="1"/>
  <c r="IE9" i="1" s="1"/>
  <c r="DL7" i="1"/>
  <c r="FU7" i="1" s="1"/>
  <c r="IE7" i="1" s="1"/>
  <c r="DL10" i="1"/>
  <c r="FU10" i="1" s="1"/>
  <c r="IE10" i="1" s="1"/>
  <c r="DK8" i="1"/>
  <c r="FT8" i="1" s="1"/>
  <c r="ID8" i="1" s="1"/>
  <c r="DL6" i="1"/>
  <c r="FU6" i="1" s="1"/>
  <c r="IE6" i="1" s="1"/>
  <c r="DL11" i="1"/>
  <c r="FU11" i="1" s="1"/>
  <c r="IE11" i="1" s="1"/>
  <c r="DL4" i="1"/>
  <c r="FU4" i="1" s="1"/>
  <c r="IE4" i="1" s="1"/>
  <c r="DK5" i="1"/>
  <c r="FT5" i="1" s="1"/>
  <c r="ID5" i="1" s="1"/>
  <c r="DG4" i="5"/>
  <c r="FP4" i="5" s="1"/>
  <c r="HZ4" i="5" s="1"/>
  <c r="DG3" i="5"/>
  <c r="FP3" i="5" s="1"/>
  <c r="HZ3" i="5" s="1"/>
  <c r="JO72" i="1"/>
  <c r="JO108" i="1"/>
  <c r="JO97" i="1"/>
  <c r="CK3" i="1"/>
  <c r="DL5" i="1" l="1"/>
  <c r="FU5" i="1" s="1"/>
  <c r="IE5" i="1" s="1"/>
  <c r="DM6" i="1"/>
  <c r="FV6" i="1" s="1"/>
  <c r="IF6" i="1" s="1"/>
  <c r="DM4" i="1"/>
  <c r="FV4" i="1" s="1"/>
  <c r="IF4" i="1" s="1"/>
  <c r="DM11" i="1"/>
  <c r="FV11" i="1" s="1"/>
  <c r="IF11" i="1" s="1"/>
  <c r="DM10" i="1"/>
  <c r="FV10" i="1" s="1"/>
  <c r="IF10" i="1" s="1"/>
  <c r="DM9" i="1"/>
  <c r="FV9" i="1" s="1"/>
  <c r="IF9" i="1" s="1"/>
  <c r="DL8" i="1"/>
  <c r="FU8" i="1" s="1"/>
  <c r="IE8" i="1" s="1"/>
  <c r="DM7" i="1"/>
  <c r="FV7" i="1" s="1"/>
  <c r="IF7" i="1" s="1"/>
  <c r="DH4" i="5"/>
  <c r="FQ4" i="5" s="1"/>
  <c r="IA4" i="5" s="1"/>
  <c r="DH3" i="5"/>
  <c r="FQ3" i="5" s="1"/>
  <c r="IA3" i="5" s="1"/>
  <c r="JO103" i="1"/>
  <c r="JO144" i="1"/>
  <c r="JO110" i="1"/>
  <c r="JO79" i="1"/>
  <c r="ET3" i="1"/>
  <c r="HD3" i="1" s="1"/>
  <c r="DN7" i="1" l="1"/>
  <c r="FW7" i="1" s="1"/>
  <c r="IG7" i="1" s="1"/>
  <c r="DN10" i="1"/>
  <c r="FW10" i="1" s="1"/>
  <c r="IG10" i="1" s="1"/>
  <c r="DM8" i="1"/>
  <c r="FV8" i="1" s="1"/>
  <c r="IF8" i="1" s="1"/>
  <c r="DN9" i="1"/>
  <c r="FW9" i="1" s="1"/>
  <c r="IG9" i="1" s="1"/>
  <c r="DN11" i="1"/>
  <c r="FW11" i="1" s="1"/>
  <c r="IG11" i="1" s="1"/>
  <c r="DN4" i="1"/>
  <c r="FW4" i="1" s="1"/>
  <c r="IG4" i="1" s="1"/>
  <c r="DM5" i="1"/>
  <c r="FV5" i="1" s="1"/>
  <c r="IF5" i="1" s="1"/>
  <c r="DN6" i="1"/>
  <c r="FW6" i="1" s="1"/>
  <c r="IG6" i="1" s="1"/>
  <c r="DI4" i="5"/>
  <c r="FR4" i="5" s="1"/>
  <c r="IB4" i="5" s="1"/>
  <c r="DI3" i="5"/>
  <c r="FR3" i="5" s="1"/>
  <c r="IB3" i="5" s="1"/>
  <c r="JO58" i="1"/>
  <c r="JO95" i="1"/>
  <c r="JO94" i="1"/>
  <c r="JO148" i="1"/>
  <c r="JO122" i="1"/>
  <c r="JO33" i="1"/>
  <c r="JO15" i="1"/>
  <c r="JP15" i="1" s="1"/>
  <c r="JT15" i="1" s="1"/>
  <c r="JV15" i="1" s="1"/>
  <c r="JO66" i="1"/>
  <c r="CL3" i="1"/>
  <c r="DN5" i="1" l="1"/>
  <c r="FW5" i="1" s="1"/>
  <c r="IG5" i="1" s="1"/>
  <c r="DO11" i="1"/>
  <c r="FX11" i="1" s="1"/>
  <c r="IH11" i="1" s="1"/>
  <c r="DO6" i="1"/>
  <c r="FX6" i="1" s="1"/>
  <c r="IH6" i="1" s="1"/>
  <c r="DO4" i="1"/>
  <c r="FX4" i="1" s="1"/>
  <c r="IH4" i="1" s="1"/>
  <c r="DO9" i="1"/>
  <c r="FX9" i="1" s="1"/>
  <c r="IH9" i="1" s="1"/>
  <c r="DO10" i="1"/>
  <c r="FX10" i="1" s="1"/>
  <c r="IH10" i="1" s="1"/>
  <c r="DO7" i="1"/>
  <c r="FX7" i="1" s="1"/>
  <c r="IH7" i="1" s="1"/>
  <c r="DN8" i="1"/>
  <c r="FW8" i="1" s="1"/>
  <c r="IG8" i="1" s="1"/>
  <c r="DJ4" i="5"/>
  <c r="FS4" i="5" s="1"/>
  <c r="IC4" i="5" s="1"/>
  <c r="DJ3" i="5"/>
  <c r="FS3" i="5" s="1"/>
  <c r="IC3" i="5" s="1"/>
  <c r="EU3" i="1"/>
  <c r="HE3" i="1" s="1"/>
  <c r="JO88" i="1"/>
  <c r="JO164" i="1"/>
  <c r="JO160" i="1"/>
  <c r="JO141" i="1"/>
  <c r="JP7" i="1"/>
  <c r="JT7" i="1" s="1"/>
  <c r="JV7" i="1" s="1"/>
  <c r="DP7" i="1" l="1"/>
  <c r="FY7" i="1" s="1"/>
  <c r="II7" i="1" s="1"/>
  <c r="DO8" i="1"/>
  <c r="FX8" i="1" s="1"/>
  <c r="IH8" i="1" s="1"/>
  <c r="DP10" i="1"/>
  <c r="FY10" i="1" s="1"/>
  <c r="II10" i="1" s="1"/>
  <c r="DP4" i="1"/>
  <c r="FY4" i="1" s="1"/>
  <c r="II4" i="1" s="1"/>
  <c r="DP11" i="1"/>
  <c r="FY11" i="1" s="1"/>
  <c r="II11" i="1" s="1"/>
  <c r="DO5" i="1"/>
  <c r="FX5" i="1" s="1"/>
  <c r="IH5" i="1" s="1"/>
  <c r="DP9" i="1"/>
  <c r="FY9" i="1" s="1"/>
  <c r="II9" i="1" s="1"/>
  <c r="DP6" i="1"/>
  <c r="FY6" i="1" s="1"/>
  <c r="II6" i="1" s="1"/>
  <c r="DK4" i="5"/>
  <c r="FT4" i="5" s="1"/>
  <c r="ID4" i="5" s="1"/>
  <c r="DK3" i="5"/>
  <c r="FT3" i="5" s="1"/>
  <c r="ID3" i="5" s="1"/>
  <c r="CM3" i="1"/>
  <c r="EV3" i="1" s="1"/>
  <c r="HF3" i="1" s="1"/>
  <c r="JO10" i="1"/>
  <c r="JP10" i="1" s="1"/>
  <c r="JT10" i="1" s="1"/>
  <c r="JV10" i="1" s="1"/>
  <c r="JO26" i="1"/>
  <c r="JY12" i="1" l="1"/>
  <c r="JZ12" i="1" s="1"/>
  <c r="KA12" i="1" s="1"/>
  <c r="DQ9" i="1"/>
  <c r="FZ9" i="1" s="1"/>
  <c r="IJ9" i="1" s="1"/>
  <c r="DQ4" i="1"/>
  <c r="FZ4" i="1" s="1"/>
  <c r="IJ4" i="1" s="1"/>
  <c r="DQ6" i="1"/>
  <c r="FZ6" i="1" s="1"/>
  <c r="IJ6" i="1" s="1"/>
  <c r="DP5" i="1"/>
  <c r="FY5" i="1" s="1"/>
  <c r="II5" i="1" s="1"/>
  <c r="DQ11" i="1"/>
  <c r="FZ11" i="1" s="1"/>
  <c r="IJ11" i="1" s="1"/>
  <c r="DQ10" i="1"/>
  <c r="FZ10" i="1" s="1"/>
  <c r="IJ10" i="1" s="1"/>
  <c r="DP8" i="1"/>
  <c r="FY8" i="1" s="1"/>
  <c r="II8" i="1" s="1"/>
  <c r="DQ7" i="1"/>
  <c r="FZ7" i="1" s="1"/>
  <c r="IJ7" i="1" s="1"/>
  <c r="DL4" i="5"/>
  <c r="FU4" i="5" s="1"/>
  <c r="IE4" i="5" s="1"/>
  <c r="DL3" i="5"/>
  <c r="FU3" i="5" s="1"/>
  <c r="IE3" i="5" s="1"/>
  <c r="CN3" i="1"/>
  <c r="EW3" i="1" s="1"/>
  <c r="HG3" i="1" s="1"/>
  <c r="JO65" i="1"/>
  <c r="JO156" i="1"/>
  <c r="JO176" i="1"/>
  <c r="JO90" i="1"/>
  <c r="KB12" i="1" l="1"/>
  <c r="KC12" i="1" s="1"/>
  <c r="JM12" i="1" s="1"/>
  <c r="DQ8" i="1"/>
  <c r="FZ8" i="1" s="1"/>
  <c r="IJ8" i="1" s="1"/>
  <c r="DR11" i="1"/>
  <c r="GA11" i="1" s="1"/>
  <c r="IK11" i="1" s="1"/>
  <c r="DR7" i="1"/>
  <c r="GA7" i="1" s="1"/>
  <c r="IK7" i="1" s="1"/>
  <c r="DR10" i="1"/>
  <c r="GA10" i="1" s="1"/>
  <c r="IK10" i="1" s="1"/>
  <c r="DQ5" i="1"/>
  <c r="FZ5" i="1" s="1"/>
  <c r="IJ5" i="1" s="1"/>
  <c r="DR4" i="1"/>
  <c r="GA4" i="1" s="1"/>
  <c r="IK4" i="1" s="1"/>
  <c r="DR9" i="1"/>
  <c r="GA9" i="1" s="1"/>
  <c r="IK9" i="1" s="1"/>
  <c r="DR6" i="1"/>
  <c r="GA6" i="1" s="1"/>
  <c r="IK6" i="1" s="1"/>
  <c r="DM4" i="5"/>
  <c r="FV4" i="5" s="1"/>
  <c r="IF4" i="5" s="1"/>
  <c r="DM3" i="5"/>
  <c r="FV3" i="5" s="1"/>
  <c r="IF3" i="5" s="1"/>
  <c r="CO3" i="1"/>
  <c r="EX3" i="1" s="1"/>
  <c r="HH3" i="1" s="1"/>
  <c r="JO14" i="1"/>
  <c r="JP14" i="1" s="1"/>
  <c r="JT14" i="1" s="1"/>
  <c r="JV14" i="1" s="1"/>
  <c r="JO18" i="1"/>
  <c r="JP18" i="1" s="1"/>
  <c r="JT18" i="1" s="1"/>
  <c r="JV18" i="1" s="1"/>
  <c r="JO6" i="1"/>
  <c r="JP6" i="1" s="1"/>
  <c r="JT6" i="1" s="1"/>
  <c r="JV6" i="1" s="1"/>
  <c r="JO149" i="1"/>
  <c r="JO135" i="1"/>
  <c r="JP9" i="1"/>
  <c r="JT9" i="1" s="1"/>
  <c r="JV9" i="1" s="1"/>
  <c r="KD12" i="1" l="1"/>
  <c r="KE12" i="1" s="1"/>
  <c r="JO12" i="1" s="1"/>
  <c r="JP12" i="1" s="1"/>
  <c r="JT12" i="1" s="1"/>
  <c r="JV12" i="1" s="1"/>
  <c r="DS6" i="1"/>
  <c r="GB6" i="1" s="1"/>
  <c r="IL6" i="1" s="1"/>
  <c r="DS4" i="1"/>
  <c r="GB4" i="1" s="1"/>
  <c r="IL4" i="1" s="1"/>
  <c r="DS9" i="1"/>
  <c r="GB9" i="1" s="1"/>
  <c r="IL9" i="1" s="1"/>
  <c r="DR5" i="1"/>
  <c r="GA5" i="1" s="1"/>
  <c r="IK5" i="1" s="1"/>
  <c r="DS11" i="1"/>
  <c r="GB11" i="1" s="1"/>
  <c r="IL11" i="1" s="1"/>
  <c r="DR8" i="1"/>
  <c r="GA8" i="1" s="1"/>
  <c r="IK8" i="1" s="1"/>
  <c r="DS10" i="1"/>
  <c r="GB10" i="1" s="1"/>
  <c r="IL10" i="1" s="1"/>
  <c r="DS7" i="1"/>
  <c r="GB7" i="1" s="1"/>
  <c r="IL7" i="1" s="1"/>
  <c r="DN4" i="5"/>
  <c r="FW4" i="5" s="1"/>
  <c r="IG4" i="5" s="1"/>
  <c r="DN3" i="5"/>
  <c r="FW3" i="5" s="1"/>
  <c r="IG3" i="5" s="1"/>
  <c r="CP3" i="1"/>
  <c r="EY3" i="1" s="1"/>
  <c r="HI3" i="1" s="1"/>
  <c r="JO51" i="1"/>
  <c r="JO16" i="1"/>
  <c r="JP16" i="1" s="1"/>
  <c r="JT16" i="1" s="1"/>
  <c r="JV16" i="1" s="1"/>
  <c r="JO23" i="1"/>
  <c r="JO21" i="1"/>
  <c r="JP21" i="1" s="1"/>
  <c r="JT21" i="1" s="1"/>
  <c r="JV21" i="1" s="1"/>
  <c r="DT7" i="1" l="1"/>
  <c r="GC7" i="1" s="1"/>
  <c r="IM7" i="1" s="1"/>
  <c r="DS8" i="1"/>
  <c r="GB8" i="1" s="1"/>
  <c r="IL8" i="1" s="1"/>
  <c r="DT4" i="1"/>
  <c r="GC4" i="1" s="1"/>
  <c r="IM4" i="1" s="1"/>
  <c r="DT10" i="1"/>
  <c r="GC10" i="1" s="1"/>
  <c r="IM10" i="1" s="1"/>
  <c r="DT11" i="1"/>
  <c r="GC11" i="1" s="1"/>
  <c r="IM11" i="1" s="1"/>
  <c r="DS5" i="1"/>
  <c r="GB5" i="1" s="1"/>
  <c r="IL5" i="1" s="1"/>
  <c r="DT9" i="1"/>
  <c r="GC9" i="1" s="1"/>
  <c r="IM9" i="1" s="1"/>
  <c r="DT6" i="1"/>
  <c r="GC6" i="1" s="1"/>
  <c r="IM6" i="1" s="1"/>
  <c r="DO4" i="5"/>
  <c r="FX4" i="5" s="1"/>
  <c r="IH4" i="5" s="1"/>
  <c r="DO3" i="5"/>
  <c r="FX3" i="5" s="1"/>
  <c r="IH3" i="5" s="1"/>
  <c r="CQ3" i="1"/>
  <c r="EZ3" i="1" s="1"/>
  <c r="HJ3" i="1" s="1"/>
  <c r="DU11" i="1" l="1"/>
  <c r="GD11" i="1" s="1"/>
  <c r="IN11" i="1" s="1"/>
  <c r="DU9" i="1"/>
  <c r="GD9" i="1" s="1"/>
  <c r="IN9" i="1" s="1"/>
  <c r="DU10" i="1"/>
  <c r="GD10" i="1" s="1"/>
  <c r="IN10" i="1" s="1"/>
  <c r="DT8" i="1"/>
  <c r="GC8" i="1" s="1"/>
  <c r="IM8" i="1" s="1"/>
  <c r="DU6" i="1"/>
  <c r="GD6" i="1" s="1"/>
  <c r="IN6" i="1" s="1"/>
  <c r="DT5" i="1"/>
  <c r="GC5" i="1" s="1"/>
  <c r="IM5" i="1" s="1"/>
  <c r="DU4" i="1"/>
  <c r="GD4" i="1" s="1"/>
  <c r="IN4" i="1" s="1"/>
  <c r="DU7" i="1"/>
  <c r="GD7" i="1" s="1"/>
  <c r="IN7" i="1" s="1"/>
  <c r="DP4" i="5"/>
  <c r="FY4" i="5" s="1"/>
  <c r="II4" i="5" s="1"/>
  <c r="DP3" i="5"/>
  <c r="FY3" i="5" s="1"/>
  <c r="II3" i="5" s="1"/>
  <c r="CR3" i="1"/>
  <c r="FA3" i="1" s="1"/>
  <c r="HK3" i="1" s="1"/>
  <c r="JO138" i="1"/>
  <c r="DV7" i="1" l="1"/>
  <c r="GE7" i="1" s="1"/>
  <c r="IO7" i="1" s="1"/>
  <c r="DU5" i="1"/>
  <c r="GD5" i="1" s="1"/>
  <c r="IN5" i="1" s="1"/>
  <c r="DV9" i="1"/>
  <c r="GE9" i="1" s="1"/>
  <c r="IO9" i="1" s="1"/>
  <c r="DV4" i="1"/>
  <c r="GE4" i="1" s="1"/>
  <c r="IO4" i="1" s="1"/>
  <c r="DU8" i="1"/>
  <c r="GD8" i="1" s="1"/>
  <c r="IN8" i="1" s="1"/>
  <c r="DV11" i="1"/>
  <c r="GE11" i="1" s="1"/>
  <c r="IO11" i="1" s="1"/>
  <c r="DV6" i="1"/>
  <c r="GE6" i="1" s="1"/>
  <c r="IO6" i="1" s="1"/>
  <c r="DV10" i="1"/>
  <c r="GE10" i="1" s="1"/>
  <c r="IO10" i="1" s="1"/>
  <c r="DQ4" i="5"/>
  <c r="FZ4" i="5" s="1"/>
  <c r="IJ4" i="5" s="1"/>
  <c r="DQ3" i="5"/>
  <c r="FZ3" i="5" s="1"/>
  <c r="IJ3" i="5" s="1"/>
  <c r="CS3" i="1"/>
  <c r="FB3" i="1" s="1"/>
  <c r="HL3" i="1" s="1"/>
  <c r="JO54" i="1"/>
  <c r="JO165" i="1"/>
  <c r="JO106" i="1"/>
  <c r="DW6" i="1" l="1"/>
  <c r="GF6" i="1" s="1"/>
  <c r="IP6" i="1" s="1"/>
  <c r="DW11" i="1"/>
  <c r="GF11" i="1" s="1"/>
  <c r="IP11" i="1" s="1"/>
  <c r="DV5" i="1"/>
  <c r="GE5" i="1" s="1"/>
  <c r="IO5" i="1" s="1"/>
  <c r="DW10" i="1"/>
  <c r="GF10" i="1" s="1"/>
  <c r="IP10" i="1" s="1"/>
  <c r="DV8" i="1"/>
  <c r="GE8" i="1" s="1"/>
  <c r="IO8" i="1" s="1"/>
  <c r="DW4" i="1"/>
  <c r="GF4" i="1" s="1"/>
  <c r="IP4" i="1" s="1"/>
  <c r="DW9" i="1"/>
  <c r="GF9" i="1" s="1"/>
  <c r="IP9" i="1" s="1"/>
  <c r="DW7" i="1"/>
  <c r="GF7" i="1" s="1"/>
  <c r="IP7" i="1" s="1"/>
  <c r="DR4" i="5"/>
  <c r="GA4" i="5" s="1"/>
  <c r="IK4" i="5" s="1"/>
  <c r="DR3" i="5"/>
  <c r="GA3" i="5" s="1"/>
  <c r="IK3" i="5" s="1"/>
  <c r="CT3" i="1"/>
  <c r="FC3" i="1" s="1"/>
  <c r="HM3" i="1" s="1"/>
  <c r="JO120" i="1"/>
  <c r="DX9" i="1" l="1"/>
  <c r="GG9" i="1" s="1"/>
  <c r="IQ9" i="1" s="1"/>
  <c r="DW8" i="1"/>
  <c r="GF8" i="1" s="1"/>
  <c r="IP8" i="1" s="1"/>
  <c r="DX11" i="1"/>
  <c r="GG11" i="1" s="1"/>
  <c r="IQ11" i="1" s="1"/>
  <c r="DX7" i="1"/>
  <c r="GG7" i="1" s="1"/>
  <c r="IQ7" i="1" s="1"/>
  <c r="DX4" i="1"/>
  <c r="GG4" i="1" s="1"/>
  <c r="IQ4" i="1" s="1"/>
  <c r="DX10" i="1"/>
  <c r="GG10" i="1" s="1"/>
  <c r="IQ10" i="1" s="1"/>
  <c r="DW5" i="1"/>
  <c r="GF5" i="1" s="1"/>
  <c r="IP5" i="1" s="1"/>
  <c r="DX6" i="1"/>
  <c r="GG6" i="1" s="1"/>
  <c r="IQ6" i="1" s="1"/>
  <c r="DS4" i="5"/>
  <c r="GB4" i="5" s="1"/>
  <c r="IL4" i="5" s="1"/>
  <c r="DS3" i="5"/>
  <c r="GB3" i="5" s="1"/>
  <c r="IL3" i="5" s="1"/>
  <c r="CU3" i="1"/>
  <c r="FD3" i="1" s="1"/>
  <c r="HN3" i="1" s="1"/>
  <c r="JO11" i="1"/>
  <c r="JP11" i="1" s="1"/>
  <c r="JT11" i="1" s="1"/>
  <c r="JV11" i="1" s="1"/>
  <c r="DY10" i="1" l="1"/>
  <c r="GH10" i="1" s="1"/>
  <c r="IR10" i="1" s="1"/>
  <c r="DX5" i="1"/>
  <c r="GG5" i="1" s="1"/>
  <c r="IQ5" i="1" s="1"/>
  <c r="DY11" i="1"/>
  <c r="GH11" i="1" s="1"/>
  <c r="IR11" i="1" s="1"/>
  <c r="DY6" i="1"/>
  <c r="GH6" i="1" s="1"/>
  <c r="IR6" i="1" s="1"/>
  <c r="DY4" i="1"/>
  <c r="GH4" i="1" s="1"/>
  <c r="IR4" i="1" s="1"/>
  <c r="DY7" i="1"/>
  <c r="GH7" i="1" s="1"/>
  <c r="IR7" i="1" s="1"/>
  <c r="DX8" i="1"/>
  <c r="GG8" i="1" s="1"/>
  <c r="IQ8" i="1" s="1"/>
  <c r="DY9" i="1"/>
  <c r="GH9" i="1" s="1"/>
  <c r="IR9" i="1" s="1"/>
  <c r="DT4" i="5"/>
  <c r="GC4" i="5" s="1"/>
  <c r="IM4" i="5" s="1"/>
  <c r="DT3" i="5"/>
  <c r="GC3" i="5" s="1"/>
  <c r="IM3" i="5" s="1"/>
  <c r="CV3" i="1"/>
  <c r="FE3" i="1" s="1"/>
  <c r="HO3" i="1" s="1"/>
  <c r="JO161" i="1"/>
  <c r="JO152" i="1"/>
  <c r="JO75" i="1"/>
  <c r="DZ9" i="1" l="1"/>
  <c r="GI9" i="1" s="1"/>
  <c r="IS9" i="1" s="1"/>
  <c r="DZ6" i="1"/>
  <c r="GI6" i="1" s="1"/>
  <c r="IS6" i="1" s="1"/>
  <c r="DY8" i="1"/>
  <c r="GH8" i="1" s="1"/>
  <c r="IR8" i="1" s="1"/>
  <c r="DZ4" i="1"/>
  <c r="GI4" i="1" s="1"/>
  <c r="IS4" i="1" s="1"/>
  <c r="DZ11" i="1"/>
  <c r="GI11" i="1" s="1"/>
  <c r="IS11" i="1" s="1"/>
  <c r="DZ10" i="1"/>
  <c r="GI10" i="1" s="1"/>
  <c r="IS10" i="1" s="1"/>
  <c r="DZ7" i="1"/>
  <c r="GI7" i="1" s="1"/>
  <c r="IS7" i="1" s="1"/>
  <c r="DY5" i="1"/>
  <c r="GH5" i="1" s="1"/>
  <c r="IR5" i="1" s="1"/>
  <c r="DU4" i="5"/>
  <c r="GD4" i="5" s="1"/>
  <c r="IN4" i="5" s="1"/>
  <c r="DU3" i="5"/>
  <c r="GD3" i="5" s="1"/>
  <c r="IN3" i="5" s="1"/>
  <c r="CW3" i="1"/>
  <c r="FF3" i="1" s="1"/>
  <c r="HP3" i="1" s="1"/>
  <c r="JO80" i="1"/>
  <c r="EA10" i="1" l="1"/>
  <c r="GJ10" i="1" s="1"/>
  <c r="IT10" i="1" s="1"/>
  <c r="EA7" i="1"/>
  <c r="GJ7" i="1" s="1"/>
  <c r="IT7" i="1" s="1"/>
  <c r="DZ8" i="1"/>
  <c r="GI8" i="1" s="1"/>
  <c r="IS8" i="1" s="1"/>
  <c r="DZ5" i="1"/>
  <c r="GI5" i="1" s="1"/>
  <c r="IS5" i="1" s="1"/>
  <c r="EA11" i="1"/>
  <c r="GJ11" i="1" s="1"/>
  <c r="IT11" i="1" s="1"/>
  <c r="EA4" i="1"/>
  <c r="GJ4" i="1" s="1"/>
  <c r="IT4" i="1" s="1"/>
  <c r="EA6" i="1"/>
  <c r="GJ6" i="1" s="1"/>
  <c r="IT6" i="1" s="1"/>
  <c r="EA9" i="1"/>
  <c r="GJ9" i="1" s="1"/>
  <c r="IT9" i="1" s="1"/>
  <c r="DV4" i="5"/>
  <c r="GE4" i="5" s="1"/>
  <c r="IO4" i="5" s="1"/>
  <c r="DV3" i="5"/>
  <c r="GE3" i="5" s="1"/>
  <c r="IO3" i="5" s="1"/>
  <c r="CX3" i="1"/>
  <c r="FG3" i="1" s="1"/>
  <c r="HQ3" i="1" s="1"/>
  <c r="EB4" i="1" l="1"/>
  <c r="GK4" i="1" s="1"/>
  <c r="IU4" i="1" s="1"/>
  <c r="EB9" i="1"/>
  <c r="GK9" i="1" s="1"/>
  <c r="IU9" i="1" s="1"/>
  <c r="EA8" i="1"/>
  <c r="GJ8" i="1" s="1"/>
  <c r="IT8" i="1" s="1"/>
  <c r="EB6" i="1"/>
  <c r="GK6" i="1" s="1"/>
  <c r="IU6" i="1" s="1"/>
  <c r="EB11" i="1"/>
  <c r="GK11" i="1" s="1"/>
  <c r="IU11" i="1" s="1"/>
  <c r="EA5" i="1"/>
  <c r="GJ5" i="1" s="1"/>
  <c r="IT5" i="1" s="1"/>
  <c r="EB7" i="1"/>
  <c r="GK7" i="1" s="1"/>
  <c r="IU7" i="1" s="1"/>
  <c r="EB10" i="1"/>
  <c r="GK10" i="1" s="1"/>
  <c r="IU10" i="1" s="1"/>
  <c r="DW4" i="5"/>
  <c r="GF4" i="5" s="1"/>
  <c r="IP4" i="5" s="1"/>
  <c r="DW3" i="5"/>
  <c r="GF3" i="5" s="1"/>
  <c r="IP3" i="5" s="1"/>
  <c r="CY3" i="1"/>
  <c r="FH3" i="1" s="1"/>
  <c r="HR3" i="1" s="1"/>
  <c r="EB5" i="1" l="1"/>
  <c r="GK5" i="1" s="1"/>
  <c r="IU5" i="1" s="1"/>
  <c r="EC10" i="1"/>
  <c r="GL10" i="1" s="1"/>
  <c r="IV10" i="1" s="1"/>
  <c r="EC6" i="1"/>
  <c r="GL6" i="1" s="1"/>
  <c r="IV6" i="1" s="1"/>
  <c r="EC7" i="1"/>
  <c r="GL7" i="1" s="1"/>
  <c r="IV7" i="1" s="1"/>
  <c r="EC11" i="1"/>
  <c r="GL11" i="1" s="1"/>
  <c r="IV11" i="1" s="1"/>
  <c r="EB8" i="1"/>
  <c r="GK8" i="1" s="1"/>
  <c r="IU8" i="1" s="1"/>
  <c r="EC9" i="1"/>
  <c r="GL9" i="1" s="1"/>
  <c r="IV9" i="1" s="1"/>
  <c r="EC4" i="1"/>
  <c r="GL4" i="1" s="1"/>
  <c r="IV4" i="1" s="1"/>
  <c r="DX4" i="5"/>
  <c r="GG4" i="5" s="1"/>
  <c r="IQ4" i="5" s="1"/>
  <c r="DX3" i="5"/>
  <c r="GG3" i="5" s="1"/>
  <c r="IQ3" i="5" s="1"/>
  <c r="CZ3" i="1"/>
  <c r="FI3" i="1" s="1"/>
  <c r="HS3" i="1" s="1"/>
  <c r="JO162" i="1"/>
  <c r="ED9" i="1" l="1"/>
  <c r="GM9" i="1" s="1"/>
  <c r="IW9" i="1" s="1"/>
  <c r="EC8" i="1"/>
  <c r="GL8" i="1" s="1"/>
  <c r="IV8" i="1" s="1"/>
  <c r="ED10" i="1"/>
  <c r="GM10" i="1" s="1"/>
  <c r="IW10" i="1" s="1"/>
  <c r="ED4" i="1"/>
  <c r="GM4" i="1" s="1"/>
  <c r="IW4" i="1" s="1"/>
  <c r="ED11" i="1"/>
  <c r="GM11" i="1" s="1"/>
  <c r="IW11" i="1" s="1"/>
  <c r="ED7" i="1"/>
  <c r="GM7" i="1" s="1"/>
  <c r="IW7" i="1" s="1"/>
  <c r="ED6" i="1"/>
  <c r="GM6" i="1" s="1"/>
  <c r="IW6" i="1" s="1"/>
  <c r="EC5" i="1"/>
  <c r="GL5" i="1" s="1"/>
  <c r="IV5" i="1" s="1"/>
  <c r="DY4" i="5"/>
  <c r="GH4" i="5" s="1"/>
  <c r="IR4" i="5" s="1"/>
  <c r="DY3" i="5"/>
  <c r="GH3" i="5" s="1"/>
  <c r="IR3" i="5" s="1"/>
  <c r="DA3" i="1"/>
  <c r="FJ3" i="1" s="1"/>
  <c r="HT3" i="1" s="1"/>
  <c r="JO127" i="1"/>
  <c r="EE6" i="1" l="1"/>
  <c r="GN6" i="1" s="1"/>
  <c r="IX6" i="1" s="1"/>
  <c r="EE4" i="1"/>
  <c r="GN4" i="1" s="1"/>
  <c r="IX4" i="1" s="1"/>
  <c r="ED5" i="1"/>
  <c r="GM5" i="1" s="1"/>
  <c r="IW5" i="1" s="1"/>
  <c r="EE7" i="1"/>
  <c r="GN7" i="1" s="1"/>
  <c r="IX7" i="1" s="1"/>
  <c r="EE11" i="1"/>
  <c r="GN11" i="1" s="1"/>
  <c r="IX11" i="1" s="1"/>
  <c r="EE10" i="1"/>
  <c r="GN10" i="1" s="1"/>
  <c r="IX10" i="1" s="1"/>
  <c r="ED8" i="1"/>
  <c r="GM8" i="1" s="1"/>
  <c r="IW8" i="1" s="1"/>
  <c r="EE9" i="1"/>
  <c r="GN9" i="1" s="1"/>
  <c r="IX9" i="1" s="1"/>
  <c r="DZ4" i="5"/>
  <c r="GI4" i="5" s="1"/>
  <c r="IS4" i="5" s="1"/>
  <c r="DZ3" i="5"/>
  <c r="GI3" i="5" s="1"/>
  <c r="IS3" i="5" s="1"/>
  <c r="DB3" i="1"/>
  <c r="FK3" i="1" s="1"/>
  <c r="HU3" i="1" s="1"/>
  <c r="EE8" i="1" l="1"/>
  <c r="GN8" i="1" s="1"/>
  <c r="IX8" i="1" s="1"/>
  <c r="EF9" i="1"/>
  <c r="GO9" i="1" s="1"/>
  <c r="IY9" i="1" s="1"/>
  <c r="EF7" i="1"/>
  <c r="GO7" i="1" s="1"/>
  <c r="IY7" i="1" s="1"/>
  <c r="EF10" i="1"/>
  <c r="GO10" i="1" s="1"/>
  <c r="IY10" i="1" s="1"/>
  <c r="EF11" i="1"/>
  <c r="GO11" i="1" s="1"/>
  <c r="IY11" i="1" s="1"/>
  <c r="EE5" i="1"/>
  <c r="GN5" i="1" s="1"/>
  <c r="IX5" i="1" s="1"/>
  <c r="EF6" i="1"/>
  <c r="GO6" i="1" s="1"/>
  <c r="IY6" i="1" s="1"/>
  <c r="EF4" i="1"/>
  <c r="GO4" i="1" s="1"/>
  <c r="IY4" i="1" s="1"/>
  <c r="EA4" i="5"/>
  <c r="GJ4" i="5" s="1"/>
  <c r="IT4" i="5" s="1"/>
  <c r="EA3" i="5"/>
  <c r="GJ3" i="5" s="1"/>
  <c r="IT3" i="5" s="1"/>
  <c r="DC3" i="1"/>
  <c r="FL3" i="1" s="1"/>
  <c r="HV3" i="1" s="1"/>
  <c r="EG6" i="1" l="1"/>
  <c r="GP6" i="1" s="1"/>
  <c r="IZ6" i="1" s="1"/>
  <c r="EG10" i="1"/>
  <c r="GP10" i="1" s="1"/>
  <c r="IZ10" i="1" s="1"/>
  <c r="EG4" i="1"/>
  <c r="GP4" i="1" s="1"/>
  <c r="IZ4" i="1" s="1"/>
  <c r="EF5" i="1"/>
  <c r="GO5" i="1" s="1"/>
  <c r="IY5" i="1" s="1"/>
  <c r="EG11" i="1"/>
  <c r="GP11" i="1" s="1"/>
  <c r="IZ11" i="1" s="1"/>
  <c r="EG7" i="1"/>
  <c r="GP7" i="1" s="1"/>
  <c r="IZ7" i="1" s="1"/>
  <c r="EG9" i="1"/>
  <c r="GP9" i="1" s="1"/>
  <c r="IZ9" i="1" s="1"/>
  <c r="EF8" i="1"/>
  <c r="GO8" i="1" s="1"/>
  <c r="IY8" i="1" s="1"/>
  <c r="EB4" i="5"/>
  <c r="GK4" i="5" s="1"/>
  <c r="IU4" i="5" s="1"/>
  <c r="EB3" i="5"/>
  <c r="GK3" i="5" s="1"/>
  <c r="IU3" i="5" s="1"/>
  <c r="DD3" i="1"/>
  <c r="FM3" i="1" s="1"/>
  <c r="HW3" i="1" s="1"/>
  <c r="JO69" i="1"/>
  <c r="EH9" i="1" l="1"/>
  <c r="GQ9" i="1" s="1"/>
  <c r="JA9" i="1" s="1"/>
  <c r="EG8" i="1"/>
  <c r="GP8" i="1" s="1"/>
  <c r="IZ8" i="1" s="1"/>
  <c r="EG5" i="1"/>
  <c r="GP5" i="1" s="1"/>
  <c r="IZ5" i="1" s="1"/>
  <c r="EH7" i="1"/>
  <c r="GQ7" i="1" s="1"/>
  <c r="JA7" i="1" s="1"/>
  <c r="EH11" i="1"/>
  <c r="GQ11" i="1" s="1"/>
  <c r="JA11" i="1" s="1"/>
  <c r="EH4" i="1"/>
  <c r="GQ4" i="1" s="1"/>
  <c r="JA4" i="1" s="1"/>
  <c r="EH10" i="1"/>
  <c r="GQ10" i="1" s="1"/>
  <c r="JA10" i="1" s="1"/>
  <c r="EH6" i="1"/>
  <c r="GQ6" i="1" s="1"/>
  <c r="JA6" i="1" s="1"/>
  <c r="EC4" i="5"/>
  <c r="GL4" i="5" s="1"/>
  <c r="IV4" i="5" s="1"/>
  <c r="EC3" i="5"/>
  <c r="GL3" i="5" s="1"/>
  <c r="IV3" i="5" s="1"/>
  <c r="DE3" i="1"/>
  <c r="FN3" i="1" s="1"/>
  <c r="HX3" i="1" s="1"/>
  <c r="EI6" i="1" l="1"/>
  <c r="GR6" i="1" s="1"/>
  <c r="JB6" i="1" s="1"/>
  <c r="EI7" i="1"/>
  <c r="GR7" i="1" s="1"/>
  <c r="JB7" i="1" s="1"/>
  <c r="EI10" i="1"/>
  <c r="GR10" i="1" s="1"/>
  <c r="JB10" i="1" s="1"/>
  <c r="EI4" i="1"/>
  <c r="GR4" i="1" s="1"/>
  <c r="JB4" i="1" s="1"/>
  <c r="EI11" i="1"/>
  <c r="GR11" i="1" s="1"/>
  <c r="JB11" i="1" s="1"/>
  <c r="EH5" i="1"/>
  <c r="GQ5" i="1" s="1"/>
  <c r="JA5" i="1" s="1"/>
  <c r="EH8" i="1"/>
  <c r="GQ8" i="1" s="1"/>
  <c r="JA8" i="1" s="1"/>
  <c r="EI9" i="1"/>
  <c r="GR9" i="1" s="1"/>
  <c r="JB9" i="1" s="1"/>
  <c r="ED4" i="5"/>
  <c r="GM4" i="5" s="1"/>
  <c r="IW4" i="5" s="1"/>
  <c r="ED3" i="5"/>
  <c r="GM3" i="5" s="1"/>
  <c r="IW3" i="5" s="1"/>
  <c r="DF3" i="1"/>
  <c r="FO3" i="1" s="1"/>
  <c r="HY3" i="1" s="1"/>
  <c r="EI5" i="1" l="1"/>
  <c r="GR5" i="1" s="1"/>
  <c r="JB5" i="1" s="1"/>
  <c r="EJ9" i="1"/>
  <c r="GS9" i="1" s="1"/>
  <c r="JC9" i="1" s="1"/>
  <c r="EJ4" i="1"/>
  <c r="GS4" i="1" s="1"/>
  <c r="JC4" i="1" s="1"/>
  <c r="EI8" i="1"/>
  <c r="GR8" i="1" s="1"/>
  <c r="JB8" i="1" s="1"/>
  <c r="EJ11" i="1"/>
  <c r="GS11" i="1" s="1"/>
  <c r="JC11" i="1" s="1"/>
  <c r="EJ10" i="1"/>
  <c r="GS10" i="1" s="1"/>
  <c r="JC10" i="1" s="1"/>
  <c r="EJ7" i="1"/>
  <c r="GS7" i="1" s="1"/>
  <c r="JC7" i="1" s="1"/>
  <c r="EJ6" i="1"/>
  <c r="GS6" i="1" s="1"/>
  <c r="JC6" i="1" s="1"/>
  <c r="EE4" i="5"/>
  <c r="GN4" i="5" s="1"/>
  <c r="IX4" i="5" s="1"/>
  <c r="EE3" i="5"/>
  <c r="GN3" i="5" s="1"/>
  <c r="IX3" i="5" s="1"/>
  <c r="DG3" i="1"/>
  <c r="FP3" i="1" s="1"/>
  <c r="HZ3" i="1" s="1"/>
  <c r="JO163" i="1"/>
  <c r="EK11" i="1" l="1"/>
  <c r="GT11" i="1" s="1"/>
  <c r="JD11" i="1" s="1"/>
  <c r="EK7" i="1"/>
  <c r="GT7" i="1" s="1"/>
  <c r="JD7" i="1" s="1"/>
  <c r="EK6" i="1"/>
  <c r="GT6" i="1" s="1"/>
  <c r="JD6" i="1" s="1"/>
  <c r="EK10" i="1"/>
  <c r="GT10" i="1" s="1"/>
  <c r="JD10" i="1" s="1"/>
  <c r="EJ8" i="1"/>
  <c r="GS8" i="1" s="1"/>
  <c r="JC8" i="1" s="1"/>
  <c r="EK4" i="1"/>
  <c r="GT4" i="1" s="1"/>
  <c r="JD4" i="1" s="1"/>
  <c r="EK9" i="1"/>
  <c r="GT9" i="1" s="1"/>
  <c r="JD9" i="1" s="1"/>
  <c r="EJ5" i="1"/>
  <c r="GS5" i="1" s="1"/>
  <c r="JC5" i="1" s="1"/>
  <c r="EF4" i="5"/>
  <c r="GO4" i="5" s="1"/>
  <c r="IY4" i="5" s="1"/>
  <c r="EF3" i="5"/>
  <c r="GO3" i="5" s="1"/>
  <c r="IY3" i="5" s="1"/>
  <c r="DH3" i="1"/>
  <c r="FQ3" i="1" s="1"/>
  <c r="IA3" i="1" s="1"/>
  <c r="EK5" i="1" l="1"/>
  <c r="GT5" i="1" s="1"/>
  <c r="JD5" i="1" s="1"/>
  <c r="EL4" i="1"/>
  <c r="GU4" i="1" s="1"/>
  <c r="JE4" i="1" s="1"/>
  <c r="EL9" i="1"/>
  <c r="GU9" i="1" s="1"/>
  <c r="JE9" i="1" s="1"/>
  <c r="EK8" i="1"/>
  <c r="GT8" i="1" s="1"/>
  <c r="JD8" i="1" s="1"/>
  <c r="EL10" i="1"/>
  <c r="GU10" i="1" s="1"/>
  <c r="JE10" i="1" s="1"/>
  <c r="EL11" i="1"/>
  <c r="GU11" i="1" s="1"/>
  <c r="JE11" i="1" s="1"/>
  <c r="EL6" i="1"/>
  <c r="GU6" i="1" s="1"/>
  <c r="JE6" i="1" s="1"/>
  <c r="EL7" i="1"/>
  <c r="GU7" i="1" s="1"/>
  <c r="JE7" i="1" s="1"/>
  <c r="EG4" i="5"/>
  <c r="GP4" i="5" s="1"/>
  <c r="IZ4" i="5" s="1"/>
  <c r="EG3" i="5"/>
  <c r="GP3" i="5" s="1"/>
  <c r="IZ3" i="5" s="1"/>
  <c r="DI3" i="1"/>
  <c r="FR3" i="1" s="1"/>
  <c r="IB3" i="1" s="1"/>
  <c r="EM7" i="1" l="1"/>
  <c r="GV7" i="1" s="1"/>
  <c r="JF7" i="1" s="1"/>
  <c r="EM11" i="1"/>
  <c r="GV11" i="1" s="1"/>
  <c r="JF11" i="1" s="1"/>
  <c r="EL8" i="1"/>
  <c r="GU8" i="1" s="1"/>
  <c r="JE8" i="1" s="1"/>
  <c r="EM6" i="1"/>
  <c r="GV6" i="1" s="1"/>
  <c r="JF6" i="1" s="1"/>
  <c r="EM10" i="1"/>
  <c r="GV10" i="1" s="1"/>
  <c r="JF10" i="1" s="1"/>
  <c r="EM9" i="1"/>
  <c r="GV9" i="1" s="1"/>
  <c r="JF9" i="1" s="1"/>
  <c r="EL5" i="1"/>
  <c r="GU5" i="1" s="1"/>
  <c r="JE5" i="1" s="1"/>
  <c r="EM4" i="1"/>
  <c r="GV4" i="1" s="1"/>
  <c r="JF4" i="1" s="1"/>
  <c r="EH4" i="5"/>
  <c r="GQ4" i="5" s="1"/>
  <c r="JA4" i="5" s="1"/>
  <c r="EH3" i="5"/>
  <c r="GQ3" i="5" s="1"/>
  <c r="JA3" i="5" s="1"/>
  <c r="DJ3" i="1"/>
  <c r="FS3" i="1" s="1"/>
  <c r="IC3" i="1" s="1"/>
  <c r="EN4" i="1" l="1"/>
  <c r="GW4" i="1" s="1"/>
  <c r="JG4" i="1" s="1"/>
  <c r="EN6" i="1"/>
  <c r="GW6" i="1" s="1"/>
  <c r="JG6" i="1" s="1"/>
  <c r="EM5" i="1"/>
  <c r="GV5" i="1" s="1"/>
  <c r="JF5" i="1" s="1"/>
  <c r="EN9" i="1"/>
  <c r="GW9" i="1" s="1"/>
  <c r="JG9" i="1" s="1"/>
  <c r="EN10" i="1"/>
  <c r="GW10" i="1" s="1"/>
  <c r="JG10" i="1" s="1"/>
  <c r="EM8" i="1"/>
  <c r="GV8" i="1" s="1"/>
  <c r="JF8" i="1" s="1"/>
  <c r="EN11" i="1"/>
  <c r="GW11" i="1" s="1"/>
  <c r="JG11" i="1" s="1"/>
  <c r="EN7" i="1"/>
  <c r="GW7" i="1" s="1"/>
  <c r="JG7" i="1" s="1"/>
  <c r="EI4" i="5"/>
  <c r="GR4" i="5" s="1"/>
  <c r="JB4" i="5" s="1"/>
  <c r="EI3" i="5"/>
  <c r="GR3" i="5" s="1"/>
  <c r="JB3" i="5" s="1"/>
  <c r="DK3" i="1"/>
  <c r="FT3" i="1" s="1"/>
  <c r="ID3" i="1" s="1"/>
  <c r="EN8" i="1" l="1"/>
  <c r="GW8" i="1" s="1"/>
  <c r="JG8" i="1" s="1"/>
  <c r="EO7" i="1"/>
  <c r="GX7" i="1" s="1"/>
  <c r="JH7" i="1" s="1"/>
  <c r="EO11" i="1"/>
  <c r="GX11" i="1" s="1"/>
  <c r="JH11" i="1" s="1"/>
  <c r="EO10" i="1"/>
  <c r="GX10" i="1" s="1"/>
  <c r="JH10" i="1" s="1"/>
  <c r="EO9" i="1"/>
  <c r="GX9" i="1" s="1"/>
  <c r="JH9" i="1" s="1"/>
  <c r="EN5" i="1"/>
  <c r="GW5" i="1" s="1"/>
  <c r="JG5" i="1" s="1"/>
  <c r="EO4" i="1"/>
  <c r="GX4" i="1" s="1"/>
  <c r="JH4" i="1" s="1"/>
  <c r="EO6" i="1"/>
  <c r="GX6" i="1" s="1"/>
  <c r="JH6" i="1" s="1"/>
  <c r="EJ4" i="5"/>
  <c r="GS4" i="5" s="1"/>
  <c r="JC4" i="5" s="1"/>
  <c r="EJ3" i="5"/>
  <c r="GS3" i="5" s="1"/>
  <c r="JC3" i="5" s="1"/>
  <c r="DL3" i="1"/>
  <c r="FU3" i="1" s="1"/>
  <c r="IE3" i="1" s="1"/>
  <c r="EP6" i="1" l="1"/>
  <c r="GY6" i="1" s="1"/>
  <c r="JI6" i="1" s="1"/>
  <c r="EP10" i="1"/>
  <c r="GY10" i="1" s="1"/>
  <c r="JI10" i="1" s="1"/>
  <c r="EP4" i="1"/>
  <c r="GY4" i="1" s="1"/>
  <c r="JI4" i="1" s="1"/>
  <c r="EO5" i="1"/>
  <c r="GX5" i="1" s="1"/>
  <c r="JH5" i="1" s="1"/>
  <c r="EP11" i="1"/>
  <c r="GY11" i="1" s="1"/>
  <c r="JI11" i="1" s="1"/>
  <c r="EO8" i="1"/>
  <c r="GX8" i="1" s="1"/>
  <c r="JH8" i="1" s="1"/>
  <c r="EP9" i="1"/>
  <c r="GY9" i="1" s="1"/>
  <c r="JI9" i="1" s="1"/>
  <c r="EP7" i="1"/>
  <c r="GY7" i="1" s="1"/>
  <c r="JI7" i="1" s="1"/>
  <c r="EK4" i="5"/>
  <c r="GT4" i="5" s="1"/>
  <c r="JD4" i="5" s="1"/>
  <c r="EK3" i="5"/>
  <c r="GT3" i="5" s="1"/>
  <c r="JD3" i="5" s="1"/>
  <c r="DM3" i="1"/>
  <c r="FV3" i="1" s="1"/>
  <c r="IF3" i="1" s="1"/>
  <c r="JO146" i="1"/>
  <c r="EP8" i="1" l="1"/>
  <c r="GY8" i="1" s="1"/>
  <c r="JI8" i="1" s="1"/>
  <c r="EQ9" i="1"/>
  <c r="GZ9" i="1" s="1"/>
  <c r="JJ9" i="1" s="1"/>
  <c r="EP5" i="1"/>
  <c r="GY5" i="1" s="1"/>
  <c r="JI5" i="1" s="1"/>
  <c r="EQ7" i="1"/>
  <c r="GZ7" i="1" s="1"/>
  <c r="JJ7" i="1" s="1"/>
  <c r="EQ11" i="1"/>
  <c r="GZ11" i="1" s="1"/>
  <c r="JJ11" i="1" s="1"/>
  <c r="EQ4" i="1"/>
  <c r="GZ4" i="1" s="1"/>
  <c r="JJ4" i="1" s="1"/>
  <c r="EQ6" i="1"/>
  <c r="GZ6" i="1" s="1"/>
  <c r="JJ6" i="1" s="1"/>
  <c r="EQ10" i="1"/>
  <c r="GZ10" i="1" s="1"/>
  <c r="JJ10" i="1" s="1"/>
  <c r="EL4" i="5"/>
  <c r="GU4" i="5" s="1"/>
  <c r="JE4" i="5" s="1"/>
  <c r="EL3" i="5"/>
  <c r="GU3" i="5" s="1"/>
  <c r="JE3" i="5" s="1"/>
  <c r="DN3" i="1"/>
  <c r="FW3" i="1" s="1"/>
  <c r="IG3" i="1" s="1"/>
  <c r="ER6" i="1" l="1"/>
  <c r="HA6" i="1" s="1"/>
  <c r="JK6" i="1" s="1"/>
  <c r="EQ5" i="1"/>
  <c r="GZ5" i="1" s="1"/>
  <c r="JJ5" i="1" s="1"/>
  <c r="ER9" i="1"/>
  <c r="HA9" i="1" s="1"/>
  <c r="JK9" i="1" s="1"/>
  <c r="ER10" i="1"/>
  <c r="HA10" i="1" s="1"/>
  <c r="JK10" i="1" s="1"/>
  <c r="ER11" i="1"/>
  <c r="HA11" i="1" s="1"/>
  <c r="JK11" i="1" s="1"/>
  <c r="EQ8" i="1"/>
  <c r="GZ8" i="1" s="1"/>
  <c r="JJ8" i="1" s="1"/>
  <c r="ER4" i="1"/>
  <c r="HA4" i="1" s="1"/>
  <c r="JK4" i="1" s="1"/>
  <c r="ER7" i="1"/>
  <c r="HA7" i="1" s="1"/>
  <c r="JK7" i="1" s="1"/>
  <c r="EM4" i="5"/>
  <c r="GV4" i="5" s="1"/>
  <c r="JF4" i="5" s="1"/>
  <c r="EM3" i="5"/>
  <c r="GV3" i="5" s="1"/>
  <c r="JF3" i="5" s="1"/>
  <c r="DO3" i="1"/>
  <c r="FX3" i="1" s="1"/>
  <c r="IH3" i="1" s="1"/>
  <c r="JO134" i="1"/>
  <c r="JO147" i="1"/>
  <c r="ER8" i="1" l="1"/>
  <c r="HA8" i="1" s="1"/>
  <c r="JK8" i="1" s="1"/>
  <c r="ER5" i="1"/>
  <c r="HA5" i="1" s="1"/>
  <c r="JK5" i="1" s="1"/>
  <c r="EN4" i="5"/>
  <c r="GW4" i="5" s="1"/>
  <c r="JG4" i="5" s="1"/>
  <c r="EN3" i="5"/>
  <c r="GW3" i="5" s="1"/>
  <c r="JG3" i="5" s="1"/>
  <c r="DP3" i="1"/>
  <c r="FY3" i="1" s="1"/>
  <c r="II3" i="1" s="1"/>
  <c r="EO4" i="5" l="1"/>
  <c r="GX4" i="5" s="1"/>
  <c r="JH4" i="5" s="1"/>
  <c r="EO3" i="5"/>
  <c r="GX3" i="5" s="1"/>
  <c r="JH3" i="5" s="1"/>
  <c r="DQ3" i="1"/>
  <c r="FZ3" i="1" s="1"/>
  <c r="IJ3" i="1" s="1"/>
  <c r="EP4" i="5" l="1"/>
  <c r="GY4" i="5" s="1"/>
  <c r="JI4" i="5" s="1"/>
  <c r="EP3" i="5"/>
  <c r="GY3" i="5" s="1"/>
  <c r="JI3" i="5" s="1"/>
  <c r="DR3" i="1"/>
  <c r="GA3" i="1" s="1"/>
  <c r="IK3" i="1" s="1"/>
  <c r="EQ4" i="5" l="1"/>
  <c r="GZ4" i="5" s="1"/>
  <c r="JJ4" i="5" s="1"/>
  <c r="EQ3" i="5"/>
  <c r="GZ3" i="5" s="1"/>
  <c r="JJ3" i="5" s="1"/>
  <c r="DS3" i="1"/>
  <c r="GB3" i="1" s="1"/>
  <c r="IL3" i="1" s="1"/>
  <c r="ER4" i="5" l="1"/>
  <c r="HA4" i="5" s="1"/>
  <c r="JK4" i="5" s="1"/>
  <c r="ER3" i="5"/>
  <c r="HA3" i="5" s="1"/>
  <c r="JK3" i="5" s="1"/>
  <c r="DT3" i="1"/>
  <c r="GC3" i="1" s="1"/>
  <c r="IM3" i="1" s="1"/>
  <c r="DU3" i="1" l="1"/>
  <c r="GD3" i="1" s="1"/>
  <c r="IN3" i="1" s="1"/>
  <c r="JO5" i="1"/>
  <c r="JP5" i="1" s="1"/>
  <c r="JT5" i="1" s="1"/>
  <c r="JV5" i="1" s="1"/>
  <c r="DV3" i="1" l="1"/>
  <c r="GE3" i="1" s="1"/>
  <c r="IO3" i="1" s="1"/>
  <c r="DW3" i="1" l="1"/>
  <c r="GF3" i="1" s="1"/>
  <c r="IP3" i="1" s="1"/>
  <c r="DX3" i="1" l="1"/>
  <c r="GG3" i="1" s="1"/>
  <c r="IQ3" i="1" s="1"/>
  <c r="DY3" i="1" l="1"/>
  <c r="GH3" i="1" s="1"/>
  <c r="IR3" i="1" s="1"/>
  <c r="DZ3" i="1" l="1"/>
  <c r="GI3" i="1" s="1"/>
  <c r="IS3" i="1" s="1"/>
  <c r="EA3" i="1" l="1"/>
  <c r="GJ3" i="1" s="1"/>
  <c r="IT3" i="1" s="1"/>
  <c r="EB3" i="1" l="1"/>
  <c r="GK3" i="1" s="1"/>
  <c r="IU3" i="1" s="1"/>
  <c r="EC3" i="1" l="1"/>
  <c r="GL3" i="1" s="1"/>
  <c r="IV3" i="1" s="1"/>
  <c r="ED3" i="1" l="1"/>
  <c r="GM3" i="1" s="1"/>
  <c r="IW3" i="1" s="1"/>
  <c r="EE3" i="1" l="1"/>
  <c r="GN3" i="1" s="1"/>
  <c r="IX3" i="1" s="1"/>
  <c r="EF3" i="1" l="1"/>
  <c r="GO3" i="1" s="1"/>
  <c r="IY3" i="1" s="1"/>
  <c r="EG3" i="1" l="1"/>
  <c r="GP3" i="1" s="1"/>
  <c r="IZ3" i="1" s="1"/>
  <c r="EH3" i="1" l="1"/>
  <c r="GQ3" i="1" s="1"/>
  <c r="JA3" i="1" s="1"/>
  <c r="EI3" i="1" l="1"/>
  <c r="GR3" i="1" s="1"/>
  <c r="JB3" i="1" s="1"/>
  <c r="EJ3" i="1" l="1"/>
  <c r="GS3" i="1" s="1"/>
  <c r="JC3" i="1" s="1"/>
  <c r="EK3" i="1" l="1"/>
  <c r="GT3" i="1" s="1"/>
  <c r="JD3" i="1" s="1"/>
  <c r="EL3" i="1" l="1"/>
  <c r="GU3" i="1" s="1"/>
  <c r="JE3" i="1" s="1"/>
  <c r="EM3" i="1" l="1"/>
  <c r="GV3" i="1" s="1"/>
  <c r="JF3" i="1" s="1"/>
  <c r="EN3" i="1" l="1"/>
  <c r="GW3" i="1" s="1"/>
  <c r="JG3" i="1" s="1"/>
  <c r="EO3" i="1" l="1"/>
  <c r="GX3" i="1" s="1"/>
  <c r="JH3" i="1" s="1"/>
  <c r="EP3" i="1" l="1"/>
  <c r="GY3" i="1" s="1"/>
  <c r="JI3" i="1" s="1"/>
  <c r="JO4" i="1"/>
  <c r="JP4" i="1" s="1"/>
  <c r="JT4" i="1" s="1"/>
  <c r="JV4" i="1" s="1"/>
  <c r="EQ3" i="1" l="1"/>
  <c r="GZ3" i="1" s="1"/>
  <c r="JJ3" i="1" s="1"/>
  <c r="ER3" i="1" l="1"/>
  <c r="HA3" i="1" s="1"/>
  <c r="JK3" i="1" s="1"/>
  <c r="JY3" i="1" l="1"/>
  <c r="JZ3" i="1" s="1"/>
  <c r="KA3" i="1" l="1"/>
  <c r="KB3" i="1"/>
  <c r="KC3" i="1" s="1"/>
  <c r="JM3" i="1" s="1"/>
  <c r="KD3" i="1" l="1"/>
  <c r="KE3" i="1" s="1"/>
  <c r="JO3" i="1" s="1"/>
  <c r="JP3" i="1" s="1"/>
  <c r="JT3" i="1" s="1"/>
  <c r="JV3" i="1" s="1"/>
</calcChain>
</file>

<file path=xl/sharedStrings.xml><?xml version="1.0" encoding="utf-8"?>
<sst xmlns="http://schemas.openxmlformats.org/spreadsheetml/2006/main" count="696" uniqueCount="70">
  <si>
    <t>Group</t>
  </si>
  <si>
    <t>Tranches</t>
  </si>
  <si>
    <t>Adv. Emi</t>
  </si>
  <si>
    <t>Discount</t>
  </si>
  <si>
    <t>Interest</t>
  </si>
  <si>
    <t>Retention</t>
  </si>
  <si>
    <t>Status</t>
  </si>
  <si>
    <t>Recommended</t>
  </si>
  <si>
    <t>Active</t>
  </si>
  <si>
    <t>Yes</t>
  </si>
  <si>
    <t>Loan Amount</t>
  </si>
  <si>
    <t>Discount Amount</t>
  </si>
  <si>
    <t>Interest Amount</t>
  </si>
  <si>
    <t>Retention Amount</t>
  </si>
  <si>
    <t>Total Revenue</t>
  </si>
  <si>
    <t>IRR</t>
  </si>
  <si>
    <t>EMI Amount</t>
  </si>
  <si>
    <t>Net Outflow</t>
  </si>
  <si>
    <t>Advance EMI</t>
  </si>
  <si>
    <t>Total</t>
  </si>
  <si>
    <t>Check</t>
  </si>
  <si>
    <t>EMI</t>
  </si>
  <si>
    <t>Net EMI</t>
  </si>
  <si>
    <t>Closing Balance</t>
  </si>
  <si>
    <t>Principal</t>
  </si>
  <si>
    <t>GAP</t>
  </si>
  <si>
    <t>No of EMIs paid ( Excluding Adv EMI)</t>
  </si>
  <si>
    <t>Pending POS as per Repayment</t>
  </si>
  <si>
    <t>Daily Interest</t>
  </si>
  <si>
    <t>Utilisation Days</t>
  </si>
  <si>
    <t>Pro-Rated Interest</t>
  </si>
  <si>
    <t>Foreclosure Month</t>
  </si>
  <si>
    <t>Foreclosure Amt</t>
  </si>
  <si>
    <t>Input</t>
  </si>
  <si>
    <t>App id</t>
  </si>
  <si>
    <t>App ID</t>
  </si>
  <si>
    <t>Student Name</t>
  </si>
  <si>
    <t>Tranche Amount</t>
  </si>
  <si>
    <t>Loan Live Date (MM/DD/YYYY)</t>
  </si>
  <si>
    <t>Number of EMIs</t>
  </si>
  <si>
    <t>Advance EMIs</t>
  </si>
  <si>
    <t>Net Tenure</t>
  </si>
  <si>
    <t>Discount Rate</t>
  </si>
  <si>
    <t>Total Regular Int rate</t>
  </si>
  <si>
    <t>FLDG %</t>
  </si>
  <si>
    <t>For H Lookup</t>
  </si>
  <si>
    <t>Lender</t>
  </si>
  <si>
    <t>Disbursement  Date</t>
  </si>
  <si>
    <t>Grp</t>
  </si>
  <si>
    <t>Total Paid by Parent</t>
  </si>
  <si>
    <t>Net of Adv EMI</t>
  </si>
  <si>
    <t>Total No of EMI paid</t>
  </si>
  <si>
    <t>Round down</t>
  </si>
  <si>
    <t>Exact EMIs paid</t>
  </si>
  <si>
    <t>Extra Paid</t>
  </si>
  <si>
    <t>Net of adv emi paid</t>
  </si>
  <si>
    <t>Lot</t>
  </si>
  <si>
    <t>Do not Drag / change</t>
  </si>
  <si>
    <t>Lot 1</t>
  </si>
  <si>
    <t>Refund Received</t>
  </si>
  <si>
    <t>EMI Paid by Parent</t>
  </si>
  <si>
    <t>Total Paid</t>
  </si>
  <si>
    <t>FC Paid by parent</t>
  </si>
  <si>
    <t>Date of last settlement</t>
  </si>
  <si>
    <t>Date of closing</t>
  </si>
  <si>
    <t xml:space="preserve">UTR </t>
  </si>
  <si>
    <t>Transfer DATE</t>
  </si>
  <si>
    <t>Western Capital</t>
  </si>
  <si>
    <t>Yamini Soni</t>
  </si>
  <si>
    <t>AAKASH EDUCATIONAL SERVICE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</si>
</sst>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  <numFmt numFmtId="166" formatCode="_ * #,##0_ ;_ * \-#,##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rgb="FF212529"/>
      <name val="Segoe UI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165" fontId="2" fillId="0" borderId="1" xfId="1" applyNumberFormat="1" applyFont="1" applyBorder="1" applyAlignment="1">
      <alignment horizontal="left"/>
    </xf>
    <xf numFmtId="165" fontId="0" fillId="0" borderId="1" xfId="1" applyNumberFormat="1" applyFont="1" applyBorder="1"/>
    <xf numFmtId="165" fontId="0" fillId="0" borderId="1" xfId="0" applyNumberFormat="1" applyBorder="1"/>
    <xf numFmtId="164" fontId="0" fillId="0" borderId="1" xfId="0" applyNumberFormat="1" applyBorder="1"/>
    <xf numFmtId="10" fontId="0" fillId="0" borderId="1" xfId="2" applyNumberFormat="1" applyFont="1" applyBorder="1"/>
    <xf numFmtId="1" fontId="0" fillId="0" borderId="1" xfId="0" applyNumberFormat="1" applyBorder="1"/>
    <xf numFmtId="43" fontId="0" fillId="0" borderId="1" xfId="0" applyNumberFormat="1" applyBorder="1"/>
    <xf numFmtId="0" fontId="5" fillId="0" borderId="1" xfId="0" applyFont="1" applyBorder="1"/>
    <xf numFmtId="0" fontId="4" fillId="2" borderId="1" xfId="0" applyFont="1" applyFill="1" applyBorder="1"/>
    <xf numFmtId="17" fontId="0" fillId="0" borderId="1" xfId="0" applyNumberFormat="1" applyBorder="1"/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5" fontId="5" fillId="3" borderId="1" xfId="0" applyNumberFormat="1" applyFont="1" applyFill="1" applyBorder="1" applyAlignment="1">
      <alignment horizontal="center" vertical="center"/>
    </xf>
    <xf numFmtId="15" fontId="0" fillId="0" borderId="1" xfId="0" applyNumberFormat="1" applyBorder="1"/>
    <xf numFmtId="0" fontId="5" fillId="0" borderId="2" xfId="0" applyFont="1" applyBorder="1" applyAlignment="1">
      <alignment horizontal="center" vertical="center"/>
    </xf>
    <xf numFmtId="166" fontId="0" fillId="0" borderId="1" xfId="0" applyNumberFormat="1" applyBorder="1"/>
    <xf numFmtId="0" fontId="3" fillId="2" borderId="1" xfId="0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4" fillId="4" borderId="1" xfId="0" applyFont="1" applyFill="1" applyBorder="1"/>
    <xf numFmtId="43" fontId="0" fillId="0" borderId="1" xfId="1" applyNumberFormat="1" applyFont="1" applyBorder="1"/>
    <xf numFmtId="0" fontId="0" fillId="5" borderId="1" xfId="0" applyFill="1" applyBorder="1"/>
    <xf numFmtId="0" fontId="0" fillId="3" borderId="1" xfId="0" applyFill="1" applyBorder="1" applyAlignment="1">
      <alignment horizontal="center" vertic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3" fontId="0" fillId="0" borderId="1" xfId="0" applyNumberFormat="1" applyBorder="1"/>
    <xf numFmtId="17" fontId="0" fillId="0" borderId="1" xfId="0" applyNumberFormat="1" applyBorder="1" applyAlignment="1">
      <alignment horizontal="right"/>
    </xf>
    <xf numFmtId="17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165" fontId="2" fillId="0" borderId="1" xfId="1" applyNumberFormat="1" applyFont="1" applyBorder="1" applyAlignment="1">
      <alignment horizontal="left" vertical="center"/>
    </xf>
    <xf numFmtId="1" fontId="0" fillId="0" borderId="1" xfId="0" applyNumberFormat="1" applyBorder="1" applyAlignment="1">
      <alignment horizontal="right"/>
    </xf>
    <xf numFmtId="1" fontId="0" fillId="0" borderId="1" xfId="0" applyNumberFormat="1" applyBorder="1" applyAlignment="1">
      <alignment horizontal="right" vertical="center"/>
    </xf>
    <xf numFmtId="165" fontId="0" fillId="0" borderId="1" xfId="1" applyNumberFormat="1" applyFont="1" applyBorder="1" applyAlignment="1"/>
    <xf numFmtId="0" fontId="6" fillId="0" borderId="0" xfId="0" applyFont="1"/>
    <xf numFmtId="2" fontId="0" fillId="0" borderId="1" xfId="0" applyNumberFormat="1" applyBorder="1"/>
    <xf numFmtId="0" fontId="0" fillId="3" borderId="1" xfId="0" applyFill="1" applyBorder="1"/>
    <xf numFmtId="15" fontId="0" fillId="3" borderId="1" xfId="0" applyNumberFormat="1" applyFill="1" applyBorder="1"/>
    <xf numFmtId="1" fontId="0" fillId="3" borderId="1" xfId="0" applyNumberFormat="1" applyFill="1" applyBorder="1"/>
    <xf numFmtId="0" fontId="2" fillId="3" borderId="1" xfId="0" applyFont="1" applyFill="1" applyBorder="1" applyAlignment="1">
      <alignment horizontal="left"/>
    </xf>
    <xf numFmtId="165" fontId="2" fillId="3" borderId="1" xfId="1" applyNumberFormat="1" applyFont="1" applyFill="1" applyBorder="1" applyAlignment="1">
      <alignment horizontal="left"/>
    </xf>
    <xf numFmtId="165" fontId="0" fillId="3" borderId="1" xfId="1" applyNumberFormat="1" applyFont="1" applyFill="1" applyBorder="1"/>
    <xf numFmtId="165" fontId="0" fillId="3" borderId="1" xfId="0" applyNumberFormat="1" applyFill="1" applyBorder="1"/>
    <xf numFmtId="164" fontId="0" fillId="3" borderId="1" xfId="0" applyNumberFormat="1" applyFill="1" applyBorder="1"/>
    <xf numFmtId="10" fontId="0" fillId="3" borderId="1" xfId="2" applyNumberFormat="1" applyFont="1" applyFill="1" applyBorder="1"/>
    <xf numFmtId="166" fontId="0" fillId="3" borderId="1" xfId="0" applyNumberFormat="1" applyFill="1" applyBorder="1"/>
    <xf numFmtId="14" fontId="0" fillId="3" borderId="1" xfId="0" applyNumberFormat="1" applyFill="1" applyBorder="1"/>
    <xf numFmtId="17" fontId="0" fillId="3" borderId="1" xfId="0" applyNumberFormat="1" applyFill="1" applyBorder="1"/>
    <xf numFmtId="43" fontId="0" fillId="3" borderId="1" xfId="0" applyNumberFormat="1" applyFill="1" applyBorder="1"/>
    <xf numFmtId="0" fontId="7" fillId="0" borderId="0" xfId="0" applyFont="1" applyAlignment="1">
      <alignment horizontal="right"/>
    </xf>
    <xf numFmtId="15" fontId="0" fillId="0" borderId="1" xfId="0" applyNumberFormat="1" applyBorder="1" applyAlignment="1">
      <alignment horizontal="center"/>
    </xf>
    <xf numFmtId="0" fontId="0" fillId="6" borderId="1" xfId="0" applyFill="1" applyBorder="1"/>
    <xf numFmtId="0" fontId="7" fillId="6" borderId="0" xfId="0" applyFont="1" applyFill="1" applyAlignment="1">
      <alignment horizontal="right"/>
    </xf>
    <xf numFmtId="15" fontId="0" fillId="6" borderId="1" xfId="0" applyNumberFormat="1" applyFill="1" applyBorder="1"/>
    <xf numFmtId="1" fontId="0" fillId="6" borderId="1" xfId="0" applyNumberFormat="1" applyFill="1" applyBorder="1"/>
    <xf numFmtId="0" fontId="2" fillId="6" borderId="1" xfId="0" applyFont="1" applyFill="1" applyBorder="1" applyAlignment="1">
      <alignment horizontal="left"/>
    </xf>
    <xf numFmtId="165" fontId="2" fillId="6" borderId="1" xfId="1" applyNumberFormat="1" applyFont="1" applyFill="1" applyBorder="1" applyAlignment="1">
      <alignment horizontal="left"/>
    </xf>
    <xf numFmtId="165" fontId="0" fillId="6" borderId="1" xfId="1" applyNumberFormat="1" applyFont="1" applyFill="1" applyBorder="1"/>
    <xf numFmtId="165" fontId="0" fillId="6" borderId="1" xfId="0" applyNumberFormat="1" applyFill="1" applyBorder="1"/>
    <xf numFmtId="164" fontId="0" fillId="6" borderId="1" xfId="0" applyNumberFormat="1" applyFill="1" applyBorder="1"/>
    <xf numFmtId="10" fontId="0" fillId="6" borderId="1" xfId="2" applyNumberFormat="1" applyFont="1" applyFill="1" applyBorder="1"/>
    <xf numFmtId="166" fontId="0" fillId="6" borderId="1" xfId="0" applyNumberFormat="1" applyFill="1" applyBorder="1"/>
    <xf numFmtId="17" fontId="0" fillId="6" borderId="1" xfId="0" applyNumberFormat="1" applyFill="1" applyBorder="1"/>
    <xf numFmtId="43" fontId="0" fillId="6" borderId="1" xfId="0" applyNumberFormat="1" applyFill="1" applyBorder="1"/>
    <xf numFmtId="15" fontId="0" fillId="0" borderId="1" xfId="0" applyNumberForma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K505"/>
  <sheetViews>
    <sheetView tabSelected="1" workbookViewId="0">
      <pane xSplit="2" ySplit="2" topLeftCell="JP3" activePane="bottomRight" state="frozen"/>
      <selection pane="topRight" activeCell="B1" sqref="B1"/>
      <selection pane="bottomLeft" activeCell="A2" sqref="A2"/>
      <selection pane="bottomRight" activeCell="JQ2" sqref="JQ2"/>
    </sheetView>
  </sheetViews>
  <sheetFormatPr defaultColWidth="8.88671875" defaultRowHeight="14.4" outlineLevelCol="2" x14ac:dyDescent="0.3"/>
  <cols>
    <col min="1" max="1" width="11.6640625" style="1" bestFit="1" customWidth="1"/>
    <col min="2" max="2" width="8.21875" style="1" bestFit="1" customWidth="1"/>
    <col min="3" max="3" width="15.44140625" style="1" customWidth="1"/>
    <col min="4" max="4" width="29.33203125" style="1" bestFit="1" customWidth="1"/>
    <col min="5" max="5" width="8.5546875" style="1" customWidth="1"/>
    <col min="6" max="6" width="19" style="1" customWidth="1"/>
    <col min="7" max="8" width="10.33203125" style="1" customWidth="1"/>
    <col min="9" max="9" width="7.109375" style="1" customWidth="1"/>
    <col min="10" max="11" width="10.109375" style="1" customWidth="1"/>
    <col min="12" max="12" width="9.5546875" style="1" customWidth="1"/>
    <col min="13" max="13" width="11.109375" style="1" customWidth="1"/>
    <col min="14" max="14" width="8.109375" style="1" customWidth="1"/>
    <col min="15" max="15" width="10.33203125" style="1" customWidth="1"/>
    <col min="16" max="16" width="13.109375" style="1" customWidth="1"/>
    <col min="17" max="18" width="9.109375" style="1" customWidth="1"/>
    <col min="19" max="19" width="10.109375" style="1" customWidth="1"/>
    <col min="20" max="20" width="10.33203125" style="1" customWidth="1"/>
    <col min="21" max="21" width="10.109375" style="1" customWidth="1"/>
    <col min="22" max="22" width="9.6640625" style="1" customWidth="1"/>
    <col min="23" max="23" width="10.109375" style="1" customWidth="1"/>
    <col min="24" max="24" width="7" style="1" customWidth="1"/>
    <col min="25" max="25" width="9.5546875" style="1" hidden="1" customWidth="1" outlineLevel="2"/>
    <col min="26" max="36" width="10.109375" style="1" hidden="1" customWidth="1" outlineLevel="2"/>
    <col min="37" max="85" width="5.21875" style="1" hidden="1" customWidth="1" outlineLevel="2"/>
    <col min="86" max="86" width="7.5546875" style="1" hidden="1" customWidth="1" outlineLevel="2"/>
    <col min="87" max="88" width="7.88671875" style="5" hidden="1" customWidth="1" outlineLevel="2"/>
    <col min="89" max="89" width="8.88671875" style="1" hidden="1" customWidth="1" outlineLevel="1" collapsed="1"/>
    <col min="90" max="97" width="8.88671875" style="1" hidden="1" customWidth="1" outlineLevel="1"/>
    <col min="98" max="98" width="12" style="1" hidden="1" customWidth="1" outlineLevel="1"/>
    <col min="99" max="148" width="8.88671875" style="1" hidden="1" customWidth="1" outlineLevel="1"/>
    <col min="149" max="149" width="8.88671875" style="1" customWidth="1" collapsed="1"/>
    <col min="150" max="158" width="9.88671875" style="1" hidden="1" customWidth="1" outlineLevel="1"/>
    <col min="159" max="208" width="8.88671875" style="1" hidden="1" customWidth="1" outlineLevel="1"/>
    <col min="209" max="209" width="9.88671875" style="1" hidden="1" customWidth="1" outlineLevel="1"/>
    <col min="210" max="210" width="8.88671875" style="1" customWidth="1" collapsed="1"/>
    <col min="211" max="211" width="8.88671875" style="1" customWidth="1"/>
    <col min="212" max="271" width="14.109375" style="1" hidden="1" customWidth="1" outlineLevel="1"/>
    <col min="272" max="272" width="8.88671875" style="1" customWidth="1" collapsed="1"/>
    <col min="273" max="273" width="39.44140625" style="1" customWidth="1"/>
    <col min="274" max="274" width="18.44140625" style="1" bestFit="1" customWidth="1"/>
    <col min="275" max="275" width="27.77734375" style="1" customWidth="1"/>
    <col min="276" max="276" width="12" style="1" customWidth="1"/>
    <col min="277" max="277" width="20.109375" style="1" bestFit="1" customWidth="1"/>
    <col min="278" max="278" width="13.44140625" style="1" bestFit="1" customWidth="1"/>
    <col min="279" max="279" width="13.77734375" style="1" customWidth="1"/>
    <col min="280" max="280" width="16.109375" style="1" customWidth="1"/>
    <col min="281" max="281" width="17" style="1" customWidth="1"/>
    <col min="282" max="283" width="18.6640625" style="1" customWidth="1"/>
    <col min="284" max="285" width="17.44140625" style="1" customWidth="1"/>
    <col min="286" max="286" width="18.109375" style="1" customWidth="1"/>
    <col min="287" max="287" width="13.44140625" style="1" customWidth="1"/>
    <col min="288" max="289" width="11.21875" style="1" customWidth="1"/>
    <col min="290" max="290" width="16.109375" style="1" bestFit="1" customWidth="1"/>
    <col min="291" max="291" width="11.33203125" style="1" bestFit="1" customWidth="1"/>
    <col min="292" max="292" width="24.33203125" style="1" customWidth="1"/>
    <col min="293" max="293" width="12.88671875" style="1" bestFit="1" customWidth="1"/>
    <col min="294" max="294" width="23.21875" style="1" bestFit="1" customWidth="1"/>
    <col min="295" max="295" width="39.77734375" style="1" bestFit="1" customWidth="1"/>
    <col min="296" max="296" width="47.88671875" style="1" bestFit="1" customWidth="1"/>
    <col min="297" max="297" width="38" style="1" customWidth="1"/>
    <col min="298" max="16384" width="8.88671875" style="1"/>
  </cols>
  <sheetData>
    <row r="1" spans="1:297" x14ac:dyDescent="0.3">
      <c r="P1" s="14"/>
      <c r="Y1" s="11" t="s">
        <v>21</v>
      </c>
      <c r="Z1" s="11" t="s">
        <v>21</v>
      </c>
      <c r="AA1" s="11" t="s">
        <v>21</v>
      </c>
      <c r="AB1" s="11" t="s">
        <v>21</v>
      </c>
      <c r="AC1" s="11" t="s">
        <v>21</v>
      </c>
      <c r="AD1" s="11" t="s">
        <v>21</v>
      </c>
      <c r="AE1" s="11" t="s">
        <v>21</v>
      </c>
      <c r="AF1" s="11" t="s">
        <v>21</v>
      </c>
      <c r="AG1" s="11" t="s">
        <v>21</v>
      </c>
      <c r="AH1" s="11" t="s">
        <v>21</v>
      </c>
      <c r="AI1" s="11" t="s">
        <v>21</v>
      </c>
      <c r="AJ1" s="11" t="s">
        <v>21</v>
      </c>
      <c r="AK1" s="11" t="s">
        <v>21</v>
      </c>
      <c r="AL1" s="11" t="s">
        <v>21</v>
      </c>
      <c r="AM1" s="11" t="s">
        <v>21</v>
      </c>
      <c r="AN1" s="11" t="s">
        <v>21</v>
      </c>
      <c r="AO1" s="11" t="s">
        <v>21</v>
      </c>
      <c r="AP1" s="11" t="s">
        <v>21</v>
      </c>
      <c r="AQ1" s="11" t="s">
        <v>21</v>
      </c>
      <c r="AR1" s="11" t="s">
        <v>21</v>
      </c>
      <c r="AS1" s="11" t="s">
        <v>21</v>
      </c>
      <c r="AT1" s="11" t="s">
        <v>21</v>
      </c>
      <c r="AU1" s="11" t="s">
        <v>21</v>
      </c>
      <c r="AV1" s="11" t="s">
        <v>21</v>
      </c>
      <c r="AW1" s="11" t="s">
        <v>21</v>
      </c>
      <c r="AX1" s="11" t="s">
        <v>21</v>
      </c>
      <c r="AY1" s="11" t="s">
        <v>21</v>
      </c>
      <c r="AZ1" s="11" t="s">
        <v>21</v>
      </c>
      <c r="BA1" s="11" t="s">
        <v>21</v>
      </c>
      <c r="BB1" s="11" t="s">
        <v>21</v>
      </c>
      <c r="BC1" s="11" t="s">
        <v>21</v>
      </c>
      <c r="BD1" s="11" t="s">
        <v>21</v>
      </c>
      <c r="BE1" s="11" t="s">
        <v>21</v>
      </c>
      <c r="BF1" s="11" t="s">
        <v>21</v>
      </c>
      <c r="BG1" s="11" t="s">
        <v>21</v>
      </c>
      <c r="BH1" s="11" t="s">
        <v>21</v>
      </c>
      <c r="BI1" s="11" t="s">
        <v>21</v>
      </c>
      <c r="BJ1" s="11" t="s">
        <v>21</v>
      </c>
      <c r="BK1" s="11" t="s">
        <v>21</v>
      </c>
      <c r="BL1" s="11" t="s">
        <v>21</v>
      </c>
      <c r="BM1" s="11" t="s">
        <v>21</v>
      </c>
      <c r="BN1" s="11" t="s">
        <v>21</v>
      </c>
      <c r="BO1" s="11" t="s">
        <v>21</v>
      </c>
      <c r="BP1" s="11" t="s">
        <v>21</v>
      </c>
      <c r="BQ1" s="11" t="s">
        <v>21</v>
      </c>
      <c r="BR1" s="11" t="s">
        <v>21</v>
      </c>
      <c r="BS1" s="11" t="s">
        <v>21</v>
      </c>
      <c r="BT1" s="11" t="s">
        <v>21</v>
      </c>
      <c r="BU1" s="11" t="s">
        <v>21</v>
      </c>
      <c r="BV1" s="11" t="s">
        <v>21</v>
      </c>
      <c r="BW1" s="11" t="s">
        <v>21</v>
      </c>
      <c r="BX1" s="11" t="s">
        <v>21</v>
      </c>
      <c r="BY1" s="11" t="s">
        <v>21</v>
      </c>
      <c r="BZ1" s="11" t="s">
        <v>21</v>
      </c>
      <c r="CA1" s="11" t="s">
        <v>21</v>
      </c>
      <c r="CB1" s="11" t="s">
        <v>21</v>
      </c>
      <c r="CC1" s="11" t="s">
        <v>21</v>
      </c>
      <c r="CD1" s="11" t="s">
        <v>21</v>
      </c>
      <c r="CE1" s="11" t="s">
        <v>21</v>
      </c>
      <c r="CF1" s="11" t="s">
        <v>21</v>
      </c>
      <c r="CG1" s="11" t="s">
        <v>21</v>
      </c>
      <c r="CI1" s="1"/>
      <c r="CJ1" s="1"/>
      <c r="CK1" s="11" t="s">
        <v>4</v>
      </c>
      <c r="CL1" s="11" t="s">
        <v>4</v>
      </c>
      <c r="CM1" s="11" t="s">
        <v>4</v>
      </c>
      <c r="CN1" s="11" t="s">
        <v>4</v>
      </c>
      <c r="CO1" s="11" t="s">
        <v>4</v>
      </c>
      <c r="CP1" s="11" t="s">
        <v>4</v>
      </c>
      <c r="CQ1" s="11" t="s">
        <v>4</v>
      </c>
      <c r="CR1" s="11" t="s">
        <v>4</v>
      </c>
      <c r="CS1" s="11" t="s">
        <v>4</v>
      </c>
      <c r="CT1" s="11" t="s">
        <v>4</v>
      </c>
      <c r="CU1" s="11" t="s">
        <v>4</v>
      </c>
      <c r="CV1" s="11" t="s">
        <v>4</v>
      </c>
      <c r="CW1" s="11" t="s">
        <v>4</v>
      </c>
      <c r="CX1" s="11" t="s">
        <v>4</v>
      </c>
      <c r="CY1" s="11" t="s">
        <v>4</v>
      </c>
      <c r="CZ1" s="11" t="s">
        <v>4</v>
      </c>
      <c r="DA1" s="11" t="s">
        <v>4</v>
      </c>
      <c r="DB1" s="11" t="s">
        <v>4</v>
      </c>
      <c r="DC1" s="11" t="s">
        <v>4</v>
      </c>
      <c r="DD1" s="11" t="s">
        <v>4</v>
      </c>
      <c r="DE1" s="11" t="s">
        <v>4</v>
      </c>
      <c r="DF1" s="11" t="s">
        <v>4</v>
      </c>
      <c r="DG1" s="11" t="s">
        <v>4</v>
      </c>
      <c r="DH1" s="11" t="s">
        <v>4</v>
      </c>
      <c r="DI1" s="11" t="s">
        <v>4</v>
      </c>
      <c r="DJ1" s="11" t="s">
        <v>4</v>
      </c>
      <c r="DK1" s="11" t="s">
        <v>4</v>
      </c>
      <c r="DL1" s="11" t="s">
        <v>4</v>
      </c>
      <c r="DM1" s="11" t="s">
        <v>4</v>
      </c>
      <c r="DN1" s="11" t="s">
        <v>4</v>
      </c>
      <c r="DO1" s="11" t="s">
        <v>4</v>
      </c>
      <c r="DP1" s="11" t="s">
        <v>4</v>
      </c>
      <c r="DQ1" s="11" t="s">
        <v>4</v>
      </c>
      <c r="DR1" s="11" t="s">
        <v>4</v>
      </c>
      <c r="DS1" s="11" t="s">
        <v>4</v>
      </c>
      <c r="DT1" s="11" t="s">
        <v>4</v>
      </c>
      <c r="DU1" s="11" t="s">
        <v>4</v>
      </c>
      <c r="DV1" s="11" t="s">
        <v>4</v>
      </c>
      <c r="DW1" s="11" t="s">
        <v>4</v>
      </c>
      <c r="DX1" s="11" t="s">
        <v>4</v>
      </c>
      <c r="DY1" s="11" t="s">
        <v>4</v>
      </c>
      <c r="DZ1" s="11" t="s">
        <v>4</v>
      </c>
      <c r="EA1" s="11" t="s">
        <v>4</v>
      </c>
      <c r="EB1" s="11" t="s">
        <v>4</v>
      </c>
      <c r="EC1" s="11" t="s">
        <v>4</v>
      </c>
      <c r="ED1" s="11" t="s">
        <v>4</v>
      </c>
      <c r="EE1" s="11" t="s">
        <v>4</v>
      </c>
      <c r="EF1" s="11" t="s">
        <v>4</v>
      </c>
      <c r="EG1" s="11" t="s">
        <v>4</v>
      </c>
      <c r="EH1" s="11" t="s">
        <v>4</v>
      </c>
      <c r="EI1" s="11" t="s">
        <v>4</v>
      </c>
      <c r="EJ1" s="11" t="s">
        <v>4</v>
      </c>
      <c r="EK1" s="11" t="s">
        <v>4</v>
      </c>
      <c r="EL1" s="11" t="s">
        <v>4</v>
      </c>
      <c r="EM1" s="11" t="s">
        <v>4</v>
      </c>
      <c r="EN1" s="11" t="s">
        <v>4</v>
      </c>
      <c r="EO1" s="11" t="s">
        <v>4</v>
      </c>
      <c r="EP1" s="11" t="s">
        <v>4</v>
      </c>
      <c r="EQ1" s="11" t="s">
        <v>4</v>
      </c>
      <c r="ER1" s="11" t="s">
        <v>4</v>
      </c>
      <c r="ET1" s="11" t="s">
        <v>24</v>
      </c>
      <c r="EU1" s="11" t="s">
        <v>24</v>
      </c>
      <c r="EV1" s="11" t="s">
        <v>24</v>
      </c>
      <c r="EW1" s="11" t="s">
        <v>24</v>
      </c>
      <c r="EX1" s="11" t="s">
        <v>24</v>
      </c>
      <c r="EY1" s="11" t="s">
        <v>24</v>
      </c>
      <c r="EZ1" s="11" t="s">
        <v>24</v>
      </c>
      <c r="FA1" s="11" t="s">
        <v>24</v>
      </c>
      <c r="FB1" s="11" t="s">
        <v>24</v>
      </c>
      <c r="FC1" s="11" t="s">
        <v>24</v>
      </c>
      <c r="FD1" s="11" t="s">
        <v>24</v>
      </c>
      <c r="FE1" s="11" t="s">
        <v>24</v>
      </c>
      <c r="FF1" s="11" t="s">
        <v>24</v>
      </c>
      <c r="FG1" s="11" t="s">
        <v>24</v>
      </c>
      <c r="FH1" s="11" t="s">
        <v>24</v>
      </c>
      <c r="FI1" s="11" t="s">
        <v>24</v>
      </c>
      <c r="FJ1" s="11" t="s">
        <v>24</v>
      </c>
      <c r="FK1" s="11" t="s">
        <v>24</v>
      </c>
      <c r="FL1" s="11" t="s">
        <v>24</v>
      </c>
      <c r="FM1" s="11" t="s">
        <v>24</v>
      </c>
      <c r="FN1" s="11" t="s">
        <v>24</v>
      </c>
      <c r="FO1" s="11" t="s">
        <v>24</v>
      </c>
      <c r="FP1" s="11" t="s">
        <v>24</v>
      </c>
      <c r="FQ1" s="11" t="s">
        <v>24</v>
      </c>
      <c r="FR1" s="11" t="s">
        <v>24</v>
      </c>
      <c r="FS1" s="11" t="s">
        <v>24</v>
      </c>
      <c r="FT1" s="11" t="s">
        <v>24</v>
      </c>
      <c r="FU1" s="11" t="s">
        <v>24</v>
      </c>
      <c r="FV1" s="11" t="s">
        <v>24</v>
      </c>
      <c r="FW1" s="11" t="s">
        <v>24</v>
      </c>
      <c r="FX1" s="11" t="s">
        <v>24</v>
      </c>
      <c r="FY1" s="11" t="s">
        <v>24</v>
      </c>
      <c r="FZ1" s="11" t="s">
        <v>24</v>
      </c>
      <c r="GA1" s="11" t="s">
        <v>24</v>
      </c>
      <c r="GB1" s="11" t="s">
        <v>24</v>
      </c>
      <c r="GC1" s="11" t="s">
        <v>24</v>
      </c>
      <c r="GD1" s="11" t="s">
        <v>24</v>
      </c>
      <c r="GE1" s="11" t="s">
        <v>24</v>
      </c>
      <c r="GF1" s="11" t="s">
        <v>24</v>
      </c>
      <c r="GG1" s="11" t="s">
        <v>24</v>
      </c>
      <c r="GH1" s="11" t="s">
        <v>24</v>
      </c>
      <c r="GI1" s="11" t="s">
        <v>24</v>
      </c>
      <c r="GJ1" s="11" t="s">
        <v>24</v>
      </c>
      <c r="GK1" s="11" t="s">
        <v>24</v>
      </c>
      <c r="GL1" s="11" t="s">
        <v>24</v>
      </c>
      <c r="GM1" s="11" t="s">
        <v>24</v>
      </c>
      <c r="GN1" s="11" t="s">
        <v>24</v>
      </c>
      <c r="GO1" s="11" t="s">
        <v>24</v>
      </c>
      <c r="GP1" s="11" t="s">
        <v>24</v>
      </c>
      <c r="GQ1" s="11" t="s">
        <v>24</v>
      </c>
      <c r="GR1" s="11" t="s">
        <v>24</v>
      </c>
      <c r="GS1" s="11" t="s">
        <v>24</v>
      </c>
      <c r="GT1" s="11" t="s">
        <v>24</v>
      </c>
      <c r="GU1" s="11" t="s">
        <v>24</v>
      </c>
      <c r="GV1" s="11" t="s">
        <v>24</v>
      </c>
      <c r="GW1" s="11" t="s">
        <v>24</v>
      </c>
      <c r="GX1" s="11" t="s">
        <v>24</v>
      </c>
      <c r="GY1" s="11" t="s">
        <v>24</v>
      </c>
      <c r="GZ1" s="11" t="s">
        <v>24</v>
      </c>
      <c r="HA1" s="11" t="s">
        <v>24</v>
      </c>
      <c r="HC1" s="11" t="s">
        <v>23</v>
      </c>
      <c r="HD1" s="11" t="s">
        <v>23</v>
      </c>
      <c r="HE1" s="11" t="s">
        <v>23</v>
      </c>
      <c r="HF1" s="11" t="s">
        <v>23</v>
      </c>
      <c r="HG1" s="11" t="s">
        <v>23</v>
      </c>
      <c r="HH1" s="11" t="s">
        <v>23</v>
      </c>
      <c r="HI1" s="11" t="s">
        <v>23</v>
      </c>
      <c r="HJ1" s="11" t="s">
        <v>23</v>
      </c>
      <c r="HK1" s="11" t="s">
        <v>23</v>
      </c>
      <c r="HL1" s="11" t="s">
        <v>23</v>
      </c>
      <c r="HM1" s="11" t="s">
        <v>23</v>
      </c>
      <c r="HN1" s="11" t="s">
        <v>23</v>
      </c>
      <c r="HO1" s="11" t="s">
        <v>23</v>
      </c>
      <c r="HP1" s="11" t="s">
        <v>23</v>
      </c>
      <c r="HQ1" s="11" t="s">
        <v>23</v>
      </c>
      <c r="HR1" s="11" t="s">
        <v>23</v>
      </c>
      <c r="HS1" s="11" t="s">
        <v>23</v>
      </c>
      <c r="HT1" s="11" t="s">
        <v>23</v>
      </c>
      <c r="HU1" s="11" t="s">
        <v>23</v>
      </c>
      <c r="HV1" s="11" t="s">
        <v>23</v>
      </c>
      <c r="HW1" s="11" t="s">
        <v>23</v>
      </c>
      <c r="HX1" s="11" t="s">
        <v>23</v>
      </c>
      <c r="HY1" s="11" t="s">
        <v>23</v>
      </c>
      <c r="HZ1" s="11" t="s">
        <v>23</v>
      </c>
      <c r="IA1" s="11" t="s">
        <v>23</v>
      </c>
      <c r="IB1" s="11" t="s">
        <v>23</v>
      </c>
      <c r="IC1" s="11" t="s">
        <v>23</v>
      </c>
      <c r="ID1" s="11" t="s">
        <v>23</v>
      </c>
      <c r="IE1" s="11" t="s">
        <v>23</v>
      </c>
      <c r="IF1" s="11" t="s">
        <v>23</v>
      </c>
      <c r="IG1" s="11" t="s">
        <v>23</v>
      </c>
      <c r="IH1" s="11" t="s">
        <v>23</v>
      </c>
      <c r="II1" s="11" t="s">
        <v>23</v>
      </c>
      <c r="IJ1" s="11" t="s">
        <v>23</v>
      </c>
      <c r="IK1" s="11" t="s">
        <v>23</v>
      </c>
      <c r="IL1" s="11" t="s">
        <v>23</v>
      </c>
      <c r="IM1" s="11" t="s">
        <v>23</v>
      </c>
      <c r="IN1" s="11" t="s">
        <v>23</v>
      </c>
      <c r="IO1" s="11" t="s">
        <v>23</v>
      </c>
      <c r="IP1" s="11" t="s">
        <v>23</v>
      </c>
      <c r="IQ1" s="11" t="s">
        <v>23</v>
      </c>
      <c r="IR1" s="11" t="s">
        <v>23</v>
      </c>
      <c r="IS1" s="11" t="s">
        <v>23</v>
      </c>
      <c r="IT1" s="11" t="s">
        <v>23</v>
      </c>
      <c r="IU1" s="11" t="s">
        <v>23</v>
      </c>
      <c r="IV1" s="11" t="s">
        <v>23</v>
      </c>
      <c r="IW1" s="11" t="s">
        <v>23</v>
      </c>
      <c r="IX1" s="11" t="s">
        <v>23</v>
      </c>
      <c r="IY1" s="11" t="s">
        <v>23</v>
      </c>
      <c r="IZ1" s="11" t="s">
        <v>23</v>
      </c>
      <c r="JA1" s="11" t="s">
        <v>23</v>
      </c>
      <c r="JB1" s="11" t="s">
        <v>23</v>
      </c>
      <c r="JC1" s="11" t="s">
        <v>23</v>
      </c>
      <c r="JD1" s="11" t="s">
        <v>23</v>
      </c>
      <c r="JE1" s="11" t="s">
        <v>23</v>
      </c>
      <c r="JF1" s="11" t="s">
        <v>23</v>
      </c>
      <c r="JG1" s="11" t="s">
        <v>23</v>
      </c>
      <c r="JH1" s="11" t="s">
        <v>23</v>
      </c>
      <c r="JI1" s="11" t="s">
        <v>23</v>
      </c>
      <c r="JJ1" s="11" t="s">
        <v>23</v>
      </c>
      <c r="JK1" s="11" t="s">
        <v>23</v>
      </c>
      <c r="JM1" s="14"/>
      <c r="JN1" s="14" t="s">
        <v>57</v>
      </c>
      <c r="JO1" s="14" t="s">
        <v>57</v>
      </c>
      <c r="JQ1" s="24" t="s">
        <v>33</v>
      </c>
      <c r="JR1" s="24" t="s">
        <v>33</v>
      </c>
      <c r="JS1" s="24" t="s">
        <v>33</v>
      </c>
      <c r="JT1" s="14"/>
      <c r="JW1" s="24" t="s">
        <v>33</v>
      </c>
      <c r="JX1" s="24" t="s">
        <v>33</v>
      </c>
      <c r="JY1" s="24"/>
    </row>
    <row r="2" spans="1:297" ht="27.6" x14ac:dyDescent="0.3">
      <c r="A2" s="21" t="s">
        <v>56</v>
      </c>
      <c r="B2" s="21" t="s">
        <v>34</v>
      </c>
      <c r="C2" s="2" t="s">
        <v>36</v>
      </c>
      <c r="D2" s="2" t="s">
        <v>0</v>
      </c>
      <c r="E2" s="2" t="s">
        <v>46</v>
      </c>
      <c r="F2" s="2" t="s">
        <v>47</v>
      </c>
      <c r="G2" s="2" t="s">
        <v>1</v>
      </c>
      <c r="H2" s="2" t="s">
        <v>21</v>
      </c>
      <c r="I2" s="2" t="s">
        <v>22</v>
      </c>
      <c r="J2" s="2" t="s">
        <v>2</v>
      </c>
      <c r="K2" s="2" t="s">
        <v>3</v>
      </c>
      <c r="L2" s="2" t="s">
        <v>4</v>
      </c>
      <c r="M2" s="2" t="s">
        <v>5</v>
      </c>
      <c r="N2" s="2" t="s">
        <v>6</v>
      </c>
      <c r="O2" s="2" t="s">
        <v>7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16</v>
      </c>
      <c r="V2" s="2" t="s">
        <v>17</v>
      </c>
      <c r="W2" s="2" t="s">
        <v>18</v>
      </c>
      <c r="X2" s="2" t="s">
        <v>15</v>
      </c>
      <c r="Y2" s="2">
        <v>0</v>
      </c>
      <c r="Z2" s="2">
        <v>1</v>
      </c>
      <c r="AA2" s="2">
        <v>2</v>
      </c>
      <c r="AB2" s="2">
        <v>3</v>
      </c>
      <c r="AC2" s="2">
        <v>4</v>
      </c>
      <c r="AD2" s="2">
        <v>5</v>
      </c>
      <c r="AE2" s="2">
        <v>6</v>
      </c>
      <c r="AF2" s="2">
        <v>7</v>
      </c>
      <c r="AG2" s="2">
        <v>8</v>
      </c>
      <c r="AH2" s="2">
        <v>9</v>
      </c>
      <c r="AI2" s="2">
        <v>10</v>
      </c>
      <c r="AJ2" s="2">
        <v>11</v>
      </c>
      <c r="AK2" s="2">
        <v>12</v>
      </c>
      <c r="AL2" s="2">
        <v>13</v>
      </c>
      <c r="AM2" s="2">
        <v>14</v>
      </c>
      <c r="AN2" s="2">
        <v>15</v>
      </c>
      <c r="AO2" s="2">
        <v>16</v>
      </c>
      <c r="AP2" s="2">
        <v>17</v>
      </c>
      <c r="AQ2" s="2">
        <v>18</v>
      </c>
      <c r="AR2" s="2">
        <v>19</v>
      </c>
      <c r="AS2" s="2">
        <v>20</v>
      </c>
      <c r="AT2" s="2">
        <v>21</v>
      </c>
      <c r="AU2" s="2">
        <v>22</v>
      </c>
      <c r="AV2" s="2">
        <v>23</v>
      </c>
      <c r="AW2" s="2">
        <v>24</v>
      </c>
      <c r="AX2" s="2">
        <v>25</v>
      </c>
      <c r="AY2" s="2">
        <v>26</v>
      </c>
      <c r="AZ2" s="2">
        <v>27</v>
      </c>
      <c r="BA2" s="2">
        <v>28</v>
      </c>
      <c r="BB2" s="2">
        <v>29</v>
      </c>
      <c r="BC2" s="2">
        <v>30</v>
      </c>
      <c r="BD2" s="2">
        <v>31</v>
      </c>
      <c r="BE2" s="2">
        <v>32</v>
      </c>
      <c r="BF2" s="2">
        <v>33</v>
      </c>
      <c r="BG2" s="2">
        <v>34</v>
      </c>
      <c r="BH2" s="2">
        <v>35</v>
      </c>
      <c r="BI2" s="2">
        <v>36</v>
      </c>
      <c r="BJ2" s="2">
        <v>37</v>
      </c>
      <c r="BK2" s="2">
        <v>38</v>
      </c>
      <c r="BL2" s="2">
        <v>39</v>
      </c>
      <c r="BM2" s="2">
        <v>40</v>
      </c>
      <c r="BN2" s="2">
        <v>41</v>
      </c>
      <c r="BO2" s="2">
        <v>42</v>
      </c>
      <c r="BP2" s="2">
        <v>43</v>
      </c>
      <c r="BQ2" s="2">
        <v>44</v>
      </c>
      <c r="BR2" s="2">
        <v>45</v>
      </c>
      <c r="BS2" s="2">
        <v>46</v>
      </c>
      <c r="BT2" s="2">
        <v>47</v>
      </c>
      <c r="BU2" s="2">
        <v>48</v>
      </c>
      <c r="BV2" s="2">
        <v>49</v>
      </c>
      <c r="BW2" s="2">
        <v>50</v>
      </c>
      <c r="BX2" s="2">
        <v>51</v>
      </c>
      <c r="BY2" s="2">
        <v>52</v>
      </c>
      <c r="BZ2" s="2">
        <v>53</v>
      </c>
      <c r="CA2" s="2">
        <v>54</v>
      </c>
      <c r="CB2" s="2">
        <v>55</v>
      </c>
      <c r="CC2" s="2">
        <v>56</v>
      </c>
      <c r="CD2" s="2">
        <v>57</v>
      </c>
      <c r="CE2" s="2">
        <v>58</v>
      </c>
      <c r="CF2" s="2">
        <v>59</v>
      </c>
      <c r="CG2" s="2">
        <v>60</v>
      </c>
      <c r="CH2" s="2" t="s">
        <v>19</v>
      </c>
      <c r="CI2" s="2" t="s">
        <v>20</v>
      </c>
      <c r="CJ2" s="2" t="s">
        <v>25</v>
      </c>
      <c r="CK2" s="2">
        <v>1</v>
      </c>
      <c r="CL2" s="2">
        <v>2</v>
      </c>
      <c r="CM2" s="2">
        <v>3</v>
      </c>
      <c r="CN2" s="2">
        <v>4</v>
      </c>
      <c r="CO2" s="2">
        <v>5</v>
      </c>
      <c r="CP2" s="2">
        <v>6</v>
      </c>
      <c r="CQ2" s="2">
        <v>7</v>
      </c>
      <c r="CR2" s="2">
        <v>8</v>
      </c>
      <c r="CS2" s="2">
        <v>9</v>
      </c>
      <c r="CT2" s="2">
        <v>10</v>
      </c>
      <c r="CU2" s="2">
        <v>11</v>
      </c>
      <c r="CV2" s="2">
        <v>12</v>
      </c>
      <c r="CW2" s="2">
        <v>13</v>
      </c>
      <c r="CX2" s="2">
        <v>14</v>
      </c>
      <c r="CY2" s="2">
        <v>15</v>
      </c>
      <c r="CZ2" s="2">
        <v>16</v>
      </c>
      <c r="DA2" s="2">
        <v>17</v>
      </c>
      <c r="DB2" s="2">
        <v>18</v>
      </c>
      <c r="DC2" s="2">
        <v>19</v>
      </c>
      <c r="DD2" s="2">
        <v>20</v>
      </c>
      <c r="DE2" s="2">
        <v>21</v>
      </c>
      <c r="DF2" s="2">
        <v>22</v>
      </c>
      <c r="DG2" s="2">
        <v>23</v>
      </c>
      <c r="DH2" s="2">
        <v>24</v>
      </c>
      <c r="DI2" s="2">
        <v>25</v>
      </c>
      <c r="DJ2" s="2">
        <v>26</v>
      </c>
      <c r="DK2" s="2">
        <v>27</v>
      </c>
      <c r="DL2" s="2">
        <v>28</v>
      </c>
      <c r="DM2" s="2">
        <v>29</v>
      </c>
      <c r="DN2" s="2">
        <v>30</v>
      </c>
      <c r="DO2" s="2">
        <v>31</v>
      </c>
      <c r="DP2" s="2">
        <v>32</v>
      </c>
      <c r="DQ2" s="2">
        <v>33</v>
      </c>
      <c r="DR2" s="2">
        <v>34</v>
      </c>
      <c r="DS2" s="2">
        <v>35</v>
      </c>
      <c r="DT2" s="2">
        <v>36</v>
      </c>
      <c r="DU2" s="2">
        <v>37</v>
      </c>
      <c r="DV2" s="2">
        <v>38</v>
      </c>
      <c r="DW2" s="2">
        <v>39</v>
      </c>
      <c r="DX2" s="2">
        <v>40</v>
      </c>
      <c r="DY2" s="2">
        <v>41</v>
      </c>
      <c r="DZ2" s="2">
        <v>42</v>
      </c>
      <c r="EA2" s="2">
        <v>43</v>
      </c>
      <c r="EB2" s="2">
        <v>44</v>
      </c>
      <c r="EC2" s="2">
        <v>45</v>
      </c>
      <c r="ED2" s="2">
        <v>46</v>
      </c>
      <c r="EE2" s="2">
        <v>47</v>
      </c>
      <c r="EF2" s="2">
        <v>48</v>
      </c>
      <c r="EG2" s="2">
        <v>49</v>
      </c>
      <c r="EH2" s="2">
        <v>50</v>
      </c>
      <c r="EI2" s="2">
        <v>51</v>
      </c>
      <c r="EJ2" s="2">
        <v>52</v>
      </c>
      <c r="EK2" s="2">
        <v>53</v>
      </c>
      <c r="EL2" s="2">
        <v>54</v>
      </c>
      <c r="EM2" s="2">
        <v>55</v>
      </c>
      <c r="EN2" s="2">
        <v>56</v>
      </c>
      <c r="EO2" s="2">
        <v>57</v>
      </c>
      <c r="EP2" s="2">
        <v>58</v>
      </c>
      <c r="EQ2" s="2">
        <v>59</v>
      </c>
      <c r="ER2" s="2">
        <v>60</v>
      </c>
      <c r="ES2" s="2" t="s">
        <v>25</v>
      </c>
      <c r="ET2" s="2">
        <v>1</v>
      </c>
      <c r="EU2" s="2">
        <v>2</v>
      </c>
      <c r="EV2" s="2">
        <v>3</v>
      </c>
      <c r="EW2" s="2">
        <v>4</v>
      </c>
      <c r="EX2" s="2">
        <v>5</v>
      </c>
      <c r="EY2" s="2">
        <v>6</v>
      </c>
      <c r="EZ2" s="2">
        <v>7</v>
      </c>
      <c r="FA2" s="2">
        <v>8</v>
      </c>
      <c r="FB2" s="2">
        <v>9</v>
      </c>
      <c r="FC2" s="2">
        <v>10</v>
      </c>
      <c r="FD2" s="2">
        <v>11</v>
      </c>
      <c r="FE2" s="2">
        <v>12</v>
      </c>
      <c r="FF2" s="2">
        <v>13</v>
      </c>
      <c r="FG2" s="2">
        <v>14</v>
      </c>
      <c r="FH2" s="2">
        <v>15</v>
      </c>
      <c r="FI2" s="2">
        <v>16</v>
      </c>
      <c r="FJ2" s="2">
        <v>17</v>
      </c>
      <c r="FK2" s="2">
        <v>18</v>
      </c>
      <c r="FL2" s="2">
        <v>19</v>
      </c>
      <c r="FM2" s="2">
        <v>20</v>
      </c>
      <c r="FN2" s="2">
        <v>21</v>
      </c>
      <c r="FO2" s="2">
        <v>22</v>
      </c>
      <c r="FP2" s="2">
        <v>23</v>
      </c>
      <c r="FQ2" s="2">
        <v>24</v>
      </c>
      <c r="FR2" s="2">
        <v>25</v>
      </c>
      <c r="FS2" s="2">
        <v>26</v>
      </c>
      <c r="FT2" s="2">
        <v>27</v>
      </c>
      <c r="FU2" s="2">
        <v>28</v>
      </c>
      <c r="FV2" s="2">
        <v>29</v>
      </c>
      <c r="FW2" s="2">
        <v>30</v>
      </c>
      <c r="FX2" s="2">
        <v>31</v>
      </c>
      <c r="FY2" s="2">
        <v>32</v>
      </c>
      <c r="FZ2" s="2">
        <v>33</v>
      </c>
      <c r="GA2" s="2">
        <v>34</v>
      </c>
      <c r="GB2" s="2">
        <v>35</v>
      </c>
      <c r="GC2" s="2">
        <v>36</v>
      </c>
      <c r="GD2" s="2">
        <v>37</v>
      </c>
      <c r="GE2" s="2">
        <v>38</v>
      </c>
      <c r="GF2" s="2">
        <v>39</v>
      </c>
      <c r="GG2" s="2">
        <v>40</v>
      </c>
      <c r="GH2" s="2">
        <v>41</v>
      </c>
      <c r="GI2" s="2">
        <v>42</v>
      </c>
      <c r="GJ2" s="2">
        <v>43</v>
      </c>
      <c r="GK2" s="2">
        <v>44</v>
      </c>
      <c r="GL2" s="2">
        <v>45</v>
      </c>
      <c r="GM2" s="2">
        <v>46</v>
      </c>
      <c r="GN2" s="2">
        <v>47</v>
      </c>
      <c r="GO2" s="2">
        <v>48</v>
      </c>
      <c r="GP2" s="2">
        <v>49</v>
      </c>
      <c r="GQ2" s="2">
        <v>50</v>
      </c>
      <c r="GR2" s="2">
        <v>51</v>
      </c>
      <c r="GS2" s="2">
        <v>52</v>
      </c>
      <c r="GT2" s="2">
        <v>53</v>
      </c>
      <c r="GU2" s="2">
        <v>54</v>
      </c>
      <c r="GV2" s="2">
        <v>55</v>
      </c>
      <c r="GW2" s="2">
        <v>56</v>
      </c>
      <c r="GX2" s="2">
        <v>57</v>
      </c>
      <c r="GY2" s="2">
        <v>58</v>
      </c>
      <c r="GZ2" s="2">
        <v>59</v>
      </c>
      <c r="HA2" s="2">
        <v>60</v>
      </c>
      <c r="HB2" s="2" t="s">
        <v>25</v>
      </c>
      <c r="HC2" s="2">
        <v>0</v>
      </c>
      <c r="HD2" s="2">
        <v>1</v>
      </c>
      <c r="HE2" s="2">
        <v>2</v>
      </c>
      <c r="HF2" s="2">
        <v>3</v>
      </c>
      <c r="HG2" s="2">
        <v>4</v>
      </c>
      <c r="HH2" s="2">
        <v>5</v>
      </c>
      <c r="HI2" s="2">
        <v>6</v>
      </c>
      <c r="HJ2" s="2">
        <v>7</v>
      </c>
      <c r="HK2" s="2">
        <v>8</v>
      </c>
      <c r="HL2" s="2">
        <v>9</v>
      </c>
      <c r="HM2" s="2">
        <v>10</v>
      </c>
      <c r="HN2" s="2">
        <v>11</v>
      </c>
      <c r="HO2" s="2">
        <v>12</v>
      </c>
      <c r="HP2" s="2">
        <v>13</v>
      </c>
      <c r="HQ2" s="2">
        <v>14</v>
      </c>
      <c r="HR2" s="2">
        <v>15</v>
      </c>
      <c r="HS2" s="2">
        <v>16</v>
      </c>
      <c r="HT2" s="2">
        <v>17</v>
      </c>
      <c r="HU2" s="2">
        <v>18</v>
      </c>
      <c r="HV2" s="2">
        <v>19</v>
      </c>
      <c r="HW2" s="2">
        <v>20</v>
      </c>
      <c r="HX2" s="2">
        <v>21</v>
      </c>
      <c r="HY2" s="2">
        <v>22</v>
      </c>
      <c r="HZ2" s="2">
        <v>23</v>
      </c>
      <c r="IA2" s="2">
        <v>24</v>
      </c>
      <c r="IB2" s="2">
        <v>25</v>
      </c>
      <c r="IC2" s="2">
        <v>26</v>
      </c>
      <c r="ID2" s="2">
        <v>27</v>
      </c>
      <c r="IE2" s="2">
        <v>28</v>
      </c>
      <c r="IF2" s="2">
        <v>29</v>
      </c>
      <c r="IG2" s="2">
        <v>30</v>
      </c>
      <c r="IH2" s="2">
        <v>31</v>
      </c>
      <c r="II2" s="2">
        <v>32</v>
      </c>
      <c r="IJ2" s="2">
        <v>33</v>
      </c>
      <c r="IK2" s="2">
        <v>34</v>
      </c>
      <c r="IL2" s="2">
        <v>35</v>
      </c>
      <c r="IM2" s="2">
        <v>36</v>
      </c>
      <c r="IN2" s="2">
        <v>37</v>
      </c>
      <c r="IO2" s="2">
        <v>38</v>
      </c>
      <c r="IP2" s="2">
        <v>39</v>
      </c>
      <c r="IQ2" s="2">
        <v>40</v>
      </c>
      <c r="IR2" s="2">
        <v>41</v>
      </c>
      <c r="IS2" s="2">
        <v>42</v>
      </c>
      <c r="IT2" s="2">
        <v>43</v>
      </c>
      <c r="IU2" s="2">
        <v>44</v>
      </c>
      <c r="IV2" s="2">
        <v>45</v>
      </c>
      <c r="IW2" s="2">
        <v>46</v>
      </c>
      <c r="IX2" s="2">
        <v>47</v>
      </c>
      <c r="IY2" s="2">
        <v>48</v>
      </c>
      <c r="IZ2" s="2">
        <v>49</v>
      </c>
      <c r="JA2" s="2">
        <v>50</v>
      </c>
      <c r="JB2" s="2">
        <v>51</v>
      </c>
      <c r="JC2" s="2">
        <v>52</v>
      </c>
      <c r="JD2" s="2">
        <v>53</v>
      </c>
      <c r="JE2" s="2">
        <v>54</v>
      </c>
      <c r="JF2" s="2">
        <v>55</v>
      </c>
      <c r="JG2" s="2">
        <v>56</v>
      </c>
      <c r="JH2" s="2">
        <v>57</v>
      </c>
      <c r="JI2" s="2">
        <v>58</v>
      </c>
      <c r="JJ2" s="2">
        <v>59</v>
      </c>
      <c r="JK2" s="2">
        <v>60</v>
      </c>
      <c r="JL2" s="2" t="s">
        <v>25</v>
      </c>
      <c r="JM2" s="12" t="s">
        <v>26</v>
      </c>
      <c r="JN2" s="22" t="s">
        <v>45</v>
      </c>
      <c r="JO2" s="22" t="s">
        <v>27</v>
      </c>
      <c r="JP2" s="12" t="s">
        <v>28</v>
      </c>
      <c r="JQ2" s="12" t="s">
        <v>63</v>
      </c>
      <c r="JR2" s="12" t="s">
        <v>64</v>
      </c>
      <c r="JS2" s="12" t="s">
        <v>29</v>
      </c>
      <c r="JT2" s="12" t="s">
        <v>30</v>
      </c>
      <c r="JU2" s="12" t="s">
        <v>31</v>
      </c>
      <c r="JV2" s="12" t="s">
        <v>32</v>
      </c>
      <c r="JW2" s="12" t="s">
        <v>59</v>
      </c>
      <c r="JX2" s="1" t="s">
        <v>61</v>
      </c>
      <c r="JY2" s="1" t="s">
        <v>60</v>
      </c>
      <c r="JZ2" s="1" t="s">
        <v>51</v>
      </c>
      <c r="KA2" s="1" t="s">
        <v>50</v>
      </c>
      <c r="KB2" s="1" t="s">
        <v>52</v>
      </c>
      <c r="KC2" s="1" t="s">
        <v>55</v>
      </c>
      <c r="KD2" s="1" t="s">
        <v>53</v>
      </c>
      <c r="KE2" s="1" t="s">
        <v>54</v>
      </c>
      <c r="KF2" s="25" t="s">
        <v>65</v>
      </c>
      <c r="KG2" s="29" t="s">
        <v>66</v>
      </c>
      <c r="KH2" s="29"/>
      <c r="KI2" s="29"/>
      <c r="KJ2" s="30"/>
      <c r="KK2" s="29"/>
    </row>
    <row r="3" spans="1:297" x14ac:dyDescent="0.3">
      <c r="B3" s="1">
        <v>1190050</v>
      </c>
      <c r="C3" s="1" t="str">
        <f>VLOOKUP(B3,DD!A:B,2,0)</f>
        <v>Yamini Soni</v>
      </c>
      <c r="D3" s="1" t="str">
        <f>VLOOKUP(B3,DD!A:K,11,0)</f>
        <v>AAKASH EDUCATIONAL SERVICE LIMITED</v>
      </c>
      <c r="E3" s="1" t="str">
        <f>VLOOKUP(B3,DD!A:L,12,0)</f>
        <v>Western Capital</v>
      </c>
      <c r="F3" s="17">
        <f>VLOOKUP(B3,DD!A:D,4,0)</f>
        <v>45756</v>
      </c>
      <c r="G3" s="9">
        <v>1</v>
      </c>
      <c r="H3" s="3">
        <f>VLOOKUP(B3,DD!A:E,5,0)</f>
        <v>16</v>
      </c>
      <c r="I3" s="3">
        <f t="shared" ref="I3" si="0">H3-J3</f>
        <v>16</v>
      </c>
      <c r="J3" s="3">
        <f>VLOOKUP(B3,DD!A:F,6,0)</f>
        <v>0</v>
      </c>
      <c r="K3" s="3">
        <f>VLOOKUP(B3,DD!A:H,8,0)</f>
        <v>0</v>
      </c>
      <c r="L3" s="3">
        <f>VLOOKUP(B3,DD!A:I,9,0)</f>
        <v>0</v>
      </c>
      <c r="M3" s="3">
        <f>VLOOKUP(B3,DD!A:J,10,0)</f>
        <v>0</v>
      </c>
      <c r="N3" s="3" t="s">
        <v>8</v>
      </c>
      <c r="O3" s="3" t="s">
        <v>9</v>
      </c>
      <c r="P3" s="4">
        <f>VLOOKUP(B3,DD!A:C,3,0)</f>
        <v>135488</v>
      </c>
      <c r="Q3" s="5">
        <f t="shared" ref="Q3" si="1">K3/100*P3</f>
        <v>0</v>
      </c>
      <c r="R3" s="5">
        <f t="shared" ref="R3" si="2">L3/100*P3</f>
        <v>0</v>
      </c>
      <c r="S3" s="5">
        <f t="shared" ref="S3" si="3">M3/100*(P3-Q3)</f>
        <v>0</v>
      </c>
      <c r="T3" s="6">
        <f t="shared" ref="T3" si="4">Q3+R3</f>
        <v>0</v>
      </c>
      <c r="U3" s="5">
        <f t="shared" ref="U3" si="5">(P3/H3)+(R3/H3)</f>
        <v>8468</v>
      </c>
      <c r="V3" s="6">
        <f t="shared" ref="V3" si="6">P3-Q3-S3-W3</f>
        <v>135488</v>
      </c>
      <c r="W3" s="7">
        <f t="shared" ref="W3" si="7">IF(J3&gt;=1,U3*J3,0)</f>
        <v>0</v>
      </c>
      <c r="X3" s="8">
        <f t="shared" ref="X3:X22" si="8">IRR(Y3:CG3)*12</f>
        <v>0</v>
      </c>
      <c r="Y3" s="6">
        <f t="shared" ref="Y3" si="9">-V3</f>
        <v>-135488</v>
      </c>
      <c r="Z3" s="7">
        <f t="shared" ref="Z3:BE10" si="10">IF($I3&gt;=Z$2,$U3,0)-IF($I3=Z$2,$S3)-IF($S3&gt;1,$S3,0)+$S3</f>
        <v>8468</v>
      </c>
      <c r="AA3" s="7">
        <f t="shared" si="10"/>
        <v>8468</v>
      </c>
      <c r="AB3" s="7">
        <f t="shared" si="10"/>
        <v>8468</v>
      </c>
      <c r="AC3" s="7">
        <f t="shared" si="10"/>
        <v>8468</v>
      </c>
      <c r="AD3" s="7">
        <f t="shared" si="10"/>
        <v>8468</v>
      </c>
      <c r="AE3" s="7">
        <f t="shared" si="10"/>
        <v>8468</v>
      </c>
      <c r="AF3" s="7">
        <f t="shared" si="10"/>
        <v>8468</v>
      </c>
      <c r="AG3" s="7">
        <f t="shared" si="10"/>
        <v>8468</v>
      </c>
      <c r="AH3" s="7">
        <f t="shared" si="10"/>
        <v>8468</v>
      </c>
      <c r="AI3" s="7">
        <f t="shared" si="10"/>
        <v>8468</v>
      </c>
      <c r="AJ3" s="7">
        <f t="shared" si="10"/>
        <v>8468</v>
      </c>
      <c r="AK3" s="7">
        <f t="shared" si="10"/>
        <v>8468</v>
      </c>
      <c r="AL3" s="7">
        <f t="shared" si="10"/>
        <v>8468</v>
      </c>
      <c r="AM3" s="7">
        <f t="shared" si="10"/>
        <v>8468</v>
      </c>
      <c r="AN3" s="7">
        <f t="shared" si="10"/>
        <v>8468</v>
      </c>
      <c r="AO3" s="7">
        <f t="shared" si="10"/>
        <v>8468</v>
      </c>
      <c r="AP3" s="7">
        <f t="shared" si="10"/>
        <v>0</v>
      </c>
      <c r="AQ3" s="7">
        <f t="shared" si="10"/>
        <v>0</v>
      </c>
      <c r="AR3" s="7">
        <f t="shared" si="10"/>
        <v>0</v>
      </c>
      <c r="AS3" s="7">
        <f t="shared" si="10"/>
        <v>0</v>
      </c>
      <c r="AT3" s="7">
        <f t="shared" si="10"/>
        <v>0</v>
      </c>
      <c r="AU3" s="7">
        <f t="shared" si="10"/>
        <v>0</v>
      </c>
      <c r="AV3" s="7">
        <f t="shared" si="10"/>
        <v>0</v>
      </c>
      <c r="AW3" s="7">
        <f t="shared" si="10"/>
        <v>0</v>
      </c>
      <c r="AX3" s="7">
        <f t="shared" si="10"/>
        <v>0</v>
      </c>
      <c r="AY3" s="7">
        <f t="shared" si="10"/>
        <v>0</v>
      </c>
      <c r="AZ3" s="7">
        <f t="shared" si="10"/>
        <v>0</v>
      </c>
      <c r="BA3" s="7">
        <f t="shared" si="10"/>
        <v>0</v>
      </c>
      <c r="BB3" s="7">
        <f t="shared" si="10"/>
        <v>0</v>
      </c>
      <c r="BC3" s="7">
        <f t="shared" si="10"/>
        <v>0</v>
      </c>
      <c r="BD3" s="7">
        <f t="shared" si="10"/>
        <v>0</v>
      </c>
      <c r="BE3" s="7">
        <f t="shared" si="10"/>
        <v>0</v>
      </c>
      <c r="BF3" s="7">
        <f t="shared" ref="BF3:CG12" si="11">IF($I3&gt;=BF$2,$U3,0)-IF($I3=BF$2,$S3)-IF($S3&gt;1,$S3,0)+$S3</f>
        <v>0</v>
      </c>
      <c r="BG3" s="7">
        <f t="shared" si="11"/>
        <v>0</v>
      </c>
      <c r="BH3" s="7">
        <f t="shared" si="11"/>
        <v>0</v>
      </c>
      <c r="BI3" s="7">
        <f t="shared" si="11"/>
        <v>0</v>
      </c>
      <c r="BJ3" s="7">
        <f t="shared" si="11"/>
        <v>0</v>
      </c>
      <c r="BK3" s="7">
        <f t="shared" si="11"/>
        <v>0</v>
      </c>
      <c r="BL3" s="7">
        <f t="shared" si="11"/>
        <v>0</v>
      </c>
      <c r="BM3" s="7">
        <f t="shared" si="11"/>
        <v>0</v>
      </c>
      <c r="BN3" s="7">
        <f t="shared" si="11"/>
        <v>0</v>
      </c>
      <c r="BO3" s="7">
        <f t="shared" si="11"/>
        <v>0</v>
      </c>
      <c r="BP3" s="7">
        <f t="shared" si="11"/>
        <v>0</v>
      </c>
      <c r="BQ3" s="7">
        <f t="shared" si="11"/>
        <v>0</v>
      </c>
      <c r="BR3" s="7">
        <f t="shared" si="11"/>
        <v>0</v>
      </c>
      <c r="BS3" s="7">
        <f t="shared" si="11"/>
        <v>0</v>
      </c>
      <c r="BT3" s="7">
        <f t="shared" si="11"/>
        <v>0</v>
      </c>
      <c r="BU3" s="7">
        <f t="shared" si="11"/>
        <v>0</v>
      </c>
      <c r="BV3" s="7">
        <f t="shared" si="11"/>
        <v>0</v>
      </c>
      <c r="BW3" s="7">
        <f t="shared" si="11"/>
        <v>0</v>
      </c>
      <c r="BX3" s="7">
        <f t="shared" si="11"/>
        <v>0</v>
      </c>
      <c r="BY3" s="7">
        <f t="shared" si="11"/>
        <v>0</v>
      </c>
      <c r="BZ3" s="7">
        <f t="shared" si="11"/>
        <v>0</v>
      </c>
      <c r="CA3" s="7">
        <f t="shared" si="11"/>
        <v>0</v>
      </c>
      <c r="CB3" s="7">
        <f t="shared" si="11"/>
        <v>0</v>
      </c>
      <c r="CC3" s="7">
        <f t="shared" si="11"/>
        <v>0</v>
      </c>
      <c r="CD3" s="7">
        <f t="shared" si="11"/>
        <v>0</v>
      </c>
      <c r="CE3" s="7">
        <f t="shared" si="11"/>
        <v>0</v>
      </c>
      <c r="CF3" s="7">
        <f t="shared" si="11"/>
        <v>0</v>
      </c>
      <c r="CG3" s="7">
        <f t="shared" si="11"/>
        <v>0</v>
      </c>
      <c r="CH3" s="6">
        <f t="shared" ref="CH3" si="12">SUM(Y3:CG3)</f>
        <v>0</v>
      </c>
      <c r="CI3" s="5">
        <f t="shared" ref="CI3" si="13">CH3-T3</f>
        <v>0</v>
      </c>
      <c r="CK3" s="5">
        <f>V3*($X3/12)</f>
        <v>0</v>
      </c>
      <c r="CL3" s="5">
        <f t="shared" ref="CL3:DQ3" si="14">HD3*($X3/12)</f>
        <v>0</v>
      </c>
      <c r="CM3" s="5">
        <f t="shared" si="14"/>
        <v>0</v>
      </c>
      <c r="CN3" s="5">
        <f t="shared" si="14"/>
        <v>0</v>
      </c>
      <c r="CO3" s="5">
        <f t="shared" si="14"/>
        <v>0</v>
      </c>
      <c r="CP3" s="5">
        <f t="shared" si="14"/>
        <v>0</v>
      </c>
      <c r="CQ3" s="5">
        <f t="shared" si="14"/>
        <v>0</v>
      </c>
      <c r="CR3" s="5">
        <f t="shared" si="14"/>
        <v>0</v>
      </c>
      <c r="CS3" s="5">
        <f t="shared" si="14"/>
        <v>0</v>
      </c>
      <c r="CT3" s="5">
        <f t="shared" si="14"/>
        <v>0</v>
      </c>
      <c r="CU3" s="5">
        <f t="shared" si="14"/>
        <v>0</v>
      </c>
      <c r="CV3" s="5">
        <f t="shared" si="14"/>
        <v>0</v>
      </c>
      <c r="CW3" s="5">
        <f t="shared" si="14"/>
        <v>0</v>
      </c>
      <c r="CX3" s="5">
        <f t="shared" si="14"/>
        <v>0</v>
      </c>
      <c r="CY3" s="5">
        <f t="shared" si="14"/>
        <v>0</v>
      </c>
      <c r="CZ3" s="5">
        <f t="shared" si="14"/>
        <v>0</v>
      </c>
      <c r="DA3" s="5">
        <f t="shared" si="14"/>
        <v>0</v>
      </c>
      <c r="DB3" s="5">
        <f t="shared" si="14"/>
        <v>0</v>
      </c>
      <c r="DC3" s="5">
        <f t="shared" si="14"/>
        <v>0</v>
      </c>
      <c r="DD3" s="5">
        <f t="shared" si="14"/>
        <v>0</v>
      </c>
      <c r="DE3" s="5">
        <f t="shared" si="14"/>
        <v>0</v>
      </c>
      <c r="DF3" s="5">
        <f t="shared" si="14"/>
        <v>0</v>
      </c>
      <c r="DG3" s="5">
        <f t="shared" si="14"/>
        <v>0</v>
      </c>
      <c r="DH3" s="5">
        <f t="shared" si="14"/>
        <v>0</v>
      </c>
      <c r="DI3" s="5">
        <f t="shared" si="14"/>
        <v>0</v>
      </c>
      <c r="DJ3" s="5">
        <f t="shared" si="14"/>
        <v>0</v>
      </c>
      <c r="DK3" s="5">
        <f t="shared" si="14"/>
        <v>0</v>
      </c>
      <c r="DL3" s="5">
        <f t="shared" si="14"/>
        <v>0</v>
      </c>
      <c r="DM3" s="5">
        <f t="shared" si="14"/>
        <v>0</v>
      </c>
      <c r="DN3" s="5">
        <f t="shared" si="14"/>
        <v>0</v>
      </c>
      <c r="DO3" s="5">
        <f t="shared" si="14"/>
        <v>0</v>
      </c>
      <c r="DP3" s="5">
        <f t="shared" si="14"/>
        <v>0</v>
      </c>
      <c r="DQ3" s="5">
        <f t="shared" si="14"/>
        <v>0</v>
      </c>
      <c r="DR3" s="5">
        <f t="shared" ref="DR3:ER3" si="15">IJ3*($X3/12)</f>
        <v>0</v>
      </c>
      <c r="DS3" s="5">
        <f t="shared" si="15"/>
        <v>0</v>
      </c>
      <c r="DT3" s="5">
        <f t="shared" si="15"/>
        <v>0</v>
      </c>
      <c r="DU3" s="5">
        <f t="shared" si="15"/>
        <v>0</v>
      </c>
      <c r="DV3" s="5">
        <f t="shared" si="15"/>
        <v>0</v>
      </c>
      <c r="DW3" s="5">
        <f t="shared" si="15"/>
        <v>0</v>
      </c>
      <c r="DX3" s="5">
        <f t="shared" si="15"/>
        <v>0</v>
      </c>
      <c r="DY3" s="5">
        <f t="shared" si="15"/>
        <v>0</v>
      </c>
      <c r="DZ3" s="5">
        <f t="shared" si="15"/>
        <v>0</v>
      </c>
      <c r="EA3" s="5">
        <f t="shared" si="15"/>
        <v>0</v>
      </c>
      <c r="EB3" s="5">
        <f t="shared" si="15"/>
        <v>0</v>
      </c>
      <c r="EC3" s="5">
        <f t="shared" si="15"/>
        <v>0</v>
      </c>
      <c r="ED3" s="5">
        <f t="shared" si="15"/>
        <v>0</v>
      </c>
      <c r="EE3" s="5">
        <f t="shared" si="15"/>
        <v>0</v>
      </c>
      <c r="EF3" s="5">
        <f t="shared" si="15"/>
        <v>0</v>
      </c>
      <c r="EG3" s="5">
        <f t="shared" si="15"/>
        <v>0</v>
      </c>
      <c r="EH3" s="5">
        <f t="shared" si="15"/>
        <v>0</v>
      </c>
      <c r="EI3" s="5">
        <f t="shared" si="15"/>
        <v>0</v>
      </c>
      <c r="EJ3" s="5">
        <f t="shared" si="15"/>
        <v>0</v>
      </c>
      <c r="EK3" s="5">
        <f t="shared" si="15"/>
        <v>0</v>
      </c>
      <c r="EL3" s="5">
        <f t="shared" si="15"/>
        <v>0</v>
      </c>
      <c r="EM3" s="5">
        <f t="shared" si="15"/>
        <v>0</v>
      </c>
      <c r="EN3" s="5">
        <f t="shared" si="15"/>
        <v>0</v>
      </c>
      <c r="EO3" s="5">
        <f t="shared" si="15"/>
        <v>0</v>
      </c>
      <c r="EP3" s="5">
        <f t="shared" si="15"/>
        <v>0</v>
      </c>
      <c r="EQ3" s="5">
        <f t="shared" si="15"/>
        <v>0</v>
      </c>
      <c r="ER3" s="5">
        <f t="shared" si="15"/>
        <v>0</v>
      </c>
      <c r="ET3" s="5">
        <f t="shared" ref="ET3:FY3" si="16">Z3-CK3</f>
        <v>8468</v>
      </c>
      <c r="EU3" s="5">
        <f t="shared" si="16"/>
        <v>8468</v>
      </c>
      <c r="EV3" s="5">
        <f t="shared" si="16"/>
        <v>8468</v>
      </c>
      <c r="EW3" s="5">
        <f t="shared" si="16"/>
        <v>8468</v>
      </c>
      <c r="EX3" s="5">
        <f t="shared" si="16"/>
        <v>8468</v>
      </c>
      <c r="EY3" s="5">
        <f t="shared" si="16"/>
        <v>8468</v>
      </c>
      <c r="EZ3" s="5">
        <f t="shared" si="16"/>
        <v>8468</v>
      </c>
      <c r="FA3" s="5">
        <f t="shared" si="16"/>
        <v>8468</v>
      </c>
      <c r="FB3" s="5">
        <f t="shared" si="16"/>
        <v>8468</v>
      </c>
      <c r="FC3" s="5">
        <f t="shared" si="16"/>
        <v>8468</v>
      </c>
      <c r="FD3" s="5">
        <f t="shared" si="16"/>
        <v>8468</v>
      </c>
      <c r="FE3" s="5">
        <f t="shared" si="16"/>
        <v>8468</v>
      </c>
      <c r="FF3" s="5">
        <f t="shared" si="16"/>
        <v>8468</v>
      </c>
      <c r="FG3" s="5">
        <f t="shared" si="16"/>
        <v>8468</v>
      </c>
      <c r="FH3" s="5">
        <f t="shared" si="16"/>
        <v>8468</v>
      </c>
      <c r="FI3" s="5">
        <f t="shared" si="16"/>
        <v>8468</v>
      </c>
      <c r="FJ3" s="5">
        <f t="shared" si="16"/>
        <v>0</v>
      </c>
      <c r="FK3" s="5">
        <f t="shared" si="16"/>
        <v>0</v>
      </c>
      <c r="FL3" s="5">
        <f t="shared" si="16"/>
        <v>0</v>
      </c>
      <c r="FM3" s="5">
        <f t="shared" si="16"/>
        <v>0</v>
      </c>
      <c r="FN3" s="5">
        <f t="shared" si="16"/>
        <v>0</v>
      </c>
      <c r="FO3" s="5">
        <f t="shared" si="16"/>
        <v>0</v>
      </c>
      <c r="FP3" s="5">
        <f t="shared" si="16"/>
        <v>0</v>
      </c>
      <c r="FQ3" s="5">
        <f t="shared" si="16"/>
        <v>0</v>
      </c>
      <c r="FR3" s="5">
        <f t="shared" si="16"/>
        <v>0</v>
      </c>
      <c r="FS3" s="5">
        <f t="shared" si="16"/>
        <v>0</v>
      </c>
      <c r="FT3" s="5">
        <f t="shared" si="16"/>
        <v>0</v>
      </c>
      <c r="FU3" s="5">
        <f t="shared" si="16"/>
        <v>0</v>
      </c>
      <c r="FV3" s="5">
        <f t="shared" si="16"/>
        <v>0</v>
      </c>
      <c r="FW3" s="5">
        <f t="shared" si="16"/>
        <v>0</v>
      </c>
      <c r="FX3" s="5">
        <f t="shared" si="16"/>
        <v>0</v>
      </c>
      <c r="FY3" s="5">
        <f t="shared" si="16"/>
        <v>0</v>
      </c>
      <c r="FZ3" s="5">
        <f t="shared" ref="FZ3:HA3" si="17">BF3-DQ3</f>
        <v>0</v>
      </c>
      <c r="GA3" s="5">
        <f t="shared" si="17"/>
        <v>0</v>
      </c>
      <c r="GB3" s="5">
        <f t="shared" si="17"/>
        <v>0</v>
      </c>
      <c r="GC3" s="5">
        <f t="shared" si="17"/>
        <v>0</v>
      </c>
      <c r="GD3" s="5">
        <f t="shared" si="17"/>
        <v>0</v>
      </c>
      <c r="GE3" s="5">
        <f t="shared" si="17"/>
        <v>0</v>
      </c>
      <c r="GF3" s="5">
        <f t="shared" si="17"/>
        <v>0</v>
      </c>
      <c r="GG3" s="5">
        <f t="shared" si="17"/>
        <v>0</v>
      </c>
      <c r="GH3" s="5">
        <f t="shared" si="17"/>
        <v>0</v>
      </c>
      <c r="GI3" s="5">
        <f t="shared" si="17"/>
        <v>0</v>
      </c>
      <c r="GJ3" s="5">
        <f t="shared" si="17"/>
        <v>0</v>
      </c>
      <c r="GK3" s="5">
        <f t="shared" si="17"/>
        <v>0</v>
      </c>
      <c r="GL3" s="5">
        <f t="shared" si="17"/>
        <v>0</v>
      </c>
      <c r="GM3" s="5">
        <f t="shared" si="17"/>
        <v>0</v>
      </c>
      <c r="GN3" s="5">
        <f t="shared" si="17"/>
        <v>0</v>
      </c>
      <c r="GO3" s="5">
        <f t="shared" si="17"/>
        <v>0</v>
      </c>
      <c r="GP3" s="5">
        <f t="shared" si="17"/>
        <v>0</v>
      </c>
      <c r="GQ3" s="5">
        <f t="shared" si="17"/>
        <v>0</v>
      </c>
      <c r="GR3" s="5">
        <f t="shared" si="17"/>
        <v>0</v>
      </c>
      <c r="GS3" s="5">
        <f t="shared" si="17"/>
        <v>0</v>
      </c>
      <c r="GT3" s="5">
        <f t="shared" si="17"/>
        <v>0</v>
      </c>
      <c r="GU3" s="5">
        <f t="shared" si="17"/>
        <v>0</v>
      </c>
      <c r="GV3" s="5">
        <f t="shared" si="17"/>
        <v>0</v>
      </c>
      <c r="GW3" s="5">
        <f t="shared" si="17"/>
        <v>0</v>
      </c>
      <c r="GX3" s="5">
        <f t="shared" si="17"/>
        <v>0</v>
      </c>
      <c r="GY3" s="5">
        <f t="shared" si="17"/>
        <v>0</v>
      </c>
      <c r="GZ3" s="5">
        <f t="shared" si="17"/>
        <v>0</v>
      </c>
      <c r="HA3" s="5">
        <f t="shared" si="17"/>
        <v>0</v>
      </c>
      <c r="HC3" s="6">
        <f t="shared" ref="HC3" si="18">V3</f>
        <v>135488</v>
      </c>
      <c r="HD3" s="5">
        <f t="shared" ref="HD3" si="19">V3-ET3</f>
        <v>127020</v>
      </c>
      <c r="HE3" s="5">
        <f t="shared" ref="HE3:IJ3" si="20">HD3-EU3</f>
        <v>118552</v>
      </c>
      <c r="HF3" s="5">
        <f t="shared" si="20"/>
        <v>110084</v>
      </c>
      <c r="HG3" s="5">
        <f t="shared" si="20"/>
        <v>101616</v>
      </c>
      <c r="HH3" s="5">
        <f t="shared" si="20"/>
        <v>93148</v>
      </c>
      <c r="HI3" s="5">
        <f t="shared" si="20"/>
        <v>84680</v>
      </c>
      <c r="HJ3" s="5">
        <f t="shared" si="20"/>
        <v>76212</v>
      </c>
      <c r="HK3" s="5">
        <f t="shared" si="20"/>
        <v>67744</v>
      </c>
      <c r="HL3" s="5">
        <f t="shared" si="20"/>
        <v>59276</v>
      </c>
      <c r="HM3" s="5">
        <f t="shared" si="20"/>
        <v>50808</v>
      </c>
      <c r="HN3" s="5">
        <f t="shared" si="20"/>
        <v>42340</v>
      </c>
      <c r="HO3" s="5">
        <f t="shared" si="20"/>
        <v>33872</v>
      </c>
      <c r="HP3" s="5">
        <f t="shared" si="20"/>
        <v>25404</v>
      </c>
      <c r="HQ3" s="5">
        <f t="shared" si="20"/>
        <v>16936</v>
      </c>
      <c r="HR3" s="5">
        <f t="shared" si="20"/>
        <v>8468</v>
      </c>
      <c r="HS3" s="5">
        <f t="shared" si="20"/>
        <v>0</v>
      </c>
      <c r="HT3" s="5">
        <f t="shared" si="20"/>
        <v>0</v>
      </c>
      <c r="HU3" s="5">
        <f t="shared" si="20"/>
        <v>0</v>
      </c>
      <c r="HV3" s="5">
        <f t="shared" si="20"/>
        <v>0</v>
      </c>
      <c r="HW3" s="5">
        <f t="shared" si="20"/>
        <v>0</v>
      </c>
      <c r="HX3" s="5">
        <f t="shared" si="20"/>
        <v>0</v>
      </c>
      <c r="HY3" s="5">
        <f t="shared" si="20"/>
        <v>0</v>
      </c>
      <c r="HZ3" s="5">
        <f t="shared" si="20"/>
        <v>0</v>
      </c>
      <c r="IA3" s="5">
        <f t="shared" si="20"/>
        <v>0</v>
      </c>
      <c r="IB3" s="5">
        <f t="shared" si="20"/>
        <v>0</v>
      </c>
      <c r="IC3" s="5">
        <f t="shared" si="20"/>
        <v>0</v>
      </c>
      <c r="ID3" s="5">
        <f t="shared" si="20"/>
        <v>0</v>
      </c>
      <c r="IE3" s="5">
        <f t="shared" si="20"/>
        <v>0</v>
      </c>
      <c r="IF3" s="5">
        <f t="shared" si="20"/>
        <v>0</v>
      </c>
      <c r="IG3" s="5">
        <f t="shared" si="20"/>
        <v>0</v>
      </c>
      <c r="IH3" s="5">
        <f t="shared" si="20"/>
        <v>0</v>
      </c>
      <c r="II3" s="5">
        <f t="shared" si="20"/>
        <v>0</v>
      </c>
      <c r="IJ3" s="5">
        <f t="shared" si="20"/>
        <v>0</v>
      </c>
      <c r="IK3" s="5">
        <f t="shared" ref="IK3:JK3" si="21">IJ3-GA3</f>
        <v>0</v>
      </c>
      <c r="IL3" s="5">
        <f t="shared" si="21"/>
        <v>0</v>
      </c>
      <c r="IM3" s="5">
        <f t="shared" si="21"/>
        <v>0</v>
      </c>
      <c r="IN3" s="5">
        <f t="shared" si="21"/>
        <v>0</v>
      </c>
      <c r="IO3" s="5">
        <f t="shared" si="21"/>
        <v>0</v>
      </c>
      <c r="IP3" s="5">
        <f t="shared" si="21"/>
        <v>0</v>
      </c>
      <c r="IQ3" s="5">
        <f t="shared" si="21"/>
        <v>0</v>
      </c>
      <c r="IR3" s="5">
        <f t="shared" si="21"/>
        <v>0</v>
      </c>
      <c r="IS3" s="5">
        <f t="shared" si="21"/>
        <v>0</v>
      </c>
      <c r="IT3" s="5">
        <f t="shared" si="21"/>
        <v>0</v>
      </c>
      <c r="IU3" s="5">
        <f t="shared" si="21"/>
        <v>0</v>
      </c>
      <c r="IV3" s="5">
        <f t="shared" si="21"/>
        <v>0</v>
      </c>
      <c r="IW3" s="5">
        <f t="shared" si="21"/>
        <v>0</v>
      </c>
      <c r="IX3" s="5">
        <f t="shared" si="21"/>
        <v>0</v>
      </c>
      <c r="IY3" s="5">
        <f t="shared" si="21"/>
        <v>0</v>
      </c>
      <c r="IZ3" s="5">
        <f t="shared" si="21"/>
        <v>0</v>
      </c>
      <c r="JA3" s="5">
        <f t="shared" si="21"/>
        <v>0</v>
      </c>
      <c r="JB3" s="5">
        <f t="shared" si="21"/>
        <v>0</v>
      </c>
      <c r="JC3" s="5">
        <f t="shared" si="21"/>
        <v>0</v>
      </c>
      <c r="JD3" s="5">
        <f t="shared" si="21"/>
        <v>0</v>
      </c>
      <c r="JE3" s="5">
        <f t="shared" si="21"/>
        <v>0</v>
      </c>
      <c r="JF3" s="5">
        <f t="shared" si="21"/>
        <v>0</v>
      </c>
      <c r="JG3" s="5">
        <f t="shared" si="21"/>
        <v>0</v>
      </c>
      <c r="JH3" s="5">
        <f t="shared" si="21"/>
        <v>0</v>
      </c>
      <c r="JI3" s="5">
        <f t="shared" si="21"/>
        <v>0</v>
      </c>
      <c r="JJ3" s="5">
        <f t="shared" si="21"/>
        <v>0</v>
      </c>
      <c r="JK3" s="5">
        <f t="shared" si="21"/>
        <v>0</v>
      </c>
      <c r="JM3" s="19">
        <f>KC3</f>
        <v>0</v>
      </c>
      <c r="JN3" s="1">
        <v>1</v>
      </c>
      <c r="JO3" s="5">
        <f>HLOOKUP(JM3,HC$2:JK3,2,0)-IF(KE3&gt;0,KE3,0)</f>
        <v>135488</v>
      </c>
      <c r="JP3" s="5">
        <f>JO3*($X3/360)</f>
        <v>0</v>
      </c>
      <c r="JQ3" s="17">
        <v>46073</v>
      </c>
      <c r="JR3" s="17">
        <v>46094</v>
      </c>
      <c r="JS3" s="6">
        <f>JR3-JQ3</f>
        <v>21</v>
      </c>
      <c r="JT3" s="5">
        <f>(JS3)*JP3</f>
        <v>0</v>
      </c>
      <c r="JU3" s="13">
        <f t="shared" ref="JU3:JU22" ca="1" si="22">TODAY()</f>
        <v>46161</v>
      </c>
      <c r="JV3" s="6">
        <f>JT3+JO3</f>
        <v>135488</v>
      </c>
      <c r="JW3" s="6"/>
      <c r="JX3" s="6"/>
      <c r="JY3" s="6">
        <f>JX3-JW3</f>
        <v>0</v>
      </c>
      <c r="JZ3" s="10">
        <f>JY3/U3</f>
        <v>0</v>
      </c>
      <c r="KA3" s="10">
        <f>JZ3-J3</f>
        <v>0</v>
      </c>
      <c r="KB3" s="10">
        <f>ROUNDDOWN(JZ3,0)</f>
        <v>0</v>
      </c>
      <c r="KC3" s="10">
        <f>KB3-J3</f>
        <v>0</v>
      </c>
      <c r="KD3" s="5">
        <f>KB3*U3</f>
        <v>0</v>
      </c>
      <c r="KE3" s="6">
        <f>JY3-KD3</f>
        <v>0</v>
      </c>
      <c r="KG3" s="26"/>
      <c r="KH3" s="38"/>
      <c r="KI3" s="6"/>
    </row>
    <row r="4" spans="1:297" x14ac:dyDescent="0.3">
      <c r="C4" s="14" t="e">
        <f>VLOOKUP(B4,DD!A:B,2,0)</f>
        <v>#N/A</v>
      </c>
      <c r="D4" s="1" t="e">
        <f>VLOOKUP(B4,DD!A:K,11,0)</f>
        <v>#N/A</v>
      </c>
      <c r="E4" s="1" t="e">
        <f>VLOOKUP(B4,DD!A:L,12,0)</f>
        <v>#N/A</v>
      </c>
      <c r="F4" s="17" t="e">
        <f>VLOOKUP(B4,DD!A:D,4,0)</f>
        <v>#N/A</v>
      </c>
      <c r="G4" s="9">
        <v>1</v>
      </c>
      <c r="H4" s="3" t="e">
        <f>VLOOKUP(B4,DD!A:E,5,0)</f>
        <v>#N/A</v>
      </c>
      <c r="I4" s="3" t="e">
        <f t="shared" ref="I4:I11" si="23">H4-J4</f>
        <v>#N/A</v>
      </c>
      <c r="J4" s="3" t="e">
        <f>VLOOKUP(B4,DD!A:F,6,0)</f>
        <v>#N/A</v>
      </c>
      <c r="K4" s="3" t="e">
        <f>VLOOKUP(B4,DD!A:H,8,0)</f>
        <v>#N/A</v>
      </c>
      <c r="L4" s="3" t="e">
        <f>VLOOKUP(B4,DD!A:I,9,0)</f>
        <v>#N/A</v>
      </c>
      <c r="M4" s="3" t="e">
        <f>VLOOKUP(B4,DD!A:J,10,0)</f>
        <v>#N/A</v>
      </c>
      <c r="N4" s="3" t="s">
        <v>8</v>
      </c>
      <c r="O4" s="3" t="s">
        <v>9</v>
      </c>
      <c r="P4" s="4" t="e">
        <f>VLOOKUP(B4,DD!A:C,3,0)</f>
        <v>#N/A</v>
      </c>
      <c r="Q4" s="5" t="e">
        <f t="shared" ref="Q4:Q11" si="24">K4/100*P4</f>
        <v>#N/A</v>
      </c>
      <c r="R4" s="5" t="e">
        <f t="shared" ref="R4:R11" si="25">L4/100*P4</f>
        <v>#N/A</v>
      </c>
      <c r="S4" s="5" t="e">
        <f t="shared" ref="S4:S11" si="26">M4/100*(P4-Q4)</f>
        <v>#N/A</v>
      </c>
      <c r="T4" s="6" t="e">
        <f t="shared" ref="T4:T11" si="27">Q4+R4</f>
        <v>#N/A</v>
      </c>
      <c r="U4" s="5" t="e">
        <f t="shared" ref="U4:U11" si="28">(P4/H4)+(R4/H4)</f>
        <v>#N/A</v>
      </c>
      <c r="V4" s="6" t="e">
        <f t="shared" ref="V4:V11" si="29">P4-Q4-S4-W4</f>
        <v>#N/A</v>
      </c>
      <c r="W4" s="7" t="e">
        <f t="shared" ref="W4:W11" si="30">IF(J4&gt;=1,U4*J4,0)</f>
        <v>#N/A</v>
      </c>
      <c r="X4" s="8" t="e">
        <f t="shared" si="8"/>
        <v>#VALUE!</v>
      </c>
      <c r="Y4" s="6" t="e">
        <f t="shared" ref="Y4:Y11" si="31">-V4</f>
        <v>#N/A</v>
      </c>
      <c r="Z4" s="7" t="e">
        <f t="shared" si="10"/>
        <v>#N/A</v>
      </c>
      <c r="AA4" s="7" t="e">
        <f t="shared" si="10"/>
        <v>#N/A</v>
      </c>
      <c r="AB4" s="7" t="e">
        <f t="shared" si="10"/>
        <v>#N/A</v>
      </c>
      <c r="AC4" s="7" t="e">
        <f t="shared" si="10"/>
        <v>#N/A</v>
      </c>
      <c r="AD4" s="7" t="e">
        <f t="shared" si="10"/>
        <v>#N/A</v>
      </c>
      <c r="AE4" s="7" t="e">
        <f t="shared" si="10"/>
        <v>#N/A</v>
      </c>
      <c r="AF4" s="7" t="e">
        <f t="shared" si="10"/>
        <v>#N/A</v>
      </c>
      <c r="AG4" s="7" t="e">
        <f t="shared" si="10"/>
        <v>#N/A</v>
      </c>
      <c r="AH4" s="7" t="e">
        <f t="shared" si="10"/>
        <v>#N/A</v>
      </c>
      <c r="AI4" s="7" t="e">
        <f t="shared" si="10"/>
        <v>#N/A</v>
      </c>
      <c r="AJ4" s="7" t="e">
        <f t="shared" si="10"/>
        <v>#N/A</v>
      </c>
      <c r="AK4" s="7" t="e">
        <f t="shared" si="10"/>
        <v>#N/A</v>
      </c>
      <c r="AL4" s="7" t="e">
        <f t="shared" si="10"/>
        <v>#N/A</v>
      </c>
      <c r="AM4" s="7" t="e">
        <f t="shared" si="10"/>
        <v>#N/A</v>
      </c>
      <c r="AN4" s="7" t="e">
        <f t="shared" si="10"/>
        <v>#N/A</v>
      </c>
      <c r="AO4" s="7" t="e">
        <f t="shared" si="10"/>
        <v>#N/A</v>
      </c>
      <c r="AP4" s="7" t="e">
        <f t="shared" si="10"/>
        <v>#N/A</v>
      </c>
      <c r="AQ4" s="7" t="e">
        <f t="shared" si="10"/>
        <v>#N/A</v>
      </c>
      <c r="AR4" s="7" t="e">
        <f t="shared" si="10"/>
        <v>#N/A</v>
      </c>
      <c r="AS4" s="7" t="e">
        <f t="shared" si="10"/>
        <v>#N/A</v>
      </c>
      <c r="AT4" s="7" t="e">
        <f t="shared" si="10"/>
        <v>#N/A</v>
      </c>
      <c r="AU4" s="7" t="e">
        <f t="shared" si="10"/>
        <v>#N/A</v>
      </c>
      <c r="AV4" s="7" t="e">
        <f t="shared" si="10"/>
        <v>#N/A</v>
      </c>
      <c r="AW4" s="7" t="e">
        <f t="shared" si="10"/>
        <v>#N/A</v>
      </c>
      <c r="AX4" s="7" t="e">
        <f t="shared" si="10"/>
        <v>#N/A</v>
      </c>
      <c r="AY4" s="7" t="e">
        <f t="shared" si="10"/>
        <v>#N/A</v>
      </c>
      <c r="AZ4" s="7" t="e">
        <f t="shared" si="10"/>
        <v>#N/A</v>
      </c>
      <c r="BA4" s="7" t="e">
        <f t="shared" si="10"/>
        <v>#N/A</v>
      </c>
      <c r="BB4" s="7" t="e">
        <f t="shared" si="10"/>
        <v>#N/A</v>
      </c>
      <c r="BC4" s="7" t="e">
        <f t="shared" si="10"/>
        <v>#N/A</v>
      </c>
      <c r="BD4" s="7" t="e">
        <f t="shared" si="10"/>
        <v>#N/A</v>
      </c>
      <c r="BE4" s="7" t="e">
        <f t="shared" si="10"/>
        <v>#N/A</v>
      </c>
      <c r="BF4" s="7" t="e">
        <f t="shared" si="11"/>
        <v>#N/A</v>
      </c>
      <c r="BG4" s="7" t="e">
        <f t="shared" si="11"/>
        <v>#N/A</v>
      </c>
      <c r="BH4" s="7" t="e">
        <f t="shared" si="11"/>
        <v>#N/A</v>
      </c>
      <c r="BI4" s="7" t="e">
        <f t="shared" si="11"/>
        <v>#N/A</v>
      </c>
      <c r="BJ4" s="7" t="e">
        <f t="shared" si="11"/>
        <v>#N/A</v>
      </c>
      <c r="BK4" s="7" t="e">
        <f t="shared" si="11"/>
        <v>#N/A</v>
      </c>
      <c r="BL4" s="7" t="e">
        <f t="shared" si="11"/>
        <v>#N/A</v>
      </c>
      <c r="BM4" s="7" t="e">
        <f t="shared" si="11"/>
        <v>#N/A</v>
      </c>
      <c r="BN4" s="7" t="e">
        <f t="shared" si="11"/>
        <v>#N/A</v>
      </c>
      <c r="BO4" s="7" t="e">
        <f t="shared" si="11"/>
        <v>#N/A</v>
      </c>
      <c r="BP4" s="7" t="e">
        <f t="shared" si="11"/>
        <v>#N/A</v>
      </c>
      <c r="BQ4" s="7" t="e">
        <f t="shared" si="11"/>
        <v>#N/A</v>
      </c>
      <c r="BR4" s="7" t="e">
        <f t="shared" si="11"/>
        <v>#N/A</v>
      </c>
      <c r="BS4" s="7" t="e">
        <f t="shared" si="11"/>
        <v>#N/A</v>
      </c>
      <c r="BT4" s="7" t="e">
        <f t="shared" si="11"/>
        <v>#N/A</v>
      </c>
      <c r="BU4" s="7" t="e">
        <f t="shared" si="11"/>
        <v>#N/A</v>
      </c>
      <c r="BV4" s="7" t="e">
        <f t="shared" si="11"/>
        <v>#N/A</v>
      </c>
      <c r="BW4" s="7" t="e">
        <f t="shared" si="11"/>
        <v>#N/A</v>
      </c>
      <c r="BX4" s="7" t="e">
        <f t="shared" si="11"/>
        <v>#N/A</v>
      </c>
      <c r="BY4" s="7" t="e">
        <f t="shared" si="11"/>
        <v>#N/A</v>
      </c>
      <c r="BZ4" s="7" t="e">
        <f t="shared" si="11"/>
        <v>#N/A</v>
      </c>
      <c r="CA4" s="7" t="e">
        <f t="shared" si="11"/>
        <v>#N/A</v>
      </c>
      <c r="CB4" s="7" t="e">
        <f t="shared" si="11"/>
        <v>#N/A</v>
      </c>
      <c r="CC4" s="7" t="e">
        <f t="shared" si="11"/>
        <v>#N/A</v>
      </c>
      <c r="CD4" s="7" t="e">
        <f t="shared" si="11"/>
        <v>#N/A</v>
      </c>
      <c r="CE4" s="7" t="e">
        <f t="shared" si="11"/>
        <v>#N/A</v>
      </c>
      <c r="CF4" s="7" t="e">
        <f t="shared" si="11"/>
        <v>#N/A</v>
      </c>
      <c r="CG4" s="7" t="e">
        <f t="shared" si="11"/>
        <v>#N/A</v>
      </c>
      <c r="CH4" s="6" t="e">
        <f t="shared" ref="CH4:CH11" si="32">SUM(Y4:CG4)</f>
        <v>#N/A</v>
      </c>
      <c r="CI4" s="5" t="e">
        <f t="shared" ref="CI4:CI11" si="33">CH4-T4</f>
        <v>#N/A</v>
      </c>
      <c r="CK4" s="5" t="e">
        <f t="shared" ref="CK4:CK11" si="34">V4*($X4/12)</f>
        <v>#N/A</v>
      </c>
      <c r="CL4" s="5" t="e">
        <f t="shared" ref="CL4:CL11" si="35">HD4*($X4/12)</f>
        <v>#N/A</v>
      </c>
      <c r="CM4" s="5" t="e">
        <f t="shared" ref="CM4:CM11" si="36">HE4*($X4/12)</f>
        <v>#N/A</v>
      </c>
      <c r="CN4" s="5" t="e">
        <f t="shared" ref="CN4:CN11" si="37">HF4*($X4/12)</f>
        <v>#N/A</v>
      </c>
      <c r="CO4" s="5" t="e">
        <f t="shared" ref="CO4:CO11" si="38">HG4*($X4/12)</f>
        <v>#N/A</v>
      </c>
      <c r="CP4" s="5" t="e">
        <f t="shared" ref="CP4:CP11" si="39">HH4*($X4/12)</f>
        <v>#N/A</v>
      </c>
      <c r="CQ4" s="5" t="e">
        <f t="shared" ref="CQ4:CQ11" si="40">HI4*($X4/12)</f>
        <v>#N/A</v>
      </c>
      <c r="CR4" s="5" t="e">
        <f t="shared" ref="CR4:CR11" si="41">HJ4*($X4/12)</f>
        <v>#N/A</v>
      </c>
      <c r="CS4" s="5" t="e">
        <f t="shared" ref="CS4:CS11" si="42">HK4*($X4/12)</f>
        <v>#N/A</v>
      </c>
      <c r="CT4" s="5" t="e">
        <f t="shared" ref="CT4:CT11" si="43">HL4*($X4/12)</f>
        <v>#N/A</v>
      </c>
      <c r="CU4" s="5" t="e">
        <f t="shared" ref="CU4:CU11" si="44">HM4*($X4/12)</f>
        <v>#N/A</v>
      </c>
      <c r="CV4" s="5" t="e">
        <f t="shared" ref="CV4:CV11" si="45">HN4*($X4/12)</f>
        <v>#N/A</v>
      </c>
      <c r="CW4" s="5" t="e">
        <f t="shared" ref="CW4:CW11" si="46">HO4*($X4/12)</f>
        <v>#N/A</v>
      </c>
      <c r="CX4" s="5" t="e">
        <f t="shared" ref="CX4:CX11" si="47">HP4*($X4/12)</f>
        <v>#N/A</v>
      </c>
      <c r="CY4" s="5" t="e">
        <f t="shared" ref="CY4:CY11" si="48">HQ4*($X4/12)</f>
        <v>#N/A</v>
      </c>
      <c r="CZ4" s="5" t="e">
        <f t="shared" ref="CZ4:CZ11" si="49">HR4*($X4/12)</f>
        <v>#N/A</v>
      </c>
      <c r="DA4" s="5" t="e">
        <f t="shared" ref="DA4:DA11" si="50">HS4*($X4/12)</f>
        <v>#N/A</v>
      </c>
      <c r="DB4" s="5" t="e">
        <f t="shared" ref="DB4:DB11" si="51">HT4*($X4/12)</f>
        <v>#N/A</v>
      </c>
      <c r="DC4" s="5" t="e">
        <f t="shared" ref="DC4:DC11" si="52">HU4*($X4/12)</f>
        <v>#N/A</v>
      </c>
      <c r="DD4" s="5" t="e">
        <f t="shared" ref="DD4:DD11" si="53">HV4*($X4/12)</f>
        <v>#N/A</v>
      </c>
      <c r="DE4" s="5" t="e">
        <f t="shared" ref="DE4:DE11" si="54">HW4*($X4/12)</f>
        <v>#N/A</v>
      </c>
      <c r="DF4" s="5" t="e">
        <f t="shared" ref="DF4:DF11" si="55">HX4*($X4/12)</f>
        <v>#N/A</v>
      </c>
      <c r="DG4" s="5" t="e">
        <f t="shared" ref="DG4:DG11" si="56">HY4*($X4/12)</f>
        <v>#N/A</v>
      </c>
      <c r="DH4" s="5" t="e">
        <f t="shared" ref="DH4:DH11" si="57">HZ4*($X4/12)</f>
        <v>#N/A</v>
      </c>
      <c r="DI4" s="5" t="e">
        <f t="shared" ref="DI4:DI11" si="58">IA4*($X4/12)</f>
        <v>#N/A</v>
      </c>
      <c r="DJ4" s="5" t="e">
        <f t="shared" ref="DJ4:DJ11" si="59">IB4*($X4/12)</f>
        <v>#N/A</v>
      </c>
      <c r="DK4" s="5" t="e">
        <f t="shared" ref="DK4:DK11" si="60">IC4*($X4/12)</f>
        <v>#N/A</v>
      </c>
      <c r="DL4" s="5" t="e">
        <f t="shared" ref="DL4:DL11" si="61">ID4*($X4/12)</f>
        <v>#N/A</v>
      </c>
      <c r="DM4" s="5" t="e">
        <f t="shared" ref="DM4:DM11" si="62">IE4*($X4/12)</f>
        <v>#N/A</v>
      </c>
      <c r="DN4" s="5" t="e">
        <f t="shared" ref="DN4:DN11" si="63">IF4*($X4/12)</f>
        <v>#N/A</v>
      </c>
      <c r="DO4" s="5" t="e">
        <f t="shared" ref="DO4:DO11" si="64">IG4*($X4/12)</f>
        <v>#N/A</v>
      </c>
      <c r="DP4" s="5" t="e">
        <f t="shared" ref="DP4:DP11" si="65">IH4*($X4/12)</f>
        <v>#N/A</v>
      </c>
      <c r="DQ4" s="5" t="e">
        <f t="shared" ref="DQ4:DQ11" si="66">II4*($X4/12)</f>
        <v>#N/A</v>
      </c>
      <c r="DR4" s="5" t="e">
        <f t="shared" ref="DR4:DR11" si="67">IJ4*($X4/12)</f>
        <v>#N/A</v>
      </c>
      <c r="DS4" s="5" t="e">
        <f t="shared" ref="DS4:DS11" si="68">IK4*($X4/12)</f>
        <v>#N/A</v>
      </c>
      <c r="DT4" s="5" t="e">
        <f t="shared" ref="DT4:DT11" si="69">IL4*($X4/12)</f>
        <v>#N/A</v>
      </c>
      <c r="DU4" s="5" t="e">
        <f t="shared" ref="DU4:DU11" si="70">IM4*($X4/12)</f>
        <v>#N/A</v>
      </c>
      <c r="DV4" s="5" t="e">
        <f t="shared" ref="DV4:DV11" si="71">IN4*($X4/12)</f>
        <v>#N/A</v>
      </c>
      <c r="DW4" s="5" t="e">
        <f t="shared" ref="DW4:DW11" si="72">IO4*($X4/12)</f>
        <v>#N/A</v>
      </c>
      <c r="DX4" s="5" t="e">
        <f t="shared" ref="DX4:DX11" si="73">IP4*($X4/12)</f>
        <v>#N/A</v>
      </c>
      <c r="DY4" s="5" t="e">
        <f t="shared" ref="DY4:DY11" si="74">IQ4*($X4/12)</f>
        <v>#N/A</v>
      </c>
      <c r="DZ4" s="5" t="e">
        <f t="shared" ref="DZ4:DZ11" si="75">IR4*($X4/12)</f>
        <v>#N/A</v>
      </c>
      <c r="EA4" s="5" t="e">
        <f t="shared" ref="EA4:EA11" si="76">IS4*($X4/12)</f>
        <v>#N/A</v>
      </c>
      <c r="EB4" s="5" t="e">
        <f t="shared" ref="EB4:EB11" si="77">IT4*($X4/12)</f>
        <v>#N/A</v>
      </c>
      <c r="EC4" s="5" t="e">
        <f t="shared" ref="EC4:EC11" si="78">IU4*($X4/12)</f>
        <v>#N/A</v>
      </c>
      <c r="ED4" s="5" t="e">
        <f t="shared" ref="ED4:ED11" si="79">IV4*($X4/12)</f>
        <v>#N/A</v>
      </c>
      <c r="EE4" s="5" t="e">
        <f t="shared" ref="EE4:EE11" si="80">IW4*($X4/12)</f>
        <v>#N/A</v>
      </c>
      <c r="EF4" s="5" t="e">
        <f t="shared" ref="EF4:EF11" si="81">IX4*($X4/12)</f>
        <v>#N/A</v>
      </c>
      <c r="EG4" s="5" t="e">
        <f t="shared" ref="EG4:EG11" si="82">IY4*($X4/12)</f>
        <v>#N/A</v>
      </c>
      <c r="EH4" s="5" t="e">
        <f t="shared" ref="EH4:EH11" si="83">IZ4*($X4/12)</f>
        <v>#N/A</v>
      </c>
      <c r="EI4" s="5" t="e">
        <f t="shared" ref="EI4:EI11" si="84">JA4*($X4/12)</f>
        <v>#N/A</v>
      </c>
      <c r="EJ4" s="5" t="e">
        <f t="shared" ref="EJ4:EJ11" si="85">JB4*($X4/12)</f>
        <v>#N/A</v>
      </c>
      <c r="EK4" s="5" t="e">
        <f t="shared" ref="EK4:EK11" si="86">JC4*($X4/12)</f>
        <v>#N/A</v>
      </c>
      <c r="EL4" s="5" t="e">
        <f t="shared" ref="EL4:EL11" si="87">JD4*($X4/12)</f>
        <v>#N/A</v>
      </c>
      <c r="EM4" s="5" t="e">
        <f t="shared" ref="EM4:EM11" si="88">JE4*($X4/12)</f>
        <v>#N/A</v>
      </c>
      <c r="EN4" s="5" t="e">
        <f t="shared" ref="EN4:EN11" si="89">JF4*($X4/12)</f>
        <v>#N/A</v>
      </c>
      <c r="EO4" s="5" t="e">
        <f t="shared" ref="EO4:EO11" si="90">JG4*($X4/12)</f>
        <v>#N/A</v>
      </c>
      <c r="EP4" s="5" t="e">
        <f t="shared" ref="EP4:EP11" si="91">JH4*($X4/12)</f>
        <v>#N/A</v>
      </c>
      <c r="EQ4" s="5" t="e">
        <f t="shared" ref="EQ4:EQ11" si="92">JI4*($X4/12)</f>
        <v>#N/A</v>
      </c>
      <c r="ER4" s="5" t="e">
        <f t="shared" ref="ER4:ER11" si="93">JJ4*($X4/12)</f>
        <v>#N/A</v>
      </c>
      <c r="ET4" s="5" t="e">
        <f t="shared" ref="ET4:ET11" si="94">Z4-CK4</f>
        <v>#N/A</v>
      </c>
      <c r="EU4" s="5" t="e">
        <f t="shared" ref="EU4:EU11" si="95">AA4-CL4</f>
        <v>#N/A</v>
      </c>
      <c r="EV4" s="5" t="e">
        <f t="shared" ref="EV4:EV11" si="96">AB4-CM4</f>
        <v>#N/A</v>
      </c>
      <c r="EW4" s="5" t="e">
        <f t="shared" ref="EW4:EW11" si="97">AC4-CN4</f>
        <v>#N/A</v>
      </c>
      <c r="EX4" s="5" t="e">
        <f t="shared" ref="EX4:EX11" si="98">AD4-CO4</f>
        <v>#N/A</v>
      </c>
      <c r="EY4" s="5" t="e">
        <f t="shared" ref="EY4:EY11" si="99">AE4-CP4</f>
        <v>#N/A</v>
      </c>
      <c r="EZ4" s="5" t="e">
        <f t="shared" ref="EZ4:EZ11" si="100">AF4-CQ4</f>
        <v>#N/A</v>
      </c>
      <c r="FA4" s="5" t="e">
        <f t="shared" ref="FA4:FA11" si="101">AG4-CR4</f>
        <v>#N/A</v>
      </c>
      <c r="FB4" s="5" t="e">
        <f t="shared" ref="FB4:FB11" si="102">AH4-CS4</f>
        <v>#N/A</v>
      </c>
      <c r="FC4" s="5" t="e">
        <f t="shared" ref="FC4:FC11" si="103">AI4-CT4</f>
        <v>#N/A</v>
      </c>
      <c r="FD4" s="5" t="e">
        <f t="shared" ref="FD4:FD11" si="104">AJ4-CU4</f>
        <v>#N/A</v>
      </c>
      <c r="FE4" s="5" t="e">
        <f t="shared" ref="FE4:FE11" si="105">AK4-CV4</f>
        <v>#N/A</v>
      </c>
      <c r="FF4" s="5" t="e">
        <f t="shared" ref="FF4:FF11" si="106">AL4-CW4</f>
        <v>#N/A</v>
      </c>
      <c r="FG4" s="5" t="e">
        <f t="shared" ref="FG4:FG11" si="107">AM4-CX4</f>
        <v>#N/A</v>
      </c>
      <c r="FH4" s="5" t="e">
        <f t="shared" ref="FH4:FH11" si="108">AN4-CY4</f>
        <v>#N/A</v>
      </c>
      <c r="FI4" s="5" t="e">
        <f t="shared" ref="FI4:FI11" si="109">AO4-CZ4</f>
        <v>#N/A</v>
      </c>
      <c r="FJ4" s="5" t="e">
        <f t="shared" ref="FJ4:FJ11" si="110">AP4-DA4</f>
        <v>#N/A</v>
      </c>
      <c r="FK4" s="5" t="e">
        <f t="shared" ref="FK4:FK11" si="111">AQ4-DB4</f>
        <v>#N/A</v>
      </c>
      <c r="FL4" s="5" t="e">
        <f t="shared" ref="FL4:FL11" si="112">AR4-DC4</f>
        <v>#N/A</v>
      </c>
      <c r="FM4" s="5" t="e">
        <f t="shared" ref="FM4:FM11" si="113">AS4-DD4</f>
        <v>#N/A</v>
      </c>
      <c r="FN4" s="5" t="e">
        <f t="shared" ref="FN4:FN11" si="114">AT4-DE4</f>
        <v>#N/A</v>
      </c>
      <c r="FO4" s="5" t="e">
        <f t="shared" ref="FO4:FO11" si="115">AU4-DF4</f>
        <v>#N/A</v>
      </c>
      <c r="FP4" s="5" t="e">
        <f t="shared" ref="FP4:FP11" si="116">AV4-DG4</f>
        <v>#N/A</v>
      </c>
      <c r="FQ4" s="5" t="e">
        <f t="shared" ref="FQ4:FQ11" si="117">AW4-DH4</f>
        <v>#N/A</v>
      </c>
      <c r="FR4" s="5" t="e">
        <f t="shared" ref="FR4:FR11" si="118">AX4-DI4</f>
        <v>#N/A</v>
      </c>
      <c r="FS4" s="5" t="e">
        <f t="shared" ref="FS4:FS11" si="119">AY4-DJ4</f>
        <v>#N/A</v>
      </c>
      <c r="FT4" s="5" t="e">
        <f t="shared" ref="FT4:FT11" si="120">AZ4-DK4</f>
        <v>#N/A</v>
      </c>
      <c r="FU4" s="5" t="e">
        <f t="shared" ref="FU4:FU11" si="121">BA4-DL4</f>
        <v>#N/A</v>
      </c>
      <c r="FV4" s="5" t="e">
        <f t="shared" ref="FV4:FV11" si="122">BB4-DM4</f>
        <v>#N/A</v>
      </c>
      <c r="FW4" s="5" t="e">
        <f t="shared" ref="FW4:FW11" si="123">BC4-DN4</f>
        <v>#N/A</v>
      </c>
      <c r="FX4" s="5" t="e">
        <f t="shared" ref="FX4:FX11" si="124">BD4-DO4</f>
        <v>#N/A</v>
      </c>
      <c r="FY4" s="5" t="e">
        <f t="shared" ref="FY4:FY11" si="125">BE4-DP4</f>
        <v>#N/A</v>
      </c>
      <c r="FZ4" s="5" t="e">
        <f t="shared" ref="FZ4:FZ11" si="126">BF4-DQ4</f>
        <v>#N/A</v>
      </c>
      <c r="GA4" s="5" t="e">
        <f t="shared" ref="GA4:GA11" si="127">BG4-DR4</f>
        <v>#N/A</v>
      </c>
      <c r="GB4" s="5" t="e">
        <f t="shared" ref="GB4:GB11" si="128">BH4-DS4</f>
        <v>#N/A</v>
      </c>
      <c r="GC4" s="5" t="e">
        <f t="shared" ref="GC4:GC11" si="129">BI4-DT4</f>
        <v>#N/A</v>
      </c>
      <c r="GD4" s="5" t="e">
        <f t="shared" ref="GD4:GD11" si="130">BJ4-DU4</f>
        <v>#N/A</v>
      </c>
      <c r="GE4" s="5" t="e">
        <f t="shared" ref="GE4:GE11" si="131">BK4-DV4</f>
        <v>#N/A</v>
      </c>
      <c r="GF4" s="5" t="e">
        <f t="shared" ref="GF4:GF11" si="132">BL4-DW4</f>
        <v>#N/A</v>
      </c>
      <c r="GG4" s="5" t="e">
        <f t="shared" ref="GG4:GG11" si="133">BM4-DX4</f>
        <v>#N/A</v>
      </c>
      <c r="GH4" s="5" t="e">
        <f t="shared" ref="GH4:GH11" si="134">BN4-DY4</f>
        <v>#N/A</v>
      </c>
      <c r="GI4" s="5" t="e">
        <f t="shared" ref="GI4:GI11" si="135">BO4-DZ4</f>
        <v>#N/A</v>
      </c>
      <c r="GJ4" s="5" t="e">
        <f t="shared" ref="GJ4:GJ11" si="136">BP4-EA4</f>
        <v>#N/A</v>
      </c>
      <c r="GK4" s="5" t="e">
        <f t="shared" ref="GK4:GK11" si="137">BQ4-EB4</f>
        <v>#N/A</v>
      </c>
      <c r="GL4" s="5" t="e">
        <f t="shared" ref="GL4:GL11" si="138">BR4-EC4</f>
        <v>#N/A</v>
      </c>
      <c r="GM4" s="5" t="e">
        <f t="shared" ref="GM4:GM11" si="139">BS4-ED4</f>
        <v>#N/A</v>
      </c>
      <c r="GN4" s="5" t="e">
        <f t="shared" ref="GN4:GN11" si="140">BT4-EE4</f>
        <v>#N/A</v>
      </c>
      <c r="GO4" s="5" t="e">
        <f t="shared" ref="GO4:GO11" si="141">BU4-EF4</f>
        <v>#N/A</v>
      </c>
      <c r="GP4" s="5" t="e">
        <f t="shared" ref="GP4:GP11" si="142">BV4-EG4</f>
        <v>#N/A</v>
      </c>
      <c r="GQ4" s="5" t="e">
        <f t="shared" ref="GQ4:GQ11" si="143">BW4-EH4</f>
        <v>#N/A</v>
      </c>
      <c r="GR4" s="5" t="e">
        <f t="shared" ref="GR4:GR11" si="144">BX4-EI4</f>
        <v>#N/A</v>
      </c>
      <c r="GS4" s="5" t="e">
        <f t="shared" ref="GS4:GS11" si="145">BY4-EJ4</f>
        <v>#N/A</v>
      </c>
      <c r="GT4" s="5" t="e">
        <f t="shared" ref="GT4:GT11" si="146">BZ4-EK4</f>
        <v>#N/A</v>
      </c>
      <c r="GU4" s="5" t="e">
        <f t="shared" ref="GU4:GU11" si="147">CA4-EL4</f>
        <v>#N/A</v>
      </c>
      <c r="GV4" s="5" t="e">
        <f t="shared" ref="GV4:GV11" si="148">CB4-EM4</f>
        <v>#N/A</v>
      </c>
      <c r="GW4" s="5" t="e">
        <f t="shared" ref="GW4:GW11" si="149">CC4-EN4</f>
        <v>#N/A</v>
      </c>
      <c r="GX4" s="5" t="e">
        <f t="shared" ref="GX4:GX11" si="150">CD4-EO4</f>
        <v>#N/A</v>
      </c>
      <c r="GY4" s="5" t="e">
        <f t="shared" ref="GY4:GY11" si="151">CE4-EP4</f>
        <v>#N/A</v>
      </c>
      <c r="GZ4" s="5" t="e">
        <f t="shared" ref="GZ4:GZ11" si="152">CF4-EQ4</f>
        <v>#N/A</v>
      </c>
      <c r="HA4" s="5" t="e">
        <f t="shared" ref="HA4:HA11" si="153">CG4-ER4</f>
        <v>#N/A</v>
      </c>
      <c r="HC4" s="6" t="e">
        <f t="shared" ref="HC4:HC11" si="154">V4</f>
        <v>#N/A</v>
      </c>
      <c r="HD4" s="5" t="e">
        <f t="shared" ref="HD4:HD11" si="155">V4-ET4</f>
        <v>#N/A</v>
      </c>
      <c r="HE4" s="5" t="e">
        <f t="shared" ref="HE4:HE11" si="156">HD4-EU4</f>
        <v>#N/A</v>
      </c>
      <c r="HF4" s="5" t="e">
        <f t="shared" ref="HF4:HF11" si="157">HE4-EV4</f>
        <v>#N/A</v>
      </c>
      <c r="HG4" s="5" t="e">
        <f t="shared" ref="HG4:HG11" si="158">HF4-EW4</f>
        <v>#N/A</v>
      </c>
      <c r="HH4" s="5" t="e">
        <f t="shared" ref="HH4:HH11" si="159">HG4-EX4</f>
        <v>#N/A</v>
      </c>
      <c r="HI4" s="5" t="e">
        <f t="shared" ref="HI4:HI11" si="160">HH4-EY4</f>
        <v>#N/A</v>
      </c>
      <c r="HJ4" s="5" t="e">
        <f t="shared" ref="HJ4:HJ11" si="161">HI4-EZ4</f>
        <v>#N/A</v>
      </c>
      <c r="HK4" s="5" t="e">
        <f t="shared" ref="HK4:HK11" si="162">HJ4-FA4</f>
        <v>#N/A</v>
      </c>
      <c r="HL4" s="5" t="e">
        <f t="shared" ref="HL4:HL11" si="163">HK4-FB4</f>
        <v>#N/A</v>
      </c>
      <c r="HM4" s="5" t="e">
        <f t="shared" ref="HM4:HM11" si="164">HL4-FC4</f>
        <v>#N/A</v>
      </c>
      <c r="HN4" s="5" t="e">
        <f t="shared" ref="HN4:HN11" si="165">HM4-FD4</f>
        <v>#N/A</v>
      </c>
      <c r="HO4" s="5" t="e">
        <f t="shared" ref="HO4:HO11" si="166">HN4-FE4</f>
        <v>#N/A</v>
      </c>
      <c r="HP4" s="5" t="e">
        <f t="shared" ref="HP4:HP11" si="167">HO4-FF4</f>
        <v>#N/A</v>
      </c>
      <c r="HQ4" s="5" t="e">
        <f t="shared" ref="HQ4:HQ11" si="168">HP4-FG4</f>
        <v>#N/A</v>
      </c>
      <c r="HR4" s="5" t="e">
        <f t="shared" ref="HR4:HR11" si="169">HQ4-FH4</f>
        <v>#N/A</v>
      </c>
      <c r="HS4" s="5" t="e">
        <f t="shared" ref="HS4:HS11" si="170">HR4-FI4</f>
        <v>#N/A</v>
      </c>
      <c r="HT4" s="5" t="e">
        <f t="shared" ref="HT4:HT11" si="171">HS4-FJ4</f>
        <v>#N/A</v>
      </c>
      <c r="HU4" s="5" t="e">
        <f t="shared" ref="HU4:HU11" si="172">HT4-FK4</f>
        <v>#N/A</v>
      </c>
      <c r="HV4" s="5" t="e">
        <f t="shared" ref="HV4:HV11" si="173">HU4-FL4</f>
        <v>#N/A</v>
      </c>
      <c r="HW4" s="5" t="e">
        <f t="shared" ref="HW4:HW11" si="174">HV4-FM4</f>
        <v>#N/A</v>
      </c>
      <c r="HX4" s="5" t="e">
        <f t="shared" ref="HX4:HX11" si="175">HW4-FN4</f>
        <v>#N/A</v>
      </c>
      <c r="HY4" s="5" t="e">
        <f t="shared" ref="HY4:HY11" si="176">HX4-FO4</f>
        <v>#N/A</v>
      </c>
      <c r="HZ4" s="5" t="e">
        <f t="shared" ref="HZ4:HZ11" si="177">HY4-FP4</f>
        <v>#N/A</v>
      </c>
      <c r="IA4" s="5" t="e">
        <f t="shared" ref="IA4:IA11" si="178">HZ4-FQ4</f>
        <v>#N/A</v>
      </c>
      <c r="IB4" s="5" t="e">
        <f t="shared" ref="IB4:IB11" si="179">IA4-FR4</f>
        <v>#N/A</v>
      </c>
      <c r="IC4" s="5" t="e">
        <f t="shared" ref="IC4:IC11" si="180">IB4-FS4</f>
        <v>#N/A</v>
      </c>
      <c r="ID4" s="5" t="e">
        <f t="shared" ref="ID4:ID11" si="181">IC4-FT4</f>
        <v>#N/A</v>
      </c>
      <c r="IE4" s="5" t="e">
        <f t="shared" ref="IE4:IE11" si="182">ID4-FU4</f>
        <v>#N/A</v>
      </c>
      <c r="IF4" s="5" t="e">
        <f t="shared" ref="IF4:IF11" si="183">IE4-FV4</f>
        <v>#N/A</v>
      </c>
      <c r="IG4" s="5" t="e">
        <f t="shared" ref="IG4:IG11" si="184">IF4-FW4</f>
        <v>#N/A</v>
      </c>
      <c r="IH4" s="5" t="e">
        <f t="shared" ref="IH4:IH11" si="185">IG4-FX4</f>
        <v>#N/A</v>
      </c>
      <c r="II4" s="5" t="e">
        <f t="shared" ref="II4:II11" si="186">IH4-FY4</f>
        <v>#N/A</v>
      </c>
      <c r="IJ4" s="5" t="e">
        <f t="shared" ref="IJ4:IJ11" si="187">II4-FZ4</f>
        <v>#N/A</v>
      </c>
      <c r="IK4" s="5" t="e">
        <f t="shared" ref="IK4:IK11" si="188">IJ4-GA4</f>
        <v>#N/A</v>
      </c>
      <c r="IL4" s="5" t="e">
        <f t="shared" ref="IL4:IL11" si="189">IK4-GB4</f>
        <v>#N/A</v>
      </c>
      <c r="IM4" s="5" t="e">
        <f t="shared" ref="IM4:IM11" si="190">IL4-GC4</f>
        <v>#N/A</v>
      </c>
      <c r="IN4" s="5" t="e">
        <f t="shared" ref="IN4:IN11" si="191">IM4-GD4</f>
        <v>#N/A</v>
      </c>
      <c r="IO4" s="5" t="e">
        <f t="shared" ref="IO4:IO11" si="192">IN4-GE4</f>
        <v>#N/A</v>
      </c>
      <c r="IP4" s="5" t="e">
        <f t="shared" ref="IP4:IP11" si="193">IO4-GF4</f>
        <v>#N/A</v>
      </c>
      <c r="IQ4" s="5" t="e">
        <f t="shared" ref="IQ4:IQ11" si="194">IP4-GG4</f>
        <v>#N/A</v>
      </c>
      <c r="IR4" s="5" t="e">
        <f t="shared" ref="IR4:IR11" si="195">IQ4-GH4</f>
        <v>#N/A</v>
      </c>
      <c r="IS4" s="5" t="e">
        <f t="shared" ref="IS4:IS11" si="196">IR4-GI4</f>
        <v>#N/A</v>
      </c>
      <c r="IT4" s="5" t="e">
        <f t="shared" ref="IT4:IT11" si="197">IS4-GJ4</f>
        <v>#N/A</v>
      </c>
      <c r="IU4" s="5" t="e">
        <f t="shared" ref="IU4:IU11" si="198">IT4-GK4</f>
        <v>#N/A</v>
      </c>
      <c r="IV4" s="5" t="e">
        <f t="shared" ref="IV4:IV11" si="199">IU4-GL4</f>
        <v>#N/A</v>
      </c>
      <c r="IW4" s="5" t="e">
        <f t="shared" ref="IW4:IW11" si="200">IV4-GM4</f>
        <v>#N/A</v>
      </c>
      <c r="IX4" s="5" t="e">
        <f t="shared" ref="IX4:IX11" si="201">IW4-GN4</f>
        <v>#N/A</v>
      </c>
      <c r="IY4" s="5" t="e">
        <f t="shared" ref="IY4:IY11" si="202">IX4-GO4</f>
        <v>#N/A</v>
      </c>
      <c r="IZ4" s="5" t="e">
        <f t="shared" ref="IZ4:IZ11" si="203">IY4-GP4</f>
        <v>#N/A</v>
      </c>
      <c r="JA4" s="5" t="e">
        <f t="shared" ref="JA4:JA11" si="204">IZ4-GQ4</f>
        <v>#N/A</v>
      </c>
      <c r="JB4" s="5" t="e">
        <f t="shared" ref="JB4:JB11" si="205">JA4-GR4</f>
        <v>#N/A</v>
      </c>
      <c r="JC4" s="5" t="e">
        <f t="shared" ref="JC4:JC11" si="206">JB4-GS4</f>
        <v>#N/A</v>
      </c>
      <c r="JD4" s="5" t="e">
        <f t="shared" ref="JD4:JD11" si="207">JC4-GT4</f>
        <v>#N/A</v>
      </c>
      <c r="JE4" s="5" t="e">
        <f t="shared" ref="JE4:JE11" si="208">JD4-GU4</f>
        <v>#N/A</v>
      </c>
      <c r="JF4" s="5" t="e">
        <f t="shared" ref="JF4:JF11" si="209">JE4-GV4</f>
        <v>#N/A</v>
      </c>
      <c r="JG4" s="5" t="e">
        <f t="shared" ref="JG4:JG11" si="210">JF4-GW4</f>
        <v>#N/A</v>
      </c>
      <c r="JH4" s="5" t="e">
        <f t="shared" ref="JH4:JH11" si="211">JG4-GX4</f>
        <v>#N/A</v>
      </c>
      <c r="JI4" s="5" t="e">
        <f t="shared" ref="JI4:JI11" si="212">JH4-GY4</f>
        <v>#N/A</v>
      </c>
      <c r="JJ4" s="5" t="e">
        <f t="shared" ref="JJ4:JJ11" si="213">JI4-GZ4</f>
        <v>#N/A</v>
      </c>
      <c r="JK4" s="5" t="e">
        <f t="shared" ref="JK4:JK11" si="214">JJ4-HA4</f>
        <v>#N/A</v>
      </c>
      <c r="JM4" s="19" t="e">
        <f t="shared" ref="JM4:JM11" si="215">KC4</f>
        <v>#N/A</v>
      </c>
      <c r="JN4" s="1">
        <v>2</v>
      </c>
      <c r="JO4" s="5" t="e">
        <f>HLOOKUP(JM4,HC$2:JK4,2+JN3,0)-IF(KE4&gt;0,KE4,0)</f>
        <v>#N/A</v>
      </c>
      <c r="JP4" s="5" t="e">
        <f t="shared" ref="JP4:JP11" si="216">JO4*($X4/360)</f>
        <v>#N/A</v>
      </c>
      <c r="JQ4" s="17">
        <v>45945</v>
      </c>
      <c r="JR4" s="17">
        <v>46111</v>
      </c>
      <c r="JS4" s="6">
        <f t="shared" ref="JS4:JS11" si="217">JR4-JQ4</f>
        <v>166</v>
      </c>
      <c r="JT4" s="5" t="e">
        <f t="shared" ref="JT4:JT11" si="218">(JS4)*JP4</f>
        <v>#N/A</v>
      </c>
      <c r="JU4" s="13">
        <f t="shared" ca="1" si="22"/>
        <v>46161</v>
      </c>
      <c r="JV4" s="6" t="e">
        <f t="shared" ref="JV4:JV11" si="219">JT4+JO4</f>
        <v>#N/A</v>
      </c>
      <c r="JW4" s="6"/>
      <c r="JX4" s="6"/>
      <c r="JY4" s="6">
        <f t="shared" ref="JY4:JY11" si="220">JX4-JW4</f>
        <v>0</v>
      </c>
      <c r="JZ4" s="10" t="e">
        <f t="shared" ref="JZ4:JZ11" si="221">JY4/U4</f>
        <v>#N/A</v>
      </c>
      <c r="KA4" s="10" t="e">
        <f t="shared" ref="KA4:KA11" si="222">JZ4-J4</f>
        <v>#N/A</v>
      </c>
      <c r="KB4" s="10" t="e">
        <f t="shared" ref="KB4:KB11" si="223">ROUNDDOWN(JZ4,0)</f>
        <v>#N/A</v>
      </c>
      <c r="KC4" s="10" t="e">
        <f t="shared" ref="KC4:KC11" si="224">KB4-J4</f>
        <v>#N/A</v>
      </c>
      <c r="KD4" s="5" t="e">
        <f t="shared" ref="KD4:KD11" si="225">KB4*U4</f>
        <v>#N/A</v>
      </c>
      <c r="KE4" s="6" t="e">
        <f t="shared" ref="KE4:KE11" si="226">JY4-KD4</f>
        <v>#N/A</v>
      </c>
      <c r="KG4" s="26"/>
      <c r="KH4" s="38"/>
      <c r="KI4" s="6"/>
    </row>
    <row r="5" spans="1:297" x14ac:dyDescent="0.3">
      <c r="C5" s="14" t="e">
        <f>VLOOKUP(B5,DD!A:B,2,0)</f>
        <v>#N/A</v>
      </c>
      <c r="D5" s="1" t="e">
        <f>VLOOKUP(B5,DD!A:K,11,0)</f>
        <v>#N/A</v>
      </c>
      <c r="E5" s="1" t="e">
        <f>VLOOKUP(B5,DD!A:L,12,0)</f>
        <v>#N/A</v>
      </c>
      <c r="F5" s="17" t="e">
        <f>VLOOKUP(B5,DD!A:D,4,0)</f>
        <v>#N/A</v>
      </c>
      <c r="G5" s="9">
        <v>1</v>
      </c>
      <c r="H5" s="3" t="e">
        <f>VLOOKUP(B5,DD!A:E,5,0)</f>
        <v>#N/A</v>
      </c>
      <c r="I5" s="3" t="e">
        <f t="shared" si="23"/>
        <v>#N/A</v>
      </c>
      <c r="J5" s="3" t="e">
        <f>VLOOKUP(B5,DD!A:F,6,0)</f>
        <v>#N/A</v>
      </c>
      <c r="K5" s="3" t="e">
        <f>VLOOKUP(B5,DD!A:H,8,0)</f>
        <v>#N/A</v>
      </c>
      <c r="L5" s="3" t="e">
        <f>VLOOKUP(B5,DD!A:I,9,0)</f>
        <v>#N/A</v>
      </c>
      <c r="M5" s="3" t="e">
        <f>VLOOKUP(B5,DD!A:J,10,0)</f>
        <v>#N/A</v>
      </c>
      <c r="N5" s="3" t="s">
        <v>8</v>
      </c>
      <c r="O5" s="3" t="s">
        <v>9</v>
      </c>
      <c r="P5" s="4" t="e">
        <f>VLOOKUP(B5,DD!A:C,3,0)</f>
        <v>#N/A</v>
      </c>
      <c r="Q5" s="5" t="e">
        <f t="shared" si="24"/>
        <v>#N/A</v>
      </c>
      <c r="R5" s="5" t="e">
        <f t="shared" si="25"/>
        <v>#N/A</v>
      </c>
      <c r="S5" s="5" t="e">
        <f t="shared" si="26"/>
        <v>#N/A</v>
      </c>
      <c r="T5" s="6" t="e">
        <f t="shared" si="27"/>
        <v>#N/A</v>
      </c>
      <c r="U5" s="5" t="e">
        <f t="shared" si="28"/>
        <v>#N/A</v>
      </c>
      <c r="V5" s="6" t="e">
        <f t="shared" si="29"/>
        <v>#N/A</v>
      </c>
      <c r="W5" s="7" t="e">
        <f t="shared" si="30"/>
        <v>#N/A</v>
      </c>
      <c r="X5" s="8" t="e">
        <f t="shared" si="8"/>
        <v>#VALUE!</v>
      </c>
      <c r="Y5" s="6" t="e">
        <f t="shared" si="31"/>
        <v>#N/A</v>
      </c>
      <c r="Z5" s="7" t="e">
        <f t="shared" si="10"/>
        <v>#N/A</v>
      </c>
      <c r="AA5" s="7" t="e">
        <f t="shared" si="10"/>
        <v>#N/A</v>
      </c>
      <c r="AB5" s="7" t="e">
        <f t="shared" si="10"/>
        <v>#N/A</v>
      </c>
      <c r="AC5" s="7" t="e">
        <f t="shared" si="10"/>
        <v>#N/A</v>
      </c>
      <c r="AD5" s="7" t="e">
        <f t="shared" si="10"/>
        <v>#N/A</v>
      </c>
      <c r="AE5" s="7" t="e">
        <f t="shared" si="10"/>
        <v>#N/A</v>
      </c>
      <c r="AF5" s="7" t="e">
        <f t="shared" si="10"/>
        <v>#N/A</v>
      </c>
      <c r="AG5" s="7" t="e">
        <f t="shared" si="10"/>
        <v>#N/A</v>
      </c>
      <c r="AH5" s="7" t="e">
        <f t="shared" si="10"/>
        <v>#N/A</v>
      </c>
      <c r="AI5" s="7" t="e">
        <f t="shared" si="10"/>
        <v>#N/A</v>
      </c>
      <c r="AJ5" s="7" t="e">
        <f t="shared" si="10"/>
        <v>#N/A</v>
      </c>
      <c r="AK5" s="7" t="e">
        <f t="shared" si="10"/>
        <v>#N/A</v>
      </c>
      <c r="AL5" s="7" t="e">
        <f t="shared" si="10"/>
        <v>#N/A</v>
      </c>
      <c r="AM5" s="7" t="e">
        <f t="shared" si="10"/>
        <v>#N/A</v>
      </c>
      <c r="AN5" s="7" t="e">
        <f t="shared" si="10"/>
        <v>#N/A</v>
      </c>
      <c r="AO5" s="7" t="e">
        <f t="shared" si="10"/>
        <v>#N/A</v>
      </c>
      <c r="AP5" s="7" t="e">
        <f t="shared" si="10"/>
        <v>#N/A</v>
      </c>
      <c r="AQ5" s="7" t="e">
        <f t="shared" si="10"/>
        <v>#N/A</v>
      </c>
      <c r="AR5" s="7" t="e">
        <f t="shared" si="10"/>
        <v>#N/A</v>
      </c>
      <c r="AS5" s="7" t="e">
        <f t="shared" si="10"/>
        <v>#N/A</v>
      </c>
      <c r="AT5" s="7" t="e">
        <f t="shared" si="10"/>
        <v>#N/A</v>
      </c>
      <c r="AU5" s="7" t="e">
        <f t="shared" si="10"/>
        <v>#N/A</v>
      </c>
      <c r="AV5" s="7" t="e">
        <f t="shared" si="10"/>
        <v>#N/A</v>
      </c>
      <c r="AW5" s="7" t="e">
        <f t="shared" si="10"/>
        <v>#N/A</v>
      </c>
      <c r="AX5" s="7" t="e">
        <f t="shared" si="10"/>
        <v>#N/A</v>
      </c>
      <c r="AY5" s="7" t="e">
        <f t="shared" si="10"/>
        <v>#N/A</v>
      </c>
      <c r="AZ5" s="7" t="e">
        <f t="shared" si="10"/>
        <v>#N/A</v>
      </c>
      <c r="BA5" s="7" t="e">
        <f t="shared" si="10"/>
        <v>#N/A</v>
      </c>
      <c r="BB5" s="7" t="e">
        <f t="shared" si="10"/>
        <v>#N/A</v>
      </c>
      <c r="BC5" s="7" t="e">
        <f t="shared" si="10"/>
        <v>#N/A</v>
      </c>
      <c r="BD5" s="7" t="e">
        <f t="shared" si="10"/>
        <v>#N/A</v>
      </c>
      <c r="BE5" s="7" t="e">
        <f t="shared" si="10"/>
        <v>#N/A</v>
      </c>
      <c r="BF5" s="7" t="e">
        <f t="shared" si="11"/>
        <v>#N/A</v>
      </c>
      <c r="BG5" s="7" t="e">
        <f t="shared" si="11"/>
        <v>#N/A</v>
      </c>
      <c r="BH5" s="7" t="e">
        <f t="shared" si="11"/>
        <v>#N/A</v>
      </c>
      <c r="BI5" s="7" t="e">
        <f t="shared" si="11"/>
        <v>#N/A</v>
      </c>
      <c r="BJ5" s="7" t="e">
        <f t="shared" si="11"/>
        <v>#N/A</v>
      </c>
      <c r="BK5" s="7" t="e">
        <f t="shared" si="11"/>
        <v>#N/A</v>
      </c>
      <c r="BL5" s="7" t="e">
        <f t="shared" si="11"/>
        <v>#N/A</v>
      </c>
      <c r="BM5" s="7" t="e">
        <f t="shared" si="11"/>
        <v>#N/A</v>
      </c>
      <c r="BN5" s="7" t="e">
        <f t="shared" si="11"/>
        <v>#N/A</v>
      </c>
      <c r="BO5" s="7" t="e">
        <f t="shared" si="11"/>
        <v>#N/A</v>
      </c>
      <c r="BP5" s="7" t="e">
        <f t="shared" si="11"/>
        <v>#N/A</v>
      </c>
      <c r="BQ5" s="7" t="e">
        <f t="shared" si="11"/>
        <v>#N/A</v>
      </c>
      <c r="BR5" s="7" t="e">
        <f t="shared" si="11"/>
        <v>#N/A</v>
      </c>
      <c r="BS5" s="7" t="e">
        <f t="shared" si="11"/>
        <v>#N/A</v>
      </c>
      <c r="BT5" s="7" t="e">
        <f t="shared" si="11"/>
        <v>#N/A</v>
      </c>
      <c r="BU5" s="7" t="e">
        <f t="shared" si="11"/>
        <v>#N/A</v>
      </c>
      <c r="BV5" s="7" t="e">
        <f t="shared" si="11"/>
        <v>#N/A</v>
      </c>
      <c r="BW5" s="7" t="e">
        <f t="shared" si="11"/>
        <v>#N/A</v>
      </c>
      <c r="BX5" s="7" t="e">
        <f t="shared" si="11"/>
        <v>#N/A</v>
      </c>
      <c r="BY5" s="7" t="e">
        <f t="shared" si="11"/>
        <v>#N/A</v>
      </c>
      <c r="BZ5" s="7" t="e">
        <f t="shared" si="11"/>
        <v>#N/A</v>
      </c>
      <c r="CA5" s="7" t="e">
        <f t="shared" si="11"/>
        <v>#N/A</v>
      </c>
      <c r="CB5" s="7" t="e">
        <f t="shared" si="11"/>
        <v>#N/A</v>
      </c>
      <c r="CC5" s="7" t="e">
        <f t="shared" si="11"/>
        <v>#N/A</v>
      </c>
      <c r="CD5" s="7" t="e">
        <f t="shared" si="11"/>
        <v>#N/A</v>
      </c>
      <c r="CE5" s="7" t="e">
        <f t="shared" si="11"/>
        <v>#N/A</v>
      </c>
      <c r="CF5" s="7" t="e">
        <f t="shared" si="11"/>
        <v>#N/A</v>
      </c>
      <c r="CG5" s="7" t="e">
        <f t="shared" si="11"/>
        <v>#N/A</v>
      </c>
      <c r="CH5" s="6" t="e">
        <f t="shared" si="32"/>
        <v>#N/A</v>
      </c>
      <c r="CI5" s="5" t="e">
        <f t="shared" si="33"/>
        <v>#N/A</v>
      </c>
      <c r="CK5" s="5" t="e">
        <f t="shared" si="34"/>
        <v>#N/A</v>
      </c>
      <c r="CL5" s="5" t="e">
        <f t="shared" si="35"/>
        <v>#N/A</v>
      </c>
      <c r="CM5" s="5" t="e">
        <f t="shared" si="36"/>
        <v>#N/A</v>
      </c>
      <c r="CN5" s="5" t="e">
        <f t="shared" si="37"/>
        <v>#N/A</v>
      </c>
      <c r="CO5" s="5" t="e">
        <f t="shared" si="38"/>
        <v>#N/A</v>
      </c>
      <c r="CP5" s="5" t="e">
        <f t="shared" si="39"/>
        <v>#N/A</v>
      </c>
      <c r="CQ5" s="5" t="e">
        <f t="shared" si="40"/>
        <v>#N/A</v>
      </c>
      <c r="CR5" s="5" t="e">
        <f t="shared" si="41"/>
        <v>#N/A</v>
      </c>
      <c r="CS5" s="5" t="e">
        <f t="shared" si="42"/>
        <v>#N/A</v>
      </c>
      <c r="CT5" s="5" t="e">
        <f t="shared" si="43"/>
        <v>#N/A</v>
      </c>
      <c r="CU5" s="5" t="e">
        <f t="shared" si="44"/>
        <v>#N/A</v>
      </c>
      <c r="CV5" s="5" t="e">
        <f t="shared" si="45"/>
        <v>#N/A</v>
      </c>
      <c r="CW5" s="5" t="e">
        <f t="shared" si="46"/>
        <v>#N/A</v>
      </c>
      <c r="CX5" s="5" t="e">
        <f t="shared" si="47"/>
        <v>#N/A</v>
      </c>
      <c r="CY5" s="5" t="e">
        <f t="shared" si="48"/>
        <v>#N/A</v>
      </c>
      <c r="CZ5" s="5" t="e">
        <f t="shared" si="49"/>
        <v>#N/A</v>
      </c>
      <c r="DA5" s="5" t="e">
        <f t="shared" si="50"/>
        <v>#N/A</v>
      </c>
      <c r="DB5" s="5" t="e">
        <f t="shared" si="51"/>
        <v>#N/A</v>
      </c>
      <c r="DC5" s="5" t="e">
        <f t="shared" si="52"/>
        <v>#N/A</v>
      </c>
      <c r="DD5" s="5" t="e">
        <f t="shared" si="53"/>
        <v>#N/A</v>
      </c>
      <c r="DE5" s="5" t="e">
        <f t="shared" si="54"/>
        <v>#N/A</v>
      </c>
      <c r="DF5" s="5" t="e">
        <f t="shared" si="55"/>
        <v>#N/A</v>
      </c>
      <c r="DG5" s="5" t="e">
        <f t="shared" si="56"/>
        <v>#N/A</v>
      </c>
      <c r="DH5" s="5" t="e">
        <f t="shared" si="57"/>
        <v>#N/A</v>
      </c>
      <c r="DI5" s="5" t="e">
        <f t="shared" si="58"/>
        <v>#N/A</v>
      </c>
      <c r="DJ5" s="5" t="e">
        <f t="shared" si="59"/>
        <v>#N/A</v>
      </c>
      <c r="DK5" s="5" t="e">
        <f t="shared" si="60"/>
        <v>#N/A</v>
      </c>
      <c r="DL5" s="5" t="e">
        <f t="shared" si="61"/>
        <v>#N/A</v>
      </c>
      <c r="DM5" s="5" t="e">
        <f t="shared" si="62"/>
        <v>#N/A</v>
      </c>
      <c r="DN5" s="5" t="e">
        <f t="shared" si="63"/>
        <v>#N/A</v>
      </c>
      <c r="DO5" s="5" t="e">
        <f t="shared" si="64"/>
        <v>#N/A</v>
      </c>
      <c r="DP5" s="5" t="e">
        <f t="shared" si="65"/>
        <v>#N/A</v>
      </c>
      <c r="DQ5" s="5" t="e">
        <f t="shared" si="66"/>
        <v>#N/A</v>
      </c>
      <c r="DR5" s="5" t="e">
        <f t="shared" si="67"/>
        <v>#N/A</v>
      </c>
      <c r="DS5" s="5" t="e">
        <f t="shared" si="68"/>
        <v>#N/A</v>
      </c>
      <c r="DT5" s="5" t="e">
        <f t="shared" si="69"/>
        <v>#N/A</v>
      </c>
      <c r="DU5" s="5" t="e">
        <f t="shared" si="70"/>
        <v>#N/A</v>
      </c>
      <c r="DV5" s="5" t="e">
        <f t="shared" si="71"/>
        <v>#N/A</v>
      </c>
      <c r="DW5" s="5" t="e">
        <f t="shared" si="72"/>
        <v>#N/A</v>
      </c>
      <c r="DX5" s="5" t="e">
        <f t="shared" si="73"/>
        <v>#N/A</v>
      </c>
      <c r="DY5" s="5" t="e">
        <f t="shared" si="74"/>
        <v>#N/A</v>
      </c>
      <c r="DZ5" s="5" t="e">
        <f t="shared" si="75"/>
        <v>#N/A</v>
      </c>
      <c r="EA5" s="5" t="e">
        <f t="shared" si="76"/>
        <v>#N/A</v>
      </c>
      <c r="EB5" s="5" t="e">
        <f t="shared" si="77"/>
        <v>#N/A</v>
      </c>
      <c r="EC5" s="5" t="e">
        <f t="shared" si="78"/>
        <v>#N/A</v>
      </c>
      <c r="ED5" s="5" t="e">
        <f t="shared" si="79"/>
        <v>#N/A</v>
      </c>
      <c r="EE5" s="5" t="e">
        <f t="shared" si="80"/>
        <v>#N/A</v>
      </c>
      <c r="EF5" s="5" t="e">
        <f t="shared" si="81"/>
        <v>#N/A</v>
      </c>
      <c r="EG5" s="5" t="e">
        <f t="shared" si="82"/>
        <v>#N/A</v>
      </c>
      <c r="EH5" s="5" t="e">
        <f t="shared" si="83"/>
        <v>#N/A</v>
      </c>
      <c r="EI5" s="5" t="e">
        <f t="shared" si="84"/>
        <v>#N/A</v>
      </c>
      <c r="EJ5" s="5" t="e">
        <f t="shared" si="85"/>
        <v>#N/A</v>
      </c>
      <c r="EK5" s="5" t="e">
        <f t="shared" si="86"/>
        <v>#N/A</v>
      </c>
      <c r="EL5" s="5" t="e">
        <f t="shared" si="87"/>
        <v>#N/A</v>
      </c>
      <c r="EM5" s="5" t="e">
        <f t="shared" si="88"/>
        <v>#N/A</v>
      </c>
      <c r="EN5" s="5" t="e">
        <f t="shared" si="89"/>
        <v>#N/A</v>
      </c>
      <c r="EO5" s="5" t="e">
        <f t="shared" si="90"/>
        <v>#N/A</v>
      </c>
      <c r="EP5" s="5" t="e">
        <f t="shared" si="91"/>
        <v>#N/A</v>
      </c>
      <c r="EQ5" s="5" t="e">
        <f t="shared" si="92"/>
        <v>#N/A</v>
      </c>
      <c r="ER5" s="5" t="e">
        <f t="shared" si="93"/>
        <v>#N/A</v>
      </c>
      <c r="ET5" s="5" t="e">
        <f t="shared" si="94"/>
        <v>#N/A</v>
      </c>
      <c r="EU5" s="5" t="e">
        <f t="shared" si="95"/>
        <v>#N/A</v>
      </c>
      <c r="EV5" s="5" t="e">
        <f t="shared" si="96"/>
        <v>#N/A</v>
      </c>
      <c r="EW5" s="5" t="e">
        <f t="shared" si="97"/>
        <v>#N/A</v>
      </c>
      <c r="EX5" s="5" t="e">
        <f t="shared" si="98"/>
        <v>#N/A</v>
      </c>
      <c r="EY5" s="5" t="e">
        <f t="shared" si="99"/>
        <v>#N/A</v>
      </c>
      <c r="EZ5" s="5" t="e">
        <f t="shared" si="100"/>
        <v>#N/A</v>
      </c>
      <c r="FA5" s="5" t="e">
        <f t="shared" si="101"/>
        <v>#N/A</v>
      </c>
      <c r="FB5" s="5" t="e">
        <f t="shared" si="102"/>
        <v>#N/A</v>
      </c>
      <c r="FC5" s="5" t="e">
        <f t="shared" si="103"/>
        <v>#N/A</v>
      </c>
      <c r="FD5" s="5" t="e">
        <f t="shared" si="104"/>
        <v>#N/A</v>
      </c>
      <c r="FE5" s="5" t="e">
        <f t="shared" si="105"/>
        <v>#N/A</v>
      </c>
      <c r="FF5" s="5" t="e">
        <f t="shared" si="106"/>
        <v>#N/A</v>
      </c>
      <c r="FG5" s="5" t="e">
        <f t="shared" si="107"/>
        <v>#N/A</v>
      </c>
      <c r="FH5" s="5" t="e">
        <f t="shared" si="108"/>
        <v>#N/A</v>
      </c>
      <c r="FI5" s="5" t="e">
        <f t="shared" si="109"/>
        <v>#N/A</v>
      </c>
      <c r="FJ5" s="5" t="e">
        <f t="shared" si="110"/>
        <v>#N/A</v>
      </c>
      <c r="FK5" s="5" t="e">
        <f t="shared" si="111"/>
        <v>#N/A</v>
      </c>
      <c r="FL5" s="5" t="e">
        <f t="shared" si="112"/>
        <v>#N/A</v>
      </c>
      <c r="FM5" s="5" t="e">
        <f t="shared" si="113"/>
        <v>#N/A</v>
      </c>
      <c r="FN5" s="5" t="e">
        <f t="shared" si="114"/>
        <v>#N/A</v>
      </c>
      <c r="FO5" s="5" t="e">
        <f t="shared" si="115"/>
        <v>#N/A</v>
      </c>
      <c r="FP5" s="5" t="e">
        <f t="shared" si="116"/>
        <v>#N/A</v>
      </c>
      <c r="FQ5" s="5" t="e">
        <f t="shared" si="117"/>
        <v>#N/A</v>
      </c>
      <c r="FR5" s="5" t="e">
        <f t="shared" si="118"/>
        <v>#N/A</v>
      </c>
      <c r="FS5" s="5" t="e">
        <f t="shared" si="119"/>
        <v>#N/A</v>
      </c>
      <c r="FT5" s="5" t="e">
        <f t="shared" si="120"/>
        <v>#N/A</v>
      </c>
      <c r="FU5" s="5" t="e">
        <f t="shared" si="121"/>
        <v>#N/A</v>
      </c>
      <c r="FV5" s="5" t="e">
        <f t="shared" si="122"/>
        <v>#N/A</v>
      </c>
      <c r="FW5" s="5" t="e">
        <f t="shared" si="123"/>
        <v>#N/A</v>
      </c>
      <c r="FX5" s="5" t="e">
        <f t="shared" si="124"/>
        <v>#N/A</v>
      </c>
      <c r="FY5" s="5" t="e">
        <f t="shared" si="125"/>
        <v>#N/A</v>
      </c>
      <c r="FZ5" s="5" t="e">
        <f t="shared" si="126"/>
        <v>#N/A</v>
      </c>
      <c r="GA5" s="5" t="e">
        <f t="shared" si="127"/>
        <v>#N/A</v>
      </c>
      <c r="GB5" s="5" t="e">
        <f t="shared" si="128"/>
        <v>#N/A</v>
      </c>
      <c r="GC5" s="5" t="e">
        <f t="shared" si="129"/>
        <v>#N/A</v>
      </c>
      <c r="GD5" s="5" t="e">
        <f t="shared" si="130"/>
        <v>#N/A</v>
      </c>
      <c r="GE5" s="5" t="e">
        <f t="shared" si="131"/>
        <v>#N/A</v>
      </c>
      <c r="GF5" s="5" t="e">
        <f t="shared" si="132"/>
        <v>#N/A</v>
      </c>
      <c r="GG5" s="5" t="e">
        <f t="shared" si="133"/>
        <v>#N/A</v>
      </c>
      <c r="GH5" s="5" t="e">
        <f t="shared" si="134"/>
        <v>#N/A</v>
      </c>
      <c r="GI5" s="5" t="e">
        <f t="shared" si="135"/>
        <v>#N/A</v>
      </c>
      <c r="GJ5" s="5" t="e">
        <f t="shared" si="136"/>
        <v>#N/A</v>
      </c>
      <c r="GK5" s="5" t="e">
        <f t="shared" si="137"/>
        <v>#N/A</v>
      </c>
      <c r="GL5" s="5" t="e">
        <f t="shared" si="138"/>
        <v>#N/A</v>
      </c>
      <c r="GM5" s="5" t="e">
        <f t="shared" si="139"/>
        <v>#N/A</v>
      </c>
      <c r="GN5" s="5" t="e">
        <f t="shared" si="140"/>
        <v>#N/A</v>
      </c>
      <c r="GO5" s="5" t="e">
        <f t="shared" si="141"/>
        <v>#N/A</v>
      </c>
      <c r="GP5" s="5" t="e">
        <f t="shared" si="142"/>
        <v>#N/A</v>
      </c>
      <c r="GQ5" s="5" t="e">
        <f t="shared" si="143"/>
        <v>#N/A</v>
      </c>
      <c r="GR5" s="5" t="e">
        <f t="shared" si="144"/>
        <v>#N/A</v>
      </c>
      <c r="GS5" s="5" t="e">
        <f t="shared" si="145"/>
        <v>#N/A</v>
      </c>
      <c r="GT5" s="5" t="e">
        <f t="shared" si="146"/>
        <v>#N/A</v>
      </c>
      <c r="GU5" s="5" t="e">
        <f t="shared" si="147"/>
        <v>#N/A</v>
      </c>
      <c r="GV5" s="5" t="e">
        <f t="shared" si="148"/>
        <v>#N/A</v>
      </c>
      <c r="GW5" s="5" t="e">
        <f t="shared" si="149"/>
        <v>#N/A</v>
      </c>
      <c r="GX5" s="5" t="e">
        <f t="shared" si="150"/>
        <v>#N/A</v>
      </c>
      <c r="GY5" s="5" t="e">
        <f t="shared" si="151"/>
        <v>#N/A</v>
      </c>
      <c r="GZ5" s="5" t="e">
        <f t="shared" si="152"/>
        <v>#N/A</v>
      </c>
      <c r="HA5" s="5" t="e">
        <f t="shared" si="153"/>
        <v>#N/A</v>
      </c>
      <c r="HC5" s="6" t="e">
        <f t="shared" si="154"/>
        <v>#N/A</v>
      </c>
      <c r="HD5" s="5" t="e">
        <f t="shared" si="155"/>
        <v>#N/A</v>
      </c>
      <c r="HE5" s="5" t="e">
        <f t="shared" si="156"/>
        <v>#N/A</v>
      </c>
      <c r="HF5" s="5" t="e">
        <f t="shared" si="157"/>
        <v>#N/A</v>
      </c>
      <c r="HG5" s="5" t="e">
        <f t="shared" si="158"/>
        <v>#N/A</v>
      </c>
      <c r="HH5" s="5" t="e">
        <f t="shared" si="159"/>
        <v>#N/A</v>
      </c>
      <c r="HI5" s="5" t="e">
        <f t="shared" si="160"/>
        <v>#N/A</v>
      </c>
      <c r="HJ5" s="5" t="e">
        <f t="shared" si="161"/>
        <v>#N/A</v>
      </c>
      <c r="HK5" s="5" t="e">
        <f t="shared" si="162"/>
        <v>#N/A</v>
      </c>
      <c r="HL5" s="5" t="e">
        <f t="shared" si="163"/>
        <v>#N/A</v>
      </c>
      <c r="HM5" s="5" t="e">
        <f t="shared" si="164"/>
        <v>#N/A</v>
      </c>
      <c r="HN5" s="5" t="e">
        <f t="shared" si="165"/>
        <v>#N/A</v>
      </c>
      <c r="HO5" s="5" t="e">
        <f t="shared" si="166"/>
        <v>#N/A</v>
      </c>
      <c r="HP5" s="5" t="e">
        <f t="shared" si="167"/>
        <v>#N/A</v>
      </c>
      <c r="HQ5" s="5" t="e">
        <f t="shared" si="168"/>
        <v>#N/A</v>
      </c>
      <c r="HR5" s="5" t="e">
        <f t="shared" si="169"/>
        <v>#N/A</v>
      </c>
      <c r="HS5" s="5" t="e">
        <f t="shared" si="170"/>
        <v>#N/A</v>
      </c>
      <c r="HT5" s="5" t="e">
        <f t="shared" si="171"/>
        <v>#N/A</v>
      </c>
      <c r="HU5" s="5" t="e">
        <f t="shared" si="172"/>
        <v>#N/A</v>
      </c>
      <c r="HV5" s="5" t="e">
        <f t="shared" si="173"/>
        <v>#N/A</v>
      </c>
      <c r="HW5" s="5" t="e">
        <f t="shared" si="174"/>
        <v>#N/A</v>
      </c>
      <c r="HX5" s="5" t="e">
        <f t="shared" si="175"/>
        <v>#N/A</v>
      </c>
      <c r="HY5" s="5" t="e">
        <f t="shared" si="176"/>
        <v>#N/A</v>
      </c>
      <c r="HZ5" s="5" t="e">
        <f t="shared" si="177"/>
        <v>#N/A</v>
      </c>
      <c r="IA5" s="5" t="e">
        <f t="shared" si="178"/>
        <v>#N/A</v>
      </c>
      <c r="IB5" s="5" t="e">
        <f t="shared" si="179"/>
        <v>#N/A</v>
      </c>
      <c r="IC5" s="5" t="e">
        <f t="shared" si="180"/>
        <v>#N/A</v>
      </c>
      <c r="ID5" s="5" t="e">
        <f t="shared" si="181"/>
        <v>#N/A</v>
      </c>
      <c r="IE5" s="5" t="e">
        <f t="shared" si="182"/>
        <v>#N/A</v>
      </c>
      <c r="IF5" s="5" t="e">
        <f t="shared" si="183"/>
        <v>#N/A</v>
      </c>
      <c r="IG5" s="5" t="e">
        <f t="shared" si="184"/>
        <v>#N/A</v>
      </c>
      <c r="IH5" s="5" t="e">
        <f t="shared" si="185"/>
        <v>#N/A</v>
      </c>
      <c r="II5" s="5" t="e">
        <f t="shared" si="186"/>
        <v>#N/A</v>
      </c>
      <c r="IJ5" s="5" t="e">
        <f t="shared" si="187"/>
        <v>#N/A</v>
      </c>
      <c r="IK5" s="5" t="e">
        <f t="shared" si="188"/>
        <v>#N/A</v>
      </c>
      <c r="IL5" s="5" t="e">
        <f t="shared" si="189"/>
        <v>#N/A</v>
      </c>
      <c r="IM5" s="5" t="e">
        <f t="shared" si="190"/>
        <v>#N/A</v>
      </c>
      <c r="IN5" s="5" t="e">
        <f t="shared" si="191"/>
        <v>#N/A</v>
      </c>
      <c r="IO5" s="5" t="e">
        <f t="shared" si="192"/>
        <v>#N/A</v>
      </c>
      <c r="IP5" s="5" t="e">
        <f t="shared" si="193"/>
        <v>#N/A</v>
      </c>
      <c r="IQ5" s="5" t="e">
        <f t="shared" si="194"/>
        <v>#N/A</v>
      </c>
      <c r="IR5" s="5" t="e">
        <f t="shared" si="195"/>
        <v>#N/A</v>
      </c>
      <c r="IS5" s="5" t="e">
        <f t="shared" si="196"/>
        <v>#N/A</v>
      </c>
      <c r="IT5" s="5" t="e">
        <f t="shared" si="197"/>
        <v>#N/A</v>
      </c>
      <c r="IU5" s="5" t="e">
        <f t="shared" si="198"/>
        <v>#N/A</v>
      </c>
      <c r="IV5" s="5" t="e">
        <f t="shared" si="199"/>
        <v>#N/A</v>
      </c>
      <c r="IW5" s="5" t="e">
        <f t="shared" si="200"/>
        <v>#N/A</v>
      </c>
      <c r="IX5" s="5" t="e">
        <f t="shared" si="201"/>
        <v>#N/A</v>
      </c>
      <c r="IY5" s="5" t="e">
        <f t="shared" si="202"/>
        <v>#N/A</v>
      </c>
      <c r="IZ5" s="5" t="e">
        <f t="shared" si="203"/>
        <v>#N/A</v>
      </c>
      <c r="JA5" s="5" t="e">
        <f t="shared" si="204"/>
        <v>#N/A</v>
      </c>
      <c r="JB5" s="5" t="e">
        <f t="shared" si="205"/>
        <v>#N/A</v>
      </c>
      <c r="JC5" s="5" t="e">
        <f t="shared" si="206"/>
        <v>#N/A</v>
      </c>
      <c r="JD5" s="5" t="e">
        <f t="shared" si="207"/>
        <v>#N/A</v>
      </c>
      <c r="JE5" s="5" t="e">
        <f t="shared" si="208"/>
        <v>#N/A</v>
      </c>
      <c r="JF5" s="5" t="e">
        <f t="shared" si="209"/>
        <v>#N/A</v>
      </c>
      <c r="JG5" s="5" t="e">
        <f t="shared" si="210"/>
        <v>#N/A</v>
      </c>
      <c r="JH5" s="5" t="e">
        <f t="shared" si="211"/>
        <v>#N/A</v>
      </c>
      <c r="JI5" s="5" t="e">
        <f t="shared" si="212"/>
        <v>#N/A</v>
      </c>
      <c r="JJ5" s="5" t="e">
        <f t="shared" si="213"/>
        <v>#N/A</v>
      </c>
      <c r="JK5" s="5" t="e">
        <f t="shared" si="214"/>
        <v>#N/A</v>
      </c>
      <c r="JM5" s="19" t="e">
        <f t="shared" si="215"/>
        <v>#N/A</v>
      </c>
      <c r="JN5" s="1">
        <v>3</v>
      </c>
      <c r="JO5" s="47" t="e">
        <f>HLOOKUP(JM5,HC$2:JK5,2+JN4,0)-IF(KE5&gt;0,KE5,0)</f>
        <v>#N/A</v>
      </c>
      <c r="JP5" s="47" t="e">
        <f t="shared" si="216"/>
        <v>#N/A</v>
      </c>
      <c r="JQ5" s="17">
        <v>46117</v>
      </c>
      <c r="JR5" s="17">
        <v>46172</v>
      </c>
      <c r="JS5" s="6">
        <f t="shared" si="217"/>
        <v>55</v>
      </c>
      <c r="JT5" s="5" t="e">
        <f t="shared" si="218"/>
        <v>#N/A</v>
      </c>
      <c r="JU5" s="13">
        <f t="shared" ca="1" si="22"/>
        <v>46161</v>
      </c>
      <c r="JV5" s="6" t="e">
        <f t="shared" si="219"/>
        <v>#N/A</v>
      </c>
      <c r="JW5" s="6"/>
      <c r="JX5" s="6"/>
      <c r="JY5" s="6">
        <f t="shared" si="220"/>
        <v>0</v>
      </c>
      <c r="JZ5" s="10" t="e">
        <f t="shared" si="221"/>
        <v>#N/A</v>
      </c>
      <c r="KA5" s="10" t="e">
        <f t="shared" si="222"/>
        <v>#N/A</v>
      </c>
      <c r="KB5" s="10" t="e">
        <f t="shared" si="223"/>
        <v>#N/A</v>
      </c>
      <c r="KC5" s="10" t="e">
        <f t="shared" si="224"/>
        <v>#N/A</v>
      </c>
      <c r="KD5" s="5" t="e">
        <f t="shared" si="225"/>
        <v>#N/A</v>
      </c>
      <c r="KE5" s="6" t="e">
        <f t="shared" si="226"/>
        <v>#N/A</v>
      </c>
      <c r="KG5" s="26"/>
      <c r="KI5" s="6"/>
    </row>
    <row r="6" spans="1:297" x14ac:dyDescent="0.3">
      <c r="C6" s="14" t="e">
        <f>VLOOKUP(B6,DD!A:B,2,0)</f>
        <v>#N/A</v>
      </c>
      <c r="D6" s="14" t="e">
        <f>VLOOKUP(B6,DD!A:K,11,0)</f>
        <v>#N/A</v>
      </c>
      <c r="E6" s="1" t="e">
        <f>VLOOKUP(B6,DD!A:L,12,0)</f>
        <v>#N/A</v>
      </c>
      <c r="F6" s="64" t="e">
        <f>VLOOKUP(B6,DD!A:D,4,0)</f>
        <v>#N/A</v>
      </c>
      <c r="G6" s="9">
        <v>1</v>
      </c>
      <c r="H6" s="3" t="e">
        <f>VLOOKUP(B6,DD!A:E,5,0)</f>
        <v>#N/A</v>
      </c>
      <c r="I6" s="3" t="e">
        <f t="shared" si="23"/>
        <v>#N/A</v>
      </c>
      <c r="J6" s="3" t="e">
        <f>VLOOKUP(B6,DD!A:F,6,0)</f>
        <v>#N/A</v>
      </c>
      <c r="K6" s="3" t="e">
        <f>VLOOKUP(B6,DD!A:H,8,0)</f>
        <v>#N/A</v>
      </c>
      <c r="L6" s="3" t="e">
        <f>VLOOKUP(B6,DD!A:I,9,0)</f>
        <v>#N/A</v>
      </c>
      <c r="M6" s="3" t="e">
        <f>VLOOKUP(B6,DD!A:J,10,0)</f>
        <v>#N/A</v>
      </c>
      <c r="N6" s="3" t="s">
        <v>8</v>
      </c>
      <c r="O6" s="3" t="s">
        <v>9</v>
      </c>
      <c r="P6" s="4" t="e">
        <f>VLOOKUP(B6,DD!A:C,3,0)</f>
        <v>#N/A</v>
      </c>
      <c r="Q6" s="5" t="e">
        <f t="shared" si="24"/>
        <v>#N/A</v>
      </c>
      <c r="R6" s="5" t="e">
        <f t="shared" si="25"/>
        <v>#N/A</v>
      </c>
      <c r="S6" s="5" t="e">
        <f t="shared" si="26"/>
        <v>#N/A</v>
      </c>
      <c r="T6" s="6" t="e">
        <f t="shared" si="27"/>
        <v>#N/A</v>
      </c>
      <c r="U6" s="5" t="e">
        <f t="shared" si="28"/>
        <v>#N/A</v>
      </c>
      <c r="V6" s="6" t="e">
        <f t="shared" si="29"/>
        <v>#N/A</v>
      </c>
      <c r="W6" s="7" t="e">
        <f t="shared" si="30"/>
        <v>#N/A</v>
      </c>
      <c r="X6" s="8" t="e">
        <f t="shared" si="8"/>
        <v>#VALUE!</v>
      </c>
      <c r="Y6" s="6" t="e">
        <f t="shared" si="31"/>
        <v>#N/A</v>
      </c>
      <c r="Z6" s="7" t="e">
        <f t="shared" si="10"/>
        <v>#N/A</v>
      </c>
      <c r="AA6" s="7" t="e">
        <f t="shared" si="10"/>
        <v>#N/A</v>
      </c>
      <c r="AB6" s="7" t="e">
        <f t="shared" si="10"/>
        <v>#N/A</v>
      </c>
      <c r="AC6" s="7" t="e">
        <f t="shared" si="10"/>
        <v>#N/A</v>
      </c>
      <c r="AD6" s="7" t="e">
        <f t="shared" si="10"/>
        <v>#N/A</v>
      </c>
      <c r="AE6" s="7" t="e">
        <f t="shared" si="10"/>
        <v>#N/A</v>
      </c>
      <c r="AF6" s="7" t="e">
        <f t="shared" si="10"/>
        <v>#N/A</v>
      </c>
      <c r="AG6" s="7" t="e">
        <f t="shared" si="10"/>
        <v>#N/A</v>
      </c>
      <c r="AH6" s="7" t="e">
        <f t="shared" si="10"/>
        <v>#N/A</v>
      </c>
      <c r="AI6" s="7" t="e">
        <f t="shared" si="10"/>
        <v>#N/A</v>
      </c>
      <c r="AJ6" s="7" t="e">
        <f t="shared" si="10"/>
        <v>#N/A</v>
      </c>
      <c r="AK6" s="7" t="e">
        <f t="shared" si="10"/>
        <v>#N/A</v>
      </c>
      <c r="AL6" s="7" t="e">
        <f t="shared" si="10"/>
        <v>#N/A</v>
      </c>
      <c r="AM6" s="7" t="e">
        <f t="shared" si="10"/>
        <v>#N/A</v>
      </c>
      <c r="AN6" s="7" t="e">
        <f t="shared" si="10"/>
        <v>#N/A</v>
      </c>
      <c r="AO6" s="7" t="e">
        <f t="shared" si="10"/>
        <v>#N/A</v>
      </c>
      <c r="AP6" s="7" t="e">
        <f t="shared" si="10"/>
        <v>#N/A</v>
      </c>
      <c r="AQ6" s="7" t="e">
        <f t="shared" si="10"/>
        <v>#N/A</v>
      </c>
      <c r="AR6" s="7" t="e">
        <f t="shared" si="10"/>
        <v>#N/A</v>
      </c>
      <c r="AS6" s="7" t="e">
        <f t="shared" si="10"/>
        <v>#N/A</v>
      </c>
      <c r="AT6" s="7" t="e">
        <f t="shared" si="10"/>
        <v>#N/A</v>
      </c>
      <c r="AU6" s="7" t="e">
        <f t="shared" si="10"/>
        <v>#N/A</v>
      </c>
      <c r="AV6" s="7" t="e">
        <f t="shared" si="10"/>
        <v>#N/A</v>
      </c>
      <c r="AW6" s="7" t="e">
        <f t="shared" si="10"/>
        <v>#N/A</v>
      </c>
      <c r="AX6" s="7" t="e">
        <f t="shared" si="10"/>
        <v>#N/A</v>
      </c>
      <c r="AY6" s="7" t="e">
        <f t="shared" si="10"/>
        <v>#N/A</v>
      </c>
      <c r="AZ6" s="7" t="e">
        <f t="shared" si="10"/>
        <v>#N/A</v>
      </c>
      <c r="BA6" s="7" t="e">
        <f t="shared" si="10"/>
        <v>#N/A</v>
      </c>
      <c r="BB6" s="7" t="e">
        <f t="shared" si="10"/>
        <v>#N/A</v>
      </c>
      <c r="BC6" s="7" t="e">
        <f t="shared" si="10"/>
        <v>#N/A</v>
      </c>
      <c r="BD6" s="7" t="e">
        <f t="shared" si="10"/>
        <v>#N/A</v>
      </c>
      <c r="BE6" s="7" t="e">
        <f t="shared" si="10"/>
        <v>#N/A</v>
      </c>
      <c r="BF6" s="7" t="e">
        <f t="shared" si="11"/>
        <v>#N/A</v>
      </c>
      <c r="BG6" s="7" t="e">
        <f t="shared" si="11"/>
        <v>#N/A</v>
      </c>
      <c r="BH6" s="7" t="e">
        <f t="shared" si="11"/>
        <v>#N/A</v>
      </c>
      <c r="BI6" s="7" t="e">
        <f t="shared" si="11"/>
        <v>#N/A</v>
      </c>
      <c r="BJ6" s="7" t="e">
        <f t="shared" si="11"/>
        <v>#N/A</v>
      </c>
      <c r="BK6" s="7" t="e">
        <f t="shared" si="11"/>
        <v>#N/A</v>
      </c>
      <c r="BL6" s="7" t="e">
        <f t="shared" si="11"/>
        <v>#N/A</v>
      </c>
      <c r="BM6" s="7" t="e">
        <f t="shared" si="11"/>
        <v>#N/A</v>
      </c>
      <c r="BN6" s="7" t="e">
        <f t="shared" si="11"/>
        <v>#N/A</v>
      </c>
      <c r="BO6" s="7" t="e">
        <f t="shared" si="11"/>
        <v>#N/A</v>
      </c>
      <c r="BP6" s="7" t="e">
        <f t="shared" si="11"/>
        <v>#N/A</v>
      </c>
      <c r="BQ6" s="7" t="e">
        <f t="shared" si="11"/>
        <v>#N/A</v>
      </c>
      <c r="BR6" s="7" t="e">
        <f t="shared" si="11"/>
        <v>#N/A</v>
      </c>
      <c r="BS6" s="7" t="e">
        <f t="shared" si="11"/>
        <v>#N/A</v>
      </c>
      <c r="BT6" s="7" t="e">
        <f t="shared" si="11"/>
        <v>#N/A</v>
      </c>
      <c r="BU6" s="7" t="e">
        <f t="shared" si="11"/>
        <v>#N/A</v>
      </c>
      <c r="BV6" s="7" t="e">
        <f t="shared" si="11"/>
        <v>#N/A</v>
      </c>
      <c r="BW6" s="7" t="e">
        <f t="shared" si="11"/>
        <v>#N/A</v>
      </c>
      <c r="BX6" s="7" t="e">
        <f t="shared" si="11"/>
        <v>#N/A</v>
      </c>
      <c r="BY6" s="7" t="e">
        <f t="shared" si="11"/>
        <v>#N/A</v>
      </c>
      <c r="BZ6" s="7" t="e">
        <f t="shared" si="11"/>
        <v>#N/A</v>
      </c>
      <c r="CA6" s="7" t="e">
        <f t="shared" si="11"/>
        <v>#N/A</v>
      </c>
      <c r="CB6" s="7" t="e">
        <f t="shared" si="11"/>
        <v>#N/A</v>
      </c>
      <c r="CC6" s="7" t="e">
        <f t="shared" si="11"/>
        <v>#N/A</v>
      </c>
      <c r="CD6" s="7" t="e">
        <f t="shared" si="11"/>
        <v>#N/A</v>
      </c>
      <c r="CE6" s="7" t="e">
        <f t="shared" si="11"/>
        <v>#N/A</v>
      </c>
      <c r="CF6" s="7" t="e">
        <f t="shared" si="11"/>
        <v>#N/A</v>
      </c>
      <c r="CG6" s="7" t="e">
        <f t="shared" si="11"/>
        <v>#N/A</v>
      </c>
      <c r="CH6" s="6" t="e">
        <f t="shared" si="32"/>
        <v>#N/A</v>
      </c>
      <c r="CI6" s="5" t="e">
        <f t="shared" si="33"/>
        <v>#N/A</v>
      </c>
      <c r="CK6" s="5" t="e">
        <f t="shared" si="34"/>
        <v>#N/A</v>
      </c>
      <c r="CL6" s="5" t="e">
        <f t="shared" si="35"/>
        <v>#N/A</v>
      </c>
      <c r="CM6" s="5" t="e">
        <f t="shared" si="36"/>
        <v>#N/A</v>
      </c>
      <c r="CN6" s="5" t="e">
        <f t="shared" si="37"/>
        <v>#N/A</v>
      </c>
      <c r="CO6" s="5" t="e">
        <f t="shared" si="38"/>
        <v>#N/A</v>
      </c>
      <c r="CP6" s="5" t="e">
        <f t="shared" si="39"/>
        <v>#N/A</v>
      </c>
      <c r="CQ6" s="5" t="e">
        <f t="shared" si="40"/>
        <v>#N/A</v>
      </c>
      <c r="CR6" s="5" t="e">
        <f t="shared" si="41"/>
        <v>#N/A</v>
      </c>
      <c r="CS6" s="5" t="e">
        <f t="shared" si="42"/>
        <v>#N/A</v>
      </c>
      <c r="CT6" s="5" t="e">
        <f t="shared" si="43"/>
        <v>#N/A</v>
      </c>
      <c r="CU6" s="5" t="e">
        <f t="shared" si="44"/>
        <v>#N/A</v>
      </c>
      <c r="CV6" s="5" t="e">
        <f t="shared" si="45"/>
        <v>#N/A</v>
      </c>
      <c r="CW6" s="5" t="e">
        <f t="shared" si="46"/>
        <v>#N/A</v>
      </c>
      <c r="CX6" s="5" t="e">
        <f t="shared" si="47"/>
        <v>#N/A</v>
      </c>
      <c r="CY6" s="5" t="e">
        <f t="shared" si="48"/>
        <v>#N/A</v>
      </c>
      <c r="CZ6" s="5" t="e">
        <f t="shared" si="49"/>
        <v>#N/A</v>
      </c>
      <c r="DA6" s="5" t="e">
        <f t="shared" si="50"/>
        <v>#N/A</v>
      </c>
      <c r="DB6" s="5" t="e">
        <f t="shared" si="51"/>
        <v>#N/A</v>
      </c>
      <c r="DC6" s="5" t="e">
        <f t="shared" si="52"/>
        <v>#N/A</v>
      </c>
      <c r="DD6" s="5" t="e">
        <f t="shared" si="53"/>
        <v>#N/A</v>
      </c>
      <c r="DE6" s="5" t="e">
        <f t="shared" si="54"/>
        <v>#N/A</v>
      </c>
      <c r="DF6" s="5" t="e">
        <f t="shared" si="55"/>
        <v>#N/A</v>
      </c>
      <c r="DG6" s="5" t="e">
        <f t="shared" si="56"/>
        <v>#N/A</v>
      </c>
      <c r="DH6" s="5" t="e">
        <f t="shared" si="57"/>
        <v>#N/A</v>
      </c>
      <c r="DI6" s="5" t="e">
        <f t="shared" si="58"/>
        <v>#N/A</v>
      </c>
      <c r="DJ6" s="5" t="e">
        <f t="shared" si="59"/>
        <v>#N/A</v>
      </c>
      <c r="DK6" s="5" t="e">
        <f t="shared" si="60"/>
        <v>#N/A</v>
      </c>
      <c r="DL6" s="5" t="e">
        <f t="shared" si="61"/>
        <v>#N/A</v>
      </c>
      <c r="DM6" s="5" t="e">
        <f t="shared" si="62"/>
        <v>#N/A</v>
      </c>
      <c r="DN6" s="5" t="e">
        <f t="shared" si="63"/>
        <v>#N/A</v>
      </c>
      <c r="DO6" s="5" t="e">
        <f t="shared" si="64"/>
        <v>#N/A</v>
      </c>
      <c r="DP6" s="5" t="e">
        <f t="shared" si="65"/>
        <v>#N/A</v>
      </c>
      <c r="DQ6" s="5" t="e">
        <f t="shared" si="66"/>
        <v>#N/A</v>
      </c>
      <c r="DR6" s="5" t="e">
        <f t="shared" si="67"/>
        <v>#N/A</v>
      </c>
      <c r="DS6" s="5" t="e">
        <f t="shared" si="68"/>
        <v>#N/A</v>
      </c>
      <c r="DT6" s="5" t="e">
        <f t="shared" si="69"/>
        <v>#N/A</v>
      </c>
      <c r="DU6" s="5" t="e">
        <f t="shared" si="70"/>
        <v>#N/A</v>
      </c>
      <c r="DV6" s="5" t="e">
        <f t="shared" si="71"/>
        <v>#N/A</v>
      </c>
      <c r="DW6" s="5" t="e">
        <f t="shared" si="72"/>
        <v>#N/A</v>
      </c>
      <c r="DX6" s="5" t="e">
        <f t="shared" si="73"/>
        <v>#N/A</v>
      </c>
      <c r="DY6" s="5" t="e">
        <f t="shared" si="74"/>
        <v>#N/A</v>
      </c>
      <c r="DZ6" s="5" t="e">
        <f t="shared" si="75"/>
        <v>#N/A</v>
      </c>
      <c r="EA6" s="5" t="e">
        <f t="shared" si="76"/>
        <v>#N/A</v>
      </c>
      <c r="EB6" s="5" t="e">
        <f t="shared" si="77"/>
        <v>#N/A</v>
      </c>
      <c r="EC6" s="5" t="e">
        <f t="shared" si="78"/>
        <v>#N/A</v>
      </c>
      <c r="ED6" s="5" t="e">
        <f t="shared" si="79"/>
        <v>#N/A</v>
      </c>
      <c r="EE6" s="5" t="e">
        <f t="shared" si="80"/>
        <v>#N/A</v>
      </c>
      <c r="EF6" s="5" t="e">
        <f t="shared" si="81"/>
        <v>#N/A</v>
      </c>
      <c r="EG6" s="5" t="e">
        <f t="shared" si="82"/>
        <v>#N/A</v>
      </c>
      <c r="EH6" s="5" t="e">
        <f t="shared" si="83"/>
        <v>#N/A</v>
      </c>
      <c r="EI6" s="5" t="e">
        <f t="shared" si="84"/>
        <v>#N/A</v>
      </c>
      <c r="EJ6" s="5" t="e">
        <f t="shared" si="85"/>
        <v>#N/A</v>
      </c>
      <c r="EK6" s="5" t="e">
        <f t="shared" si="86"/>
        <v>#N/A</v>
      </c>
      <c r="EL6" s="5" t="e">
        <f t="shared" si="87"/>
        <v>#N/A</v>
      </c>
      <c r="EM6" s="5" t="e">
        <f t="shared" si="88"/>
        <v>#N/A</v>
      </c>
      <c r="EN6" s="5" t="e">
        <f t="shared" si="89"/>
        <v>#N/A</v>
      </c>
      <c r="EO6" s="5" t="e">
        <f t="shared" si="90"/>
        <v>#N/A</v>
      </c>
      <c r="EP6" s="5" t="e">
        <f t="shared" si="91"/>
        <v>#N/A</v>
      </c>
      <c r="EQ6" s="5" t="e">
        <f t="shared" si="92"/>
        <v>#N/A</v>
      </c>
      <c r="ER6" s="5" t="e">
        <f t="shared" si="93"/>
        <v>#N/A</v>
      </c>
      <c r="ET6" s="5" t="e">
        <f t="shared" si="94"/>
        <v>#N/A</v>
      </c>
      <c r="EU6" s="5" t="e">
        <f t="shared" si="95"/>
        <v>#N/A</v>
      </c>
      <c r="EV6" s="5" t="e">
        <f t="shared" si="96"/>
        <v>#N/A</v>
      </c>
      <c r="EW6" s="5" t="e">
        <f t="shared" si="97"/>
        <v>#N/A</v>
      </c>
      <c r="EX6" s="5" t="e">
        <f t="shared" si="98"/>
        <v>#N/A</v>
      </c>
      <c r="EY6" s="5" t="e">
        <f t="shared" si="99"/>
        <v>#N/A</v>
      </c>
      <c r="EZ6" s="5" t="e">
        <f t="shared" si="100"/>
        <v>#N/A</v>
      </c>
      <c r="FA6" s="5" t="e">
        <f t="shared" si="101"/>
        <v>#N/A</v>
      </c>
      <c r="FB6" s="5" t="e">
        <f t="shared" si="102"/>
        <v>#N/A</v>
      </c>
      <c r="FC6" s="5" t="e">
        <f t="shared" si="103"/>
        <v>#N/A</v>
      </c>
      <c r="FD6" s="5" t="e">
        <f t="shared" si="104"/>
        <v>#N/A</v>
      </c>
      <c r="FE6" s="5" t="e">
        <f t="shared" si="105"/>
        <v>#N/A</v>
      </c>
      <c r="FF6" s="5" t="e">
        <f t="shared" si="106"/>
        <v>#N/A</v>
      </c>
      <c r="FG6" s="5" t="e">
        <f t="shared" si="107"/>
        <v>#N/A</v>
      </c>
      <c r="FH6" s="5" t="e">
        <f t="shared" si="108"/>
        <v>#N/A</v>
      </c>
      <c r="FI6" s="5" t="e">
        <f t="shared" si="109"/>
        <v>#N/A</v>
      </c>
      <c r="FJ6" s="5" t="e">
        <f t="shared" si="110"/>
        <v>#N/A</v>
      </c>
      <c r="FK6" s="5" t="e">
        <f t="shared" si="111"/>
        <v>#N/A</v>
      </c>
      <c r="FL6" s="5" t="e">
        <f t="shared" si="112"/>
        <v>#N/A</v>
      </c>
      <c r="FM6" s="5" t="e">
        <f t="shared" si="113"/>
        <v>#N/A</v>
      </c>
      <c r="FN6" s="5" t="e">
        <f t="shared" si="114"/>
        <v>#N/A</v>
      </c>
      <c r="FO6" s="5" t="e">
        <f t="shared" si="115"/>
        <v>#N/A</v>
      </c>
      <c r="FP6" s="5" t="e">
        <f t="shared" si="116"/>
        <v>#N/A</v>
      </c>
      <c r="FQ6" s="5" t="e">
        <f t="shared" si="117"/>
        <v>#N/A</v>
      </c>
      <c r="FR6" s="5" t="e">
        <f t="shared" si="118"/>
        <v>#N/A</v>
      </c>
      <c r="FS6" s="5" t="e">
        <f t="shared" si="119"/>
        <v>#N/A</v>
      </c>
      <c r="FT6" s="5" t="e">
        <f t="shared" si="120"/>
        <v>#N/A</v>
      </c>
      <c r="FU6" s="5" t="e">
        <f t="shared" si="121"/>
        <v>#N/A</v>
      </c>
      <c r="FV6" s="5" t="e">
        <f t="shared" si="122"/>
        <v>#N/A</v>
      </c>
      <c r="FW6" s="5" t="e">
        <f t="shared" si="123"/>
        <v>#N/A</v>
      </c>
      <c r="FX6" s="5" t="e">
        <f t="shared" si="124"/>
        <v>#N/A</v>
      </c>
      <c r="FY6" s="5" t="e">
        <f t="shared" si="125"/>
        <v>#N/A</v>
      </c>
      <c r="FZ6" s="5" t="e">
        <f t="shared" si="126"/>
        <v>#N/A</v>
      </c>
      <c r="GA6" s="5" t="e">
        <f t="shared" si="127"/>
        <v>#N/A</v>
      </c>
      <c r="GB6" s="5" t="e">
        <f t="shared" si="128"/>
        <v>#N/A</v>
      </c>
      <c r="GC6" s="5" t="e">
        <f t="shared" si="129"/>
        <v>#N/A</v>
      </c>
      <c r="GD6" s="5" t="e">
        <f t="shared" si="130"/>
        <v>#N/A</v>
      </c>
      <c r="GE6" s="5" t="e">
        <f t="shared" si="131"/>
        <v>#N/A</v>
      </c>
      <c r="GF6" s="5" t="e">
        <f t="shared" si="132"/>
        <v>#N/A</v>
      </c>
      <c r="GG6" s="5" t="e">
        <f t="shared" si="133"/>
        <v>#N/A</v>
      </c>
      <c r="GH6" s="5" t="e">
        <f t="shared" si="134"/>
        <v>#N/A</v>
      </c>
      <c r="GI6" s="5" t="e">
        <f t="shared" si="135"/>
        <v>#N/A</v>
      </c>
      <c r="GJ6" s="5" t="e">
        <f t="shared" si="136"/>
        <v>#N/A</v>
      </c>
      <c r="GK6" s="5" t="e">
        <f t="shared" si="137"/>
        <v>#N/A</v>
      </c>
      <c r="GL6" s="5" t="e">
        <f t="shared" si="138"/>
        <v>#N/A</v>
      </c>
      <c r="GM6" s="5" t="e">
        <f t="shared" si="139"/>
        <v>#N/A</v>
      </c>
      <c r="GN6" s="5" t="e">
        <f t="shared" si="140"/>
        <v>#N/A</v>
      </c>
      <c r="GO6" s="5" t="e">
        <f t="shared" si="141"/>
        <v>#N/A</v>
      </c>
      <c r="GP6" s="5" t="e">
        <f t="shared" si="142"/>
        <v>#N/A</v>
      </c>
      <c r="GQ6" s="5" t="e">
        <f t="shared" si="143"/>
        <v>#N/A</v>
      </c>
      <c r="GR6" s="5" t="e">
        <f t="shared" si="144"/>
        <v>#N/A</v>
      </c>
      <c r="GS6" s="5" t="e">
        <f t="shared" si="145"/>
        <v>#N/A</v>
      </c>
      <c r="GT6" s="5" t="e">
        <f t="shared" si="146"/>
        <v>#N/A</v>
      </c>
      <c r="GU6" s="5" t="e">
        <f t="shared" si="147"/>
        <v>#N/A</v>
      </c>
      <c r="GV6" s="5" t="e">
        <f t="shared" si="148"/>
        <v>#N/A</v>
      </c>
      <c r="GW6" s="5" t="e">
        <f t="shared" si="149"/>
        <v>#N/A</v>
      </c>
      <c r="GX6" s="5" t="e">
        <f t="shared" si="150"/>
        <v>#N/A</v>
      </c>
      <c r="GY6" s="5" t="e">
        <f t="shared" si="151"/>
        <v>#N/A</v>
      </c>
      <c r="GZ6" s="5" t="e">
        <f t="shared" si="152"/>
        <v>#N/A</v>
      </c>
      <c r="HA6" s="5" t="e">
        <f t="shared" si="153"/>
        <v>#N/A</v>
      </c>
      <c r="HC6" s="6" t="e">
        <f t="shared" si="154"/>
        <v>#N/A</v>
      </c>
      <c r="HD6" s="5" t="e">
        <f t="shared" si="155"/>
        <v>#N/A</v>
      </c>
      <c r="HE6" s="5" t="e">
        <f t="shared" si="156"/>
        <v>#N/A</v>
      </c>
      <c r="HF6" s="5" t="e">
        <f t="shared" si="157"/>
        <v>#N/A</v>
      </c>
      <c r="HG6" s="5" t="e">
        <f t="shared" si="158"/>
        <v>#N/A</v>
      </c>
      <c r="HH6" s="5" t="e">
        <f t="shared" si="159"/>
        <v>#N/A</v>
      </c>
      <c r="HI6" s="5" t="e">
        <f t="shared" si="160"/>
        <v>#N/A</v>
      </c>
      <c r="HJ6" s="5" t="e">
        <f t="shared" si="161"/>
        <v>#N/A</v>
      </c>
      <c r="HK6" s="5" t="e">
        <f t="shared" si="162"/>
        <v>#N/A</v>
      </c>
      <c r="HL6" s="5" t="e">
        <f t="shared" si="163"/>
        <v>#N/A</v>
      </c>
      <c r="HM6" s="5" t="e">
        <f t="shared" si="164"/>
        <v>#N/A</v>
      </c>
      <c r="HN6" s="5" t="e">
        <f t="shared" si="165"/>
        <v>#N/A</v>
      </c>
      <c r="HO6" s="5" t="e">
        <f t="shared" si="166"/>
        <v>#N/A</v>
      </c>
      <c r="HP6" s="5" t="e">
        <f t="shared" si="167"/>
        <v>#N/A</v>
      </c>
      <c r="HQ6" s="5" t="e">
        <f t="shared" si="168"/>
        <v>#N/A</v>
      </c>
      <c r="HR6" s="5" t="e">
        <f t="shared" si="169"/>
        <v>#N/A</v>
      </c>
      <c r="HS6" s="5" t="e">
        <f t="shared" si="170"/>
        <v>#N/A</v>
      </c>
      <c r="HT6" s="5" t="e">
        <f t="shared" si="171"/>
        <v>#N/A</v>
      </c>
      <c r="HU6" s="5" t="e">
        <f t="shared" si="172"/>
        <v>#N/A</v>
      </c>
      <c r="HV6" s="5" t="e">
        <f t="shared" si="173"/>
        <v>#N/A</v>
      </c>
      <c r="HW6" s="5" t="e">
        <f t="shared" si="174"/>
        <v>#N/A</v>
      </c>
      <c r="HX6" s="5" t="e">
        <f t="shared" si="175"/>
        <v>#N/A</v>
      </c>
      <c r="HY6" s="5" t="e">
        <f t="shared" si="176"/>
        <v>#N/A</v>
      </c>
      <c r="HZ6" s="5" t="e">
        <f t="shared" si="177"/>
        <v>#N/A</v>
      </c>
      <c r="IA6" s="5" t="e">
        <f t="shared" si="178"/>
        <v>#N/A</v>
      </c>
      <c r="IB6" s="5" t="e">
        <f t="shared" si="179"/>
        <v>#N/A</v>
      </c>
      <c r="IC6" s="5" t="e">
        <f t="shared" si="180"/>
        <v>#N/A</v>
      </c>
      <c r="ID6" s="5" t="e">
        <f t="shared" si="181"/>
        <v>#N/A</v>
      </c>
      <c r="IE6" s="5" t="e">
        <f t="shared" si="182"/>
        <v>#N/A</v>
      </c>
      <c r="IF6" s="5" t="e">
        <f t="shared" si="183"/>
        <v>#N/A</v>
      </c>
      <c r="IG6" s="5" t="e">
        <f t="shared" si="184"/>
        <v>#N/A</v>
      </c>
      <c r="IH6" s="5" t="e">
        <f t="shared" si="185"/>
        <v>#N/A</v>
      </c>
      <c r="II6" s="5" t="e">
        <f t="shared" si="186"/>
        <v>#N/A</v>
      </c>
      <c r="IJ6" s="5" t="e">
        <f t="shared" si="187"/>
        <v>#N/A</v>
      </c>
      <c r="IK6" s="5" t="e">
        <f t="shared" si="188"/>
        <v>#N/A</v>
      </c>
      <c r="IL6" s="5" t="e">
        <f t="shared" si="189"/>
        <v>#N/A</v>
      </c>
      <c r="IM6" s="5" t="e">
        <f t="shared" si="190"/>
        <v>#N/A</v>
      </c>
      <c r="IN6" s="5" t="e">
        <f t="shared" si="191"/>
        <v>#N/A</v>
      </c>
      <c r="IO6" s="5" t="e">
        <f t="shared" si="192"/>
        <v>#N/A</v>
      </c>
      <c r="IP6" s="5" t="e">
        <f t="shared" si="193"/>
        <v>#N/A</v>
      </c>
      <c r="IQ6" s="5" t="e">
        <f t="shared" si="194"/>
        <v>#N/A</v>
      </c>
      <c r="IR6" s="5" t="e">
        <f t="shared" si="195"/>
        <v>#N/A</v>
      </c>
      <c r="IS6" s="5" t="e">
        <f t="shared" si="196"/>
        <v>#N/A</v>
      </c>
      <c r="IT6" s="5" t="e">
        <f t="shared" si="197"/>
        <v>#N/A</v>
      </c>
      <c r="IU6" s="5" t="e">
        <f t="shared" si="198"/>
        <v>#N/A</v>
      </c>
      <c r="IV6" s="5" t="e">
        <f t="shared" si="199"/>
        <v>#N/A</v>
      </c>
      <c r="IW6" s="5" t="e">
        <f t="shared" si="200"/>
        <v>#N/A</v>
      </c>
      <c r="IX6" s="5" t="e">
        <f t="shared" si="201"/>
        <v>#N/A</v>
      </c>
      <c r="IY6" s="5" t="e">
        <f t="shared" si="202"/>
        <v>#N/A</v>
      </c>
      <c r="IZ6" s="5" t="e">
        <f t="shared" si="203"/>
        <v>#N/A</v>
      </c>
      <c r="JA6" s="5" t="e">
        <f t="shared" si="204"/>
        <v>#N/A</v>
      </c>
      <c r="JB6" s="5" t="e">
        <f t="shared" si="205"/>
        <v>#N/A</v>
      </c>
      <c r="JC6" s="5" t="e">
        <f t="shared" si="206"/>
        <v>#N/A</v>
      </c>
      <c r="JD6" s="5" t="e">
        <f t="shared" si="207"/>
        <v>#N/A</v>
      </c>
      <c r="JE6" s="5" t="e">
        <f t="shared" si="208"/>
        <v>#N/A</v>
      </c>
      <c r="JF6" s="5" t="e">
        <f t="shared" si="209"/>
        <v>#N/A</v>
      </c>
      <c r="JG6" s="5" t="e">
        <f t="shared" si="210"/>
        <v>#N/A</v>
      </c>
      <c r="JH6" s="5" t="e">
        <f t="shared" si="211"/>
        <v>#N/A</v>
      </c>
      <c r="JI6" s="5" t="e">
        <f t="shared" si="212"/>
        <v>#N/A</v>
      </c>
      <c r="JJ6" s="5" t="e">
        <f t="shared" si="213"/>
        <v>#N/A</v>
      </c>
      <c r="JK6" s="5" t="e">
        <f t="shared" si="214"/>
        <v>#N/A</v>
      </c>
      <c r="JM6" s="19" t="e">
        <f t="shared" si="215"/>
        <v>#N/A</v>
      </c>
      <c r="JN6" s="41">
        <v>4</v>
      </c>
      <c r="JO6" s="47" t="e">
        <f>HLOOKUP(JM6,HC$2:JK6,2+JN5,0)-IF(KE6&gt;0,KE6,0)</f>
        <v>#N/A</v>
      </c>
      <c r="JP6" s="47" t="e">
        <f t="shared" si="216"/>
        <v>#N/A</v>
      </c>
      <c r="JQ6" s="17"/>
      <c r="JR6" s="17"/>
      <c r="JS6" s="6">
        <f t="shared" si="217"/>
        <v>0</v>
      </c>
      <c r="JT6" s="5" t="e">
        <f t="shared" si="218"/>
        <v>#N/A</v>
      </c>
      <c r="JU6" s="39">
        <f t="shared" ca="1" si="22"/>
        <v>46161</v>
      </c>
      <c r="JV6" s="6" t="e">
        <f t="shared" si="219"/>
        <v>#N/A</v>
      </c>
      <c r="JW6" s="6"/>
      <c r="JX6" s="6"/>
      <c r="JY6" s="6">
        <f t="shared" si="220"/>
        <v>0</v>
      </c>
      <c r="JZ6" s="10" t="e">
        <f t="shared" si="221"/>
        <v>#N/A</v>
      </c>
      <c r="KA6" s="10" t="e">
        <f t="shared" si="222"/>
        <v>#N/A</v>
      </c>
      <c r="KB6" s="10" t="e">
        <f t="shared" si="223"/>
        <v>#N/A</v>
      </c>
      <c r="KC6" s="10" t="e">
        <f t="shared" si="224"/>
        <v>#N/A</v>
      </c>
      <c r="KD6" s="5" t="e">
        <f t="shared" si="225"/>
        <v>#N/A</v>
      </c>
      <c r="KE6" s="6" t="e">
        <f t="shared" si="226"/>
        <v>#N/A</v>
      </c>
      <c r="KG6" s="26"/>
      <c r="KI6" s="6"/>
    </row>
    <row r="7" spans="1:297" x14ac:dyDescent="0.3">
      <c r="C7" s="14" t="e">
        <f>VLOOKUP(B7,DD!A:B,2,0)</f>
        <v>#N/A</v>
      </c>
      <c r="D7" s="14" t="e">
        <f>VLOOKUP(B7,DD!A:K,11,0)</f>
        <v>#N/A</v>
      </c>
      <c r="E7" s="1" t="e">
        <f>VLOOKUP(B7,DD!A:L,12,0)</f>
        <v>#N/A</v>
      </c>
      <c r="F7" s="64" t="e">
        <f>VLOOKUP(B7,DD!A:D,4,0)</f>
        <v>#N/A</v>
      </c>
      <c r="G7" s="45">
        <v>1</v>
      </c>
      <c r="H7" s="3" t="e">
        <f>VLOOKUP(B7,DD!A:E,5,0)</f>
        <v>#N/A</v>
      </c>
      <c r="I7" s="3" t="e">
        <f t="shared" si="23"/>
        <v>#N/A</v>
      </c>
      <c r="J7" s="3" t="e">
        <f>VLOOKUP(B7,DD!A:F,6,0)</f>
        <v>#N/A</v>
      </c>
      <c r="K7" s="3" t="e">
        <f>VLOOKUP(B7,DD!A:H,8,0)</f>
        <v>#N/A</v>
      </c>
      <c r="L7" s="3" t="e">
        <f>VLOOKUP(B7,DD!A:I,9,0)</f>
        <v>#N/A</v>
      </c>
      <c r="M7" s="3" t="e">
        <f>VLOOKUP(B7,DD!A:J,10,0)</f>
        <v>#N/A</v>
      </c>
      <c r="N7" s="3" t="s">
        <v>8</v>
      </c>
      <c r="O7" s="3" t="s">
        <v>9</v>
      </c>
      <c r="P7" s="4" t="e">
        <f>VLOOKUP(B7,DD!A:C,3,0)</f>
        <v>#N/A</v>
      </c>
      <c r="Q7" s="5" t="e">
        <f t="shared" si="24"/>
        <v>#N/A</v>
      </c>
      <c r="R7" s="5" t="e">
        <f t="shared" si="25"/>
        <v>#N/A</v>
      </c>
      <c r="S7" s="5" t="e">
        <f t="shared" si="26"/>
        <v>#N/A</v>
      </c>
      <c r="T7" s="6" t="e">
        <f t="shared" si="27"/>
        <v>#N/A</v>
      </c>
      <c r="U7" s="5" t="e">
        <f t="shared" si="28"/>
        <v>#N/A</v>
      </c>
      <c r="V7" s="6" t="e">
        <f t="shared" si="29"/>
        <v>#N/A</v>
      </c>
      <c r="W7" s="7" t="e">
        <f t="shared" si="30"/>
        <v>#N/A</v>
      </c>
      <c r="X7" s="8" t="e">
        <f t="shared" si="8"/>
        <v>#VALUE!</v>
      </c>
      <c r="Y7" s="6" t="e">
        <f t="shared" si="31"/>
        <v>#N/A</v>
      </c>
      <c r="Z7" s="7" t="e">
        <f t="shared" si="10"/>
        <v>#N/A</v>
      </c>
      <c r="AA7" s="7" t="e">
        <f t="shared" si="10"/>
        <v>#N/A</v>
      </c>
      <c r="AB7" s="7" t="e">
        <f t="shared" si="10"/>
        <v>#N/A</v>
      </c>
      <c r="AC7" s="7" t="e">
        <f t="shared" si="10"/>
        <v>#N/A</v>
      </c>
      <c r="AD7" s="7" t="e">
        <f t="shared" si="10"/>
        <v>#N/A</v>
      </c>
      <c r="AE7" s="7" t="e">
        <f t="shared" si="10"/>
        <v>#N/A</v>
      </c>
      <c r="AF7" s="7" t="e">
        <f t="shared" si="10"/>
        <v>#N/A</v>
      </c>
      <c r="AG7" s="7" t="e">
        <f t="shared" si="10"/>
        <v>#N/A</v>
      </c>
      <c r="AH7" s="7" t="e">
        <f t="shared" si="10"/>
        <v>#N/A</v>
      </c>
      <c r="AI7" s="7" t="e">
        <f t="shared" si="10"/>
        <v>#N/A</v>
      </c>
      <c r="AJ7" s="7" t="e">
        <f t="shared" si="10"/>
        <v>#N/A</v>
      </c>
      <c r="AK7" s="7" t="e">
        <f t="shared" si="10"/>
        <v>#N/A</v>
      </c>
      <c r="AL7" s="7" t="e">
        <f t="shared" si="10"/>
        <v>#N/A</v>
      </c>
      <c r="AM7" s="7" t="e">
        <f t="shared" si="10"/>
        <v>#N/A</v>
      </c>
      <c r="AN7" s="7" t="e">
        <f t="shared" si="10"/>
        <v>#N/A</v>
      </c>
      <c r="AO7" s="7" t="e">
        <f t="shared" si="10"/>
        <v>#N/A</v>
      </c>
      <c r="AP7" s="7" t="e">
        <f t="shared" si="10"/>
        <v>#N/A</v>
      </c>
      <c r="AQ7" s="7" t="e">
        <f t="shared" si="10"/>
        <v>#N/A</v>
      </c>
      <c r="AR7" s="7" t="e">
        <f t="shared" si="10"/>
        <v>#N/A</v>
      </c>
      <c r="AS7" s="7" t="e">
        <f t="shared" si="10"/>
        <v>#N/A</v>
      </c>
      <c r="AT7" s="7" t="e">
        <f t="shared" si="10"/>
        <v>#N/A</v>
      </c>
      <c r="AU7" s="7" t="e">
        <f t="shared" si="10"/>
        <v>#N/A</v>
      </c>
      <c r="AV7" s="7" t="e">
        <f t="shared" si="10"/>
        <v>#N/A</v>
      </c>
      <c r="AW7" s="7" t="e">
        <f t="shared" si="10"/>
        <v>#N/A</v>
      </c>
      <c r="AX7" s="7" t="e">
        <f t="shared" si="10"/>
        <v>#N/A</v>
      </c>
      <c r="AY7" s="7" t="e">
        <f t="shared" si="10"/>
        <v>#N/A</v>
      </c>
      <c r="AZ7" s="7" t="e">
        <f t="shared" si="10"/>
        <v>#N/A</v>
      </c>
      <c r="BA7" s="7" t="e">
        <f t="shared" si="10"/>
        <v>#N/A</v>
      </c>
      <c r="BB7" s="7" t="e">
        <f t="shared" si="10"/>
        <v>#N/A</v>
      </c>
      <c r="BC7" s="7" t="e">
        <f t="shared" si="10"/>
        <v>#N/A</v>
      </c>
      <c r="BD7" s="7" t="e">
        <f t="shared" si="10"/>
        <v>#N/A</v>
      </c>
      <c r="BE7" s="7" t="e">
        <f t="shared" si="10"/>
        <v>#N/A</v>
      </c>
      <c r="BF7" s="7" t="e">
        <f t="shared" si="11"/>
        <v>#N/A</v>
      </c>
      <c r="BG7" s="7" t="e">
        <f t="shared" si="11"/>
        <v>#N/A</v>
      </c>
      <c r="BH7" s="7" t="e">
        <f t="shared" si="11"/>
        <v>#N/A</v>
      </c>
      <c r="BI7" s="7" t="e">
        <f t="shared" si="11"/>
        <v>#N/A</v>
      </c>
      <c r="BJ7" s="7" t="e">
        <f t="shared" si="11"/>
        <v>#N/A</v>
      </c>
      <c r="BK7" s="7" t="e">
        <f t="shared" si="11"/>
        <v>#N/A</v>
      </c>
      <c r="BL7" s="7" t="e">
        <f t="shared" si="11"/>
        <v>#N/A</v>
      </c>
      <c r="BM7" s="7" t="e">
        <f t="shared" si="11"/>
        <v>#N/A</v>
      </c>
      <c r="BN7" s="7" t="e">
        <f t="shared" si="11"/>
        <v>#N/A</v>
      </c>
      <c r="BO7" s="7" t="e">
        <f t="shared" si="11"/>
        <v>#N/A</v>
      </c>
      <c r="BP7" s="7" t="e">
        <f t="shared" si="11"/>
        <v>#N/A</v>
      </c>
      <c r="BQ7" s="7" t="e">
        <f t="shared" si="11"/>
        <v>#N/A</v>
      </c>
      <c r="BR7" s="7" t="e">
        <f t="shared" si="11"/>
        <v>#N/A</v>
      </c>
      <c r="BS7" s="7" t="e">
        <f t="shared" si="11"/>
        <v>#N/A</v>
      </c>
      <c r="BT7" s="7" t="e">
        <f t="shared" si="11"/>
        <v>#N/A</v>
      </c>
      <c r="BU7" s="7" t="e">
        <f t="shared" si="11"/>
        <v>#N/A</v>
      </c>
      <c r="BV7" s="7" t="e">
        <f t="shared" si="11"/>
        <v>#N/A</v>
      </c>
      <c r="BW7" s="7" t="e">
        <f t="shared" si="11"/>
        <v>#N/A</v>
      </c>
      <c r="BX7" s="7" t="e">
        <f t="shared" si="11"/>
        <v>#N/A</v>
      </c>
      <c r="BY7" s="7" t="e">
        <f t="shared" si="11"/>
        <v>#N/A</v>
      </c>
      <c r="BZ7" s="7" t="e">
        <f t="shared" si="11"/>
        <v>#N/A</v>
      </c>
      <c r="CA7" s="7" t="e">
        <f t="shared" si="11"/>
        <v>#N/A</v>
      </c>
      <c r="CB7" s="7" t="e">
        <f t="shared" si="11"/>
        <v>#N/A</v>
      </c>
      <c r="CC7" s="7" t="e">
        <f t="shared" si="11"/>
        <v>#N/A</v>
      </c>
      <c r="CD7" s="7" t="e">
        <f t="shared" si="11"/>
        <v>#N/A</v>
      </c>
      <c r="CE7" s="7" t="e">
        <f t="shared" si="11"/>
        <v>#N/A</v>
      </c>
      <c r="CF7" s="7" t="e">
        <f t="shared" si="11"/>
        <v>#N/A</v>
      </c>
      <c r="CG7" s="7" t="e">
        <f t="shared" si="11"/>
        <v>#N/A</v>
      </c>
      <c r="CH7" s="6" t="e">
        <f t="shared" si="32"/>
        <v>#N/A</v>
      </c>
      <c r="CI7" s="5" t="e">
        <f t="shared" si="33"/>
        <v>#N/A</v>
      </c>
      <c r="CK7" s="5" t="e">
        <f t="shared" si="34"/>
        <v>#N/A</v>
      </c>
      <c r="CL7" s="5" t="e">
        <f t="shared" si="35"/>
        <v>#N/A</v>
      </c>
      <c r="CM7" s="5" t="e">
        <f t="shared" si="36"/>
        <v>#N/A</v>
      </c>
      <c r="CN7" s="5" t="e">
        <f t="shared" si="37"/>
        <v>#N/A</v>
      </c>
      <c r="CO7" s="5" t="e">
        <f t="shared" si="38"/>
        <v>#N/A</v>
      </c>
      <c r="CP7" s="5" t="e">
        <f t="shared" si="39"/>
        <v>#N/A</v>
      </c>
      <c r="CQ7" s="5" t="e">
        <f t="shared" si="40"/>
        <v>#N/A</v>
      </c>
      <c r="CR7" s="5" t="e">
        <f t="shared" si="41"/>
        <v>#N/A</v>
      </c>
      <c r="CS7" s="5" t="e">
        <f t="shared" si="42"/>
        <v>#N/A</v>
      </c>
      <c r="CT7" s="5" t="e">
        <f t="shared" si="43"/>
        <v>#N/A</v>
      </c>
      <c r="CU7" s="5" t="e">
        <f t="shared" si="44"/>
        <v>#N/A</v>
      </c>
      <c r="CV7" s="5" t="e">
        <f t="shared" si="45"/>
        <v>#N/A</v>
      </c>
      <c r="CW7" s="5" t="e">
        <f t="shared" si="46"/>
        <v>#N/A</v>
      </c>
      <c r="CX7" s="5" t="e">
        <f t="shared" si="47"/>
        <v>#N/A</v>
      </c>
      <c r="CY7" s="5" t="e">
        <f t="shared" si="48"/>
        <v>#N/A</v>
      </c>
      <c r="CZ7" s="5" t="e">
        <f t="shared" si="49"/>
        <v>#N/A</v>
      </c>
      <c r="DA7" s="5" t="e">
        <f t="shared" si="50"/>
        <v>#N/A</v>
      </c>
      <c r="DB7" s="5" t="e">
        <f t="shared" si="51"/>
        <v>#N/A</v>
      </c>
      <c r="DC7" s="5" t="e">
        <f t="shared" si="52"/>
        <v>#N/A</v>
      </c>
      <c r="DD7" s="5" t="e">
        <f t="shared" si="53"/>
        <v>#N/A</v>
      </c>
      <c r="DE7" s="5" t="e">
        <f t="shared" si="54"/>
        <v>#N/A</v>
      </c>
      <c r="DF7" s="5" t="e">
        <f t="shared" si="55"/>
        <v>#N/A</v>
      </c>
      <c r="DG7" s="5" t="e">
        <f t="shared" si="56"/>
        <v>#N/A</v>
      </c>
      <c r="DH7" s="5" t="e">
        <f t="shared" si="57"/>
        <v>#N/A</v>
      </c>
      <c r="DI7" s="5" t="e">
        <f t="shared" si="58"/>
        <v>#N/A</v>
      </c>
      <c r="DJ7" s="5" t="e">
        <f t="shared" si="59"/>
        <v>#N/A</v>
      </c>
      <c r="DK7" s="5" t="e">
        <f t="shared" si="60"/>
        <v>#N/A</v>
      </c>
      <c r="DL7" s="5" t="e">
        <f t="shared" si="61"/>
        <v>#N/A</v>
      </c>
      <c r="DM7" s="5" t="e">
        <f t="shared" si="62"/>
        <v>#N/A</v>
      </c>
      <c r="DN7" s="5" t="e">
        <f t="shared" si="63"/>
        <v>#N/A</v>
      </c>
      <c r="DO7" s="5" t="e">
        <f t="shared" si="64"/>
        <v>#N/A</v>
      </c>
      <c r="DP7" s="5" t="e">
        <f t="shared" si="65"/>
        <v>#N/A</v>
      </c>
      <c r="DQ7" s="5" t="e">
        <f t="shared" si="66"/>
        <v>#N/A</v>
      </c>
      <c r="DR7" s="5" t="e">
        <f t="shared" si="67"/>
        <v>#N/A</v>
      </c>
      <c r="DS7" s="5" t="e">
        <f t="shared" si="68"/>
        <v>#N/A</v>
      </c>
      <c r="DT7" s="5" t="e">
        <f t="shared" si="69"/>
        <v>#N/A</v>
      </c>
      <c r="DU7" s="5" t="e">
        <f t="shared" si="70"/>
        <v>#N/A</v>
      </c>
      <c r="DV7" s="5" t="e">
        <f t="shared" si="71"/>
        <v>#N/A</v>
      </c>
      <c r="DW7" s="5" t="e">
        <f t="shared" si="72"/>
        <v>#N/A</v>
      </c>
      <c r="DX7" s="5" t="e">
        <f t="shared" si="73"/>
        <v>#N/A</v>
      </c>
      <c r="DY7" s="5" t="e">
        <f t="shared" si="74"/>
        <v>#N/A</v>
      </c>
      <c r="DZ7" s="5" t="e">
        <f t="shared" si="75"/>
        <v>#N/A</v>
      </c>
      <c r="EA7" s="5" t="e">
        <f t="shared" si="76"/>
        <v>#N/A</v>
      </c>
      <c r="EB7" s="5" t="e">
        <f t="shared" si="77"/>
        <v>#N/A</v>
      </c>
      <c r="EC7" s="5" t="e">
        <f t="shared" si="78"/>
        <v>#N/A</v>
      </c>
      <c r="ED7" s="5" t="e">
        <f t="shared" si="79"/>
        <v>#N/A</v>
      </c>
      <c r="EE7" s="5" t="e">
        <f t="shared" si="80"/>
        <v>#N/A</v>
      </c>
      <c r="EF7" s="5" t="e">
        <f t="shared" si="81"/>
        <v>#N/A</v>
      </c>
      <c r="EG7" s="5" t="e">
        <f t="shared" si="82"/>
        <v>#N/A</v>
      </c>
      <c r="EH7" s="5" t="e">
        <f t="shared" si="83"/>
        <v>#N/A</v>
      </c>
      <c r="EI7" s="5" t="e">
        <f t="shared" si="84"/>
        <v>#N/A</v>
      </c>
      <c r="EJ7" s="5" t="e">
        <f t="shared" si="85"/>
        <v>#N/A</v>
      </c>
      <c r="EK7" s="5" t="e">
        <f t="shared" si="86"/>
        <v>#N/A</v>
      </c>
      <c r="EL7" s="5" t="e">
        <f t="shared" si="87"/>
        <v>#N/A</v>
      </c>
      <c r="EM7" s="5" t="e">
        <f t="shared" si="88"/>
        <v>#N/A</v>
      </c>
      <c r="EN7" s="5" t="e">
        <f t="shared" si="89"/>
        <v>#N/A</v>
      </c>
      <c r="EO7" s="5" t="e">
        <f t="shared" si="90"/>
        <v>#N/A</v>
      </c>
      <c r="EP7" s="5" t="e">
        <f t="shared" si="91"/>
        <v>#N/A</v>
      </c>
      <c r="EQ7" s="5" t="e">
        <f t="shared" si="92"/>
        <v>#N/A</v>
      </c>
      <c r="ER7" s="5" t="e">
        <f t="shared" si="93"/>
        <v>#N/A</v>
      </c>
      <c r="ET7" s="5" t="e">
        <f t="shared" si="94"/>
        <v>#N/A</v>
      </c>
      <c r="EU7" s="5" t="e">
        <f t="shared" si="95"/>
        <v>#N/A</v>
      </c>
      <c r="EV7" s="5" t="e">
        <f t="shared" si="96"/>
        <v>#N/A</v>
      </c>
      <c r="EW7" s="5" t="e">
        <f t="shared" si="97"/>
        <v>#N/A</v>
      </c>
      <c r="EX7" s="5" t="e">
        <f t="shared" si="98"/>
        <v>#N/A</v>
      </c>
      <c r="EY7" s="5" t="e">
        <f t="shared" si="99"/>
        <v>#N/A</v>
      </c>
      <c r="EZ7" s="5" t="e">
        <f t="shared" si="100"/>
        <v>#N/A</v>
      </c>
      <c r="FA7" s="5" t="e">
        <f t="shared" si="101"/>
        <v>#N/A</v>
      </c>
      <c r="FB7" s="5" t="e">
        <f t="shared" si="102"/>
        <v>#N/A</v>
      </c>
      <c r="FC7" s="5" t="e">
        <f t="shared" si="103"/>
        <v>#N/A</v>
      </c>
      <c r="FD7" s="5" t="e">
        <f t="shared" si="104"/>
        <v>#N/A</v>
      </c>
      <c r="FE7" s="5" t="e">
        <f t="shared" si="105"/>
        <v>#N/A</v>
      </c>
      <c r="FF7" s="5" t="e">
        <f t="shared" si="106"/>
        <v>#N/A</v>
      </c>
      <c r="FG7" s="5" t="e">
        <f t="shared" si="107"/>
        <v>#N/A</v>
      </c>
      <c r="FH7" s="5" t="e">
        <f t="shared" si="108"/>
        <v>#N/A</v>
      </c>
      <c r="FI7" s="5" t="e">
        <f t="shared" si="109"/>
        <v>#N/A</v>
      </c>
      <c r="FJ7" s="5" t="e">
        <f t="shared" si="110"/>
        <v>#N/A</v>
      </c>
      <c r="FK7" s="5" t="e">
        <f t="shared" si="111"/>
        <v>#N/A</v>
      </c>
      <c r="FL7" s="5" t="e">
        <f t="shared" si="112"/>
        <v>#N/A</v>
      </c>
      <c r="FM7" s="5" t="e">
        <f t="shared" si="113"/>
        <v>#N/A</v>
      </c>
      <c r="FN7" s="5" t="e">
        <f t="shared" si="114"/>
        <v>#N/A</v>
      </c>
      <c r="FO7" s="5" t="e">
        <f t="shared" si="115"/>
        <v>#N/A</v>
      </c>
      <c r="FP7" s="5" t="e">
        <f t="shared" si="116"/>
        <v>#N/A</v>
      </c>
      <c r="FQ7" s="5" t="e">
        <f t="shared" si="117"/>
        <v>#N/A</v>
      </c>
      <c r="FR7" s="5" t="e">
        <f t="shared" si="118"/>
        <v>#N/A</v>
      </c>
      <c r="FS7" s="5" t="e">
        <f t="shared" si="119"/>
        <v>#N/A</v>
      </c>
      <c r="FT7" s="5" t="e">
        <f t="shared" si="120"/>
        <v>#N/A</v>
      </c>
      <c r="FU7" s="5" t="e">
        <f t="shared" si="121"/>
        <v>#N/A</v>
      </c>
      <c r="FV7" s="5" t="e">
        <f t="shared" si="122"/>
        <v>#N/A</v>
      </c>
      <c r="FW7" s="5" t="e">
        <f t="shared" si="123"/>
        <v>#N/A</v>
      </c>
      <c r="FX7" s="5" t="e">
        <f t="shared" si="124"/>
        <v>#N/A</v>
      </c>
      <c r="FY7" s="5" t="e">
        <f t="shared" si="125"/>
        <v>#N/A</v>
      </c>
      <c r="FZ7" s="5" t="e">
        <f t="shared" si="126"/>
        <v>#N/A</v>
      </c>
      <c r="GA7" s="5" t="e">
        <f t="shared" si="127"/>
        <v>#N/A</v>
      </c>
      <c r="GB7" s="5" t="e">
        <f t="shared" si="128"/>
        <v>#N/A</v>
      </c>
      <c r="GC7" s="5" t="e">
        <f t="shared" si="129"/>
        <v>#N/A</v>
      </c>
      <c r="GD7" s="5" t="e">
        <f t="shared" si="130"/>
        <v>#N/A</v>
      </c>
      <c r="GE7" s="5" t="e">
        <f t="shared" si="131"/>
        <v>#N/A</v>
      </c>
      <c r="GF7" s="5" t="e">
        <f t="shared" si="132"/>
        <v>#N/A</v>
      </c>
      <c r="GG7" s="5" t="e">
        <f t="shared" si="133"/>
        <v>#N/A</v>
      </c>
      <c r="GH7" s="5" t="e">
        <f t="shared" si="134"/>
        <v>#N/A</v>
      </c>
      <c r="GI7" s="5" t="e">
        <f t="shared" si="135"/>
        <v>#N/A</v>
      </c>
      <c r="GJ7" s="5" t="e">
        <f t="shared" si="136"/>
        <v>#N/A</v>
      </c>
      <c r="GK7" s="5" t="e">
        <f t="shared" si="137"/>
        <v>#N/A</v>
      </c>
      <c r="GL7" s="5" t="e">
        <f t="shared" si="138"/>
        <v>#N/A</v>
      </c>
      <c r="GM7" s="5" t="e">
        <f t="shared" si="139"/>
        <v>#N/A</v>
      </c>
      <c r="GN7" s="5" t="e">
        <f t="shared" si="140"/>
        <v>#N/A</v>
      </c>
      <c r="GO7" s="5" t="e">
        <f t="shared" si="141"/>
        <v>#N/A</v>
      </c>
      <c r="GP7" s="5" t="e">
        <f t="shared" si="142"/>
        <v>#N/A</v>
      </c>
      <c r="GQ7" s="5" t="e">
        <f t="shared" si="143"/>
        <v>#N/A</v>
      </c>
      <c r="GR7" s="5" t="e">
        <f t="shared" si="144"/>
        <v>#N/A</v>
      </c>
      <c r="GS7" s="5" t="e">
        <f t="shared" si="145"/>
        <v>#N/A</v>
      </c>
      <c r="GT7" s="5" t="e">
        <f t="shared" si="146"/>
        <v>#N/A</v>
      </c>
      <c r="GU7" s="5" t="e">
        <f t="shared" si="147"/>
        <v>#N/A</v>
      </c>
      <c r="GV7" s="5" t="e">
        <f t="shared" si="148"/>
        <v>#N/A</v>
      </c>
      <c r="GW7" s="5" t="e">
        <f t="shared" si="149"/>
        <v>#N/A</v>
      </c>
      <c r="GX7" s="5" t="e">
        <f t="shared" si="150"/>
        <v>#N/A</v>
      </c>
      <c r="GY7" s="5" t="e">
        <f t="shared" si="151"/>
        <v>#N/A</v>
      </c>
      <c r="GZ7" s="5" t="e">
        <f t="shared" si="152"/>
        <v>#N/A</v>
      </c>
      <c r="HA7" s="5" t="e">
        <f t="shared" si="153"/>
        <v>#N/A</v>
      </c>
      <c r="HC7" s="6" t="e">
        <f t="shared" si="154"/>
        <v>#N/A</v>
      </c>
      <c r="HD7" s="5" t="e">
        <f t="shared" si="155"/>
        <v>#N/A</v>
      </c>
      <c r="HE7" s="5" t="e">
        <f t="shared" si="156"/>
        <v>#N/A</v>
      </c>
      <c r="HF7" s="5" t="e">
        <f t="shared" si="157"/>
        <v>#N/A</v>
      </c>
      <c r="HG7" s="5" t="e">
        <f t="shared" si="158"/>
        <v>#N/A</v>
      </c>
      <c r="HH7" s="5" t="e">
        <f t="shared" si="159"/>
        <v>#N/A</v>
      </c>
      <c r="HI7" s="5" t="e">
        <f t="shared" si="160"/>
        <v>#N/A</v>
      </c>
      <c r="HJ7" s="5" t="e">
        <f t="shared" si="161"/>
        <v>#N/A</v>
      </c>
      <c r="HK7" s="5" t="e">
        <f t="shared" si="162"/>
        <v>#N/A</v>
      </c>
      <c r="HL7" s="5" t="e">
        <f t="shared" si="163"/>
        <v>#N/A</v>
      </c>
      <c r="HM7" s="5" t="e">
        <f t="shared" si="164"/>
        <v>#N/A</v>
      </c>
      <c r="HN7" s="5" t="e">
        <f t="shared" si="165"/>
        <v>#N/A</v>
      </c>
      <c r="HO7" s="5" t="e">
        <f t="shared" si="166"/>
        <v>#N/A</v>
      </c>
      <c r="HP7" s="5" t="e">
        <f t="shared" si="167"/>
        <v>#N/A</v>
      </c>
      <c r="HQ7" s="5" t="e">
        <f t="shared" si="168"/>
        <v>#N/A</v>
      </c>
      <c r="HR7" s="5" t="e">
        <f t="shared" si="169"/>
        <v>#N/A</v>
      </c>
      <c r="HS7" s="5" t="e">
        <f t="shared" si="170"/>
        <v>#N/A</v>
      </c>
      <c r="HT7" s="5" t="e">
        <f t="shared" si="171"/>
        <v>#N/A</v>
      </c>
      <c r="HU7" s="5" t="e">
        <f t="shared" si="172"/>
        <v>#N/A</v>
      </c>
      <c r="HV7" s="5" t="e">
        <f t="shared" si="173"/>
        <v>#N/A</v>
      </c>
      <c r="HW7" s="5" t="e">
        <f t="shared" si="174"/>
        <v>#N/A</v>
      </c>
      <c r="HX7" s="5" t="e">
        <f t="shared" si="175"/>
        <v>#N/A</v>
      </c>
      <c r="HY7" s="5" t="e">
        <f t="shared" si="176"/>
        <v>#N/A</v>
      </c>
      <c r="HZ7" s="5" t="e">
        <f t="shared" si="177"/>
        <v>#N/A</v>
      </c>
      <c r="IA7" s="5" t="e">
        <f t="shared" si="178"/>
        <v>#N/A</v>
      </c>
      <c r="IB7" s="5" t="e">
        <f t="shared" si="179"/>
        <v>#N/A</v>
      </c>
      <c r="IC7" s="5" t="e">
        <f t="shared" si="180"/>
        <v>#N/A</v>
      </c>
      <c r="ID7" s="5" t="e">
        <f t="shared" si="181"/>
        <v>#N/A</v>
      </c>
      <c r="IE7" s="5" t="e">
        <f t="shared" si="182"/>
        <v>#N/A</v>
      </c>
      <c r="IF7" s="5" t="e">
        <f t="shared" si="183"/>
        <v>#N/A</v>
      </c>
      <c r="IG7" s="5" t="e">
        <f t="shared" si="184"/>
        <v>#N/A</v>
      </c>
      <c r="IH7" s="5" t="e">
        <f t="shared" si="185"/>
        <v>#N/A</v>
      </c>
      <c r="II7" s="5" t="e">
        <f t="shared" si="186"/>
        <v>#N/A</v>
      </c>
      <c r="IJ7" s="5" t="e">
        <f t="shared" si="187"/>
        <v>#N/A</v>
      </c>
      <c r="IK7" s="5" t="e">
        <f t="shared" si="188"/>
        <v>#N/A</v>
      </c>
      <c r="IL7" s="5" t="e">
        <f t="shared" si="189"/>
        <v>#N/A</v>
      </c>
      <c r="IM7" s="5" t="e">
        <f t="shared" si="190"/>
        <v>#N/A</v>
      </c>
      <c r="IN7" s="5" t="e">
        <f t="shared" si="191"/>
        <v>#N/A</v>
      </c>
      <c r="IO7" s="5" t="e">
        <f t="shared" si="192"/>
        <v>#N/A</v>
      </c>
      <c r="IP7" s="5" t="e">
        <f t="shared" si="193"/>
        <v>#N/A</v>
      </c>
      <c r="IQ7" s="5" t="e">
        <f t="shared" si="194"/>
        <v>#N/A</v>
      </c>
      <c r="IR7" s="5" t="e">
        <f t="shared" si="195"/>
        <v>#N/A</v>
      </c>
      <c r="IS7" s="5" t="e">
        <f t="shared" si="196"/>
        <v>#N/A</v>
      </c>
      <c r="IT7" s="5" t="e">
        <f t="shared" si="197"/>
        <v>#N/A</v>
      </c>
      <c r="IU7" s="5" t="e">
        <f t="shared" si="198"/>
        <v>#N/A</v>
      </c>
      <c r="IV7" s="5" t="e">
        <f t="shared" si="199"/>
        <v>#N/A</v>
      </c>
      <c r="IW7" s="5" t="e">
        <f t="shared" si="200"/>
        <v>#N/A</v>
      </c>
      <c r="IX7" s="5" t="e">
        <f t="shared" si="201"/>
        <v>#N/A</v>
      </c>
      <c r="IY7" s="5" t="e">
        <f t="shared" si="202"/>
        <v>#N/A</v>
      </c>
      <c r="IZ7" s="5" t="e">
        <f t="shared" si="203"/>
        <v>#N/A</v>
      </c>
      <c r="JA7" s="5" t="e">
        <f t="shared" si="204"/>
        <v>#N/A</v>
      </c>
      <c r="JB7" s="5" t="e">
        <f t="shared" si="205"/>
        <v>#N/A</v>
      </c>
      <c r="JC7" s="5" t="e">
        <f t="shared" si="206"/>
        <v>#N/A</v>
      </c>
      <c r="JD7" s="5" t="e">
        <f t="shared" si="207"/>
        <v>#N/A</v>
      </c>
      <c r="JE7" s="5" t="e">
        <f t="shared" si="208"/>
        <v>#N/A</v>
      </c>
      <c r="JF7" s="5" t="e">
        <f t="shared" si="209"/>
        <v>#N/A</v>
      </c>
      <c r="JG7" s="5" t="e">
        <f t="shared" si="210"/>
        <v>#N/A</v>
      </c>
      <c r="JH7" s="5" t="e">
        <f t="shared" si="211"/>
        <v>#N/A</v>
      </c>
      <c r="JI7" s="5" t="e">
        <f t="shared" si="212"/>
        <v>#N/A</v>
      </c>
      <c r="JJ7" s="5" t="e">
        <f t="shared" si="213"/>
        <v>#N/A</v>
      </c>
      <c r="JK7" s="5" t="e">
        <f t="shared" si="214"/>
        <v>#N/A</v>
      </c>
      <c r="JM7" s="19" t="e">
        <f t="shared" si="215"/>
        <v>#N/A</v>
      </c>
      <c r="JN7" s="41">
        <v>5</v>
      </c>
      <c r="JO7" s="47" t="e">
        <f>HLOOKUP(JM7,HC$2:JK7,2+JN6,0)-IF(KE7&gt;0,KE7,0)</f>
        <v>#N/A</v>
      </c>
      <c r="JP7" s="47" t="e">
        <f t="shared" si="216"/>
        <v>#N/A</v>
      </c>
      <c r="JQ7" s="17"/>
      <c r="JR7" s="17"/>
      <c r="JS7" s="6">
        <f t="shared" si="217"/>
        <v>0</v>
      </c>
      <c r="JT7" s="5" t="e">
        <f t="shared" si="218"/>
        <v>#N/A</v>
      </c>
      <c r="JU7" s="39">
        <f t="shared" ca="1" si="22"/>
        <v>46161</v>
      </c>
      <c r="JV7" s="6" t="e">
        <f t="shared" si="219"/>
        <v>#N/A</v>
      </c>
      <c r="JW7" s="6"/>
      <c r="JX7" s="6"/>
      <c r="JY7" s="6">
        <f t="shared" si="220"/>
        <v>0</v>
      </c>
      <c r="JZ7" s="10" t="e">
        <f t="shared" si="221"/>
        <v>#N/A</v>
      </c>
      <c r="KA7" s="10" t="e">
        <f t="shared" si="222"/>
        <v>#N/A</v>
      </c>
      <c r="KB7" s="10" t="e">
        <f t="shared" si="223"/>
        <v>#N/A</v>
      </c>
      <c r="KC7" s="10" t="e">
        <f t="shared" si="224"/>
        <v>#N/A</v>
      </c>
      <c r="KD7" s="5" t="e">
        <f t="shared" si="225"/>
        <v>#N/A</v>
      </c>
      <c r="KE7" s="6" t="e">
        <f t="shared" si="226"/>
        <v>#N/A</v>
      </c>
      <c r="KG7" s="26"/>
      <c r="KH7" s="27"/>
      <c r="KI7" s="27"/>
      <c r="KJ7" s="9"/>
    </row>
    <row r="8" spans="1:297" s="28" customFormat="1" x14ac:dyDescent="0.3">
      <c r="B8" s="1"/>
      <c r="C8" s="28" t="e">
        <f>VLOOKUP(B8,DD!A:B,2,0)</f>
        <v>#N/A</v>
      </c>
      <c r="D8" s="28" t="e">
        <f>VLOOKUP(B8,DD!A:K,11,0)</f>
        <v>#N/A</v>
      </c>
      <c r="E8" s="28" t="e">
        <f>VLOOKUP(B8,DD!A:L,12,0)</f>
        <v>#N/A</v>
      </c>
      <c r="F8" s="78" t="e">
        <f>VLOOKUP(B8,DD!A:D,4,0)</f>
        <v>#N/A</v>
      </c>
      <c r="G8" s="46">
        <v>1</v>
      </c>
      <c r="H8" s="43" t="e">
        <f>VLOOKUP(B8,DD!A:E,5,0)</f>
        <v>#N/A</v>
      </c>
      <c r="I8" s="43" t="e">
        <f t="shared" si="23"/>
        <v>#N/A</v>
      </c>
      <c r="J8" s="43" t="e">
        <f>VLOOKUP(B8,DD!A:F,6,0)</f>
        <v>#N/A</v>
      </c>
      <c r="K8" s="43" t="e">
        <f>VLOOKUP(B8,DD!A:H,8,0)</f>
        <v>#N/A</v>
      </c>
      <c r="L8" s="43" t="e">
        <f>VLOOKUP(B8,DD!A:I,9,0)</f>
        <v>#N/A</v>
      </c>
      <c r="M8" s="43" t="e">
        <f>VLOOKUP(B8,DD!A:J,10,0)</f>
        <v>#N/A</v>
      </c>
      <c r="N8" s="43" t="s">
        <v>8</v>
      </c>
      <c r="O8" s="43" t="s">
        <v>9</v>
      </c>
      <c r="P8" s="44" t="e">
        <f>VLOOKUP(B8,DD!A:C,3,0)</f>
        <v>#N/A</v>
      </c>
      <c r="Q8" s="32" t="e">
        <f t="shared" si="24"/>
        <v>#N/A</v>
      </c>
      <c r="R8" s="32" t="e">
        <f t="shared" si="25"/>
        <v>#N/A</v>
      </c>
      <c r="S8" s="32" t="e">
        <f t="shared" si="26"/>
        <v>#N/A</v>
      </c>
      <c r="T8" s="33" t="e">
        <f t="shared" si="27"/>
        <v>#N/A</v>
      </c>
      <c r="U8" s="32" t="e">
        <f t="shared" si="28"/>
        <v>#N/A</v>
      </c>
      <c r="V8" s="33" t="e">
        <f t="shared" si="29"/>
        <v>#N/A</v>
      </c>
      <c r="W8" s="34" t="e">
        <f t="shared" si="30"/>
        <v>#N/A</v>
      </c>
      <c r="X8" s="8" t="e">
        <f t="shared" si="8"/>
        <v>#VALUE!</v>
      </c>
      <c r="Y8" s="33" t="e">
        <f t="shared" si="31"/>
        <v>#N/A</v>
      </c>
      <c r="Z8" s="34" t="e">
        <f t="shared" si="10"/>
        <v>#N/A</v>
      </c>
      <c r="AA8" s="34" t="e">
        <f t="shared" si="10"/>
        <v>#N/A</v>
      </c>
      <c r="AB8" s="34" t="e">
        <f t="shared" si="10"/>
        <v>#N/A</v>
      </c>
      <c r="AC8" s="34" t="e">
        <f t="shared" si="10"/>
        <v>#N/A</v>
      </c>
      <c r="AD8" s="34" t="e">
        <f t="shared" si="10"/>
        <v>#N/A</v>
      </c>
      <c r="AE8" s="34" t="e">
        <f t="shared" si="10"/>
        <v>#N/A</v>
      </c>
      <c r="AF8" s="34" t="e">
        <f t="shared" si="10"/>
        <v>#N/A</v>
      </c>
      <c r="AG8" s="34" t="e">
        <f t="shared" si="10"/>
        <v>#N/A</v>
      </c>
      <c r="AH8" s="34" t="e">
        <f t="shared" si="10"/>
        <v>#N/A</v>
      </c>
      <c r="AI8" s="34" t="e">
        <f t="shared" si="10"/>
        <v>#N/A</v>
      </c>
      <c r="AJ8" s="34" t="e">
        <f t="shared" si="10"/>
        <v>#N/A</v>
      </c>
      <c r="AK8" s="34" t="e">
        <f t="shared" si="10"/>
        <v>#N/A</v>
      </c>
      <c r="AL8" s="34" t="e">
        <f t="shared" si="10"/>
        <v>#N/A</v>
      </c>
      <c r="AM8" s="34" t="e">
        <f t="shared" si="10"/>
        <v>#N/A</v>
      </c>
      <c r="AN8" s="34" t="e">
        <f t="shared" si="10"/>
        <v>#N/A</v>
      </c>
      <c r="AO8" s="34" t="e">
        <f t="shared" si="10"/>
        <v>#N/A</v>
      </c>
      <c r="AP8" s="34" t="e">
        <f t="shared" si="10"/>
        <v>#N/A</v>
      </c>
      <c r="AQ8" s="34" t="e">
        <f t="shared" si="10"/>
        <v>#N/A</v>
      </c>
      <c r="AR8" s="34" t="e">
        <f t="shared" si="10"/>
        <v>#N/A</v>
      </c>
      <c r="AS8" s="34" t="e">
        <f t="shared" si="10"/>
        <v>#N/A</v>
      </c>
      <c r="AT8" s="34" t="e">
        <f t="shared" si="10"/>
        <v>#N/A</v>
      </c>
      <c r="AU8" s="34" t="e">
        <f t="shared" si="10"/>
        <v>#N/A</v>
      </c>
      <c r="AV8" s="34" t="e">
        <f t="shared" si="10"/>
        <v>#N/A</v>
      </c>
      <c r="AW8" s="34" t="e">
        <f t="shared" si="10"/>
        <v>#N/A</v>
      </c>
      <c r="AX8" s="34" t="e">
        <f t="shared" si="10"/>
        <v>#N/A</v>
      </c>
      <c r="AY8" s="34" t="e">
        <f t="shared" si="10"/>
        <v>#N/A</v>
      </c>
      <c r="AZ8" s="34" t="e">
        <f t="shared" si="10"/>
        <v>#N/A</v>
      </c>
      <c r="BA8" s="34" t="e">
        <f t="shared" si="10"/>
        <v>#N/A</v>
      </c>
      <c r="BB8" s="34" t="e">
        <f t="shared" si="10"/>
        <v>#N/A</v>
      </c>
      <c r="BC8" s="34" t="e">
        <f t="shared" si="10"/>
        <v>#N/A</v>
      </c>
      <c r="BD8" s="34" t="e">
        <f t="shared" si="10"/>
        <v>#N/A</v>
      </c>
      <c r="BE8" s="34" t="e">
        <f t="shared" si="10"/>
        <v>#N/A</v>
      </c>
      <c r="BF8" s="34" t="e">
        <f t="shared" si="11"/>
        <v>#N/A</v>
      </c>
      <c r="BG8" s="34" t="e">
        <f t="shared" si="11"/>
        <v>#N/A</v>
      </c>
      <c r="BH8" s="34" t="e">
        <f t="shared" si="11"/>
        <v>#N/A</v>
      </c>
      <c r="BI8" s="34" t="e">
        <f t="shared" si="11"/>
        <v>#N/A</v>
      </c>
      <c r="BJ8" s="34" t="e">
        <f t="shared" si="11"/>
        <v>#N/A</v>
      </c>
      <c r="BK8" s="34" t="e">
        <f t="shared" si="11"/>
        <v>#N/A</v>
      </c>
      <c r="BL8" s="34" t="e">
        <f t="shared" si="11"/>
        <v>#N/A</v>
      </c>
      <c r="BM8" s="34" t="e">
        <f t="shared" si="11"/>
        <v>#N/A</v>
      </c>
      <c r="BN8" s="34" t="e">
        <f t="shared" si="11"/>
        <v>#N/A</v>
      </c>
      <c r="BO8" s="34" t="e">
        <f t="shared" si="11"/>
        <v>#N/A</v>
      </c>
      <c r="BP8" s="34" t="e">
        <f t="shared" si="11"/>
        <v>#N/A</v>
      </c>
      <c r="BQ8" s="34" t="e">
        <f t="shared" si="11"/>
        <v>#N/A</v>
      </c>
      <c r="BR8" s="34" t="e">
        <f t="shared" si="11"/>
        <v>#N/A</v>
      </c>
      <c r="BS8" s="34" t="e">
        <f t="shared" si="11"/>
        <v>#N/A</v>
      </c>
      <c r="BT8" s="34" t="e">
        <f t="shared" si="11"/>
        <v>#N/A</v>
      </c>
      <c r="BU8" s="34" t="e">
        <f t="shared" si="11"/>
        <v>#N/A</v>
      </c>
      <c r="BV8" s="34" t="e">
        <f t="shared" si="11"/>
        <v>#N/A</v>
      </c>
      <c r="BW8" s="34" t="e">
        <f t="shared" si="11"/>
        <v>#N/A</v>
      </c>
      <c r="BX8" s="34" t="e">
        <f t="shared" si="11"/>
        <v>#N/A</v>
      </c>
      <c r="BY8" s="34" t="e">
        <f t="shared" si="11"/>
        <v>#N/A</v>
      </c>
      <c r="BZ8" s="34" t="e">
        <f t="shared" si="11"/>
        <v>#N/A</v>
      </c>
      <c r="CA8" s="34" t="e">
        <f t="shared" si="11"/>
        <v>#N/A</v>
      </c>
      <c r="CB8" s="34" t="e">
        <f t="shared" si="11"/>
        <v>#N/A</v>
      </c>
      <c r="CC8" s="34" t="e">
        <f t="shared" si="11"/>
        <v>#N/A</v>
      </c>
      <c r="CD8" s="34" t="e">
        <f t="shared" si="11"/>
        <v>#N/A</v>
      </c>
      <c r="CE8" s="34" t="e">
        <f t="shared" si="11"/>
        <v>#N/A</v>
      </c>
      <c r="CF8" s="34" t="e">
        <f t="shared" si="11"/>
        <v>#N/A</v>
      </c>
      <c r="CG8" s="34" t="e">
        <f t="shared" si="11"/>
        <v>#N/A</v>
      </c>
      <c r="CH8" s="33" t="e">
        <f t="shared" si="32"/>
        <v>#N/A</v>
      </c>
      <c r="CI8" s="32" t="e">
        <f t="shared" si="33"/>
        <v>#N/A</v>
      </c>
      <c r="CJ8" s="32"/>
      <c r="CK8" s="32" t="e">
        <f t="shared" si="34"/>
        <v>#N/A</v>
      </c>
      <c r="CL8" s="32" t="e">
        <f t="shared" si="35"/>
        <v>#N/A</v>
      </c>
      <c r="CM8" s="32" t="e">
        <f t="shared" si="36"/>
        <v>#N/A</v>
      </c>
      <c r="CN8" s="32" t="e">
        <f t="shared" si="37"/>
        <v>#N/A</v>
      </c>
      <c r="CO8" s="32" t="e">
        <f t="shared" si="38"/>
        <v>#N/A</v>
      </c>
      <c r="CP8" s="32" t="e">
        <f t="shared" si="39"/>
        <v>#N/A</v>
      </c>
      <c r="CQ8" s="32" t="e">
        <f t="shared" si="40"/>
        <v>#N/A</v>
      </c>
      <c r="CR8" s="32" t="e">
        <f t="shared" si="41"/>
        <v>#N/A</v>
      </c>
      <c r="CS8" s="32" t="e">
        <f t="shared" si="42"/>
        <v>#N/A</v>
      </c>
      <c r="CT8" s="32" t="e">
        <f t="shared" si="43"/>
        <v>#N/A</v>
      </c>
      <c r="CU8" s="32" t="e">
        <f t="shared" si="44"/>
        <v>#N/A</v>
      </c>
      <c r="CV8" s="32" t="e">
        <f t="shared" si="45"/>
        <v>#N/A</v>
      </c>
      <c r="CW8" s="32" t="e">
        <f t="shared" si="46"/>
        <v>#N/A</v>
      </c>
      <c r="CX8" s="32" t="e">
        <f t="shared" si="47"/>
        <v>#N/A</v>
      </c>
      <c r="CY8" s="32" t="e">
        <f t="shared" si="48"/>
        <v>#N/A</v>
      </c>
      <c r="CZ8" s="32" t="e">
        <f t="shared" si="49"/>
        <v>#N/A</v>
      </c>
      <c r="DA8" s="32" t="e">
        <f t="shared" si="50"/>
        <v>#N/A</v>
      </c>
      <c r="DB8" s="32" t="e">
        <f t="shared" si="51"/>
        <v>#N/A</v>
      </c>
      <c r="DC8" s="32" t="e">
        <f t="shared" si="52"/>
        <v>#N/A</v>
      </c>
      <c r="DD8" s="32" t="e">
        <f t="shared" si="53"/>
        <v>#N/A</v>
      </c>
      <c r="DE8" s="32" t="e">
        <f t="shared" si="54"/>
        <v>#N/A</v>
      </c>
      <c r="DF8" s="32" t="e">
        <f t="shared" si="55"/>
        <v>#N/A</v>
      </c>
      <c r="DG8" s="32" t="e">
        <f t="shared" si="56"/>
        <v>#N/A</v>
      </c>
      <c r="DH8" s="32" t="e">
        <f t="shared" si="57"/>
        <v>#N/A</v>
      </c>
      <c r="DI8" s="32" t="e">
        <f t="shared" si="58"/>
        <v>#N/A</v>
      </c>
      <c r="DJ8" s="32" t="e">
        <f t="shared" si="59"/>
        <v>#N/A</v>
      </c>
      <c r="DK8" s="32" t="e">
        <f t="shared" si="60"/>
        <v>#N/A</v>
      </c>
      <c r="DL8" s="32" t="e">
        <f t="shared" si="61"/>
        <v>#N/A</v>
      </c>
      <c r="DM8" s="32" t="e">
        <f t="shared" si="62"/>
        <v>#N/A</v>
      </c>
      <c r="DN8" s="32" t="e">
        <f t="shared" si="63"/>
        <v>#N/A</v>
      </c>
      <c r="DO8" s="32" t="e">
        <f t="shared" si="64"/>
        <v>#N/A</v>
      </c>
      <c r="DP8" s="32" t="e">
        <f t="shared" si="65"/>
        <v>#N/A</v>
      </c>
      <c r="DQ8" s="32" t="e">
        <f t="shared" si="66"/>
        <v>#N/A</v>
      </c>
      <c r="DR8" s="32" t="e">
        <f t="shared" si="67"/>
        <v>#N/A</v>
      </c>
      <c r="DS8" s="32" t="e">
        <f t="shared" si="68"/>
        <v>#N/A</v>
      </c>
      <c r="DT8" s="32" t="e">
        <f t="shared" si="69"/>
        <v>#N/A</v>
      </c>
      <c r="DU8" s="32" t="e">
        <f t="shared" si="70"/>
        <v>#N/A</v>
      </c>
      <c r="DV8" s="32" t="e">
        <f t="shared" si="71"/>
        <v>#N/A</v>
      </c>
      <c r="DW8" s="32" t="e">
        <f t="shared" si="72"/>
        <v>#N/A</v>
      </c>
      <c r="DX8" s="32" t="e">
        <f t="shared" si="73"/>
        <v>#N/A</v>
      </c>
      <c r="DY8" s="32" t="e">
        <f t="shared" si="74"/>
        <v>#N/A</v>
      </c>
      <c r="DZ8" s="32" t="e">
        <f t="shared" si="75"/>
        <v>#N/A</v>
      </c>
      <c r="EA8" s="32" t="e">
        <f t="shared" si="76"/>
        <v>#N/A</v>
      </c>
      <c r="EB8" s="32" t="e">
        <f t="shared" si="77"/>
        <v>#N/A</v>
      </c>
      <c r="EC8" s="32" t="e">
        <f t="shared" si="78"/>
        <v>#N/A</v>
      </c>
      <c r="ED8" s="32" t="e">
        <f t="shared" si="79"/>
        <v>#N/A</v>
      </c>
      <c r="EE8" s="32" t="e">
        <f t="shared" si="80"/>
        <v>#N/A</v>
      </c>
      <c r="EF8" s="32" t="e">
        <f t="shared" si="81"/>
        <v>#N/A</v>
      </c>
      <c r="EG8" s="32" t="e">
        <f t="shared" si="82"/>
        <v>#N/A</v>
      </c>
      <c r="EH8" s="32" t="e">
        <f t="shared" si="83"/>
        <v>#N/A</v>
      </c>
      <c r="EI8" s="32" t="e">
        <f t="shared" si="84"/>
        <v>#N/A</v>
      </c>
      <c r="EJ8" s="32" t="e">
        <f t="shared" si="85"/>
        <v>#N/A</v>
      </c>
      <c r="EK8" s="32" t="e">
        <f t="shared" si="86"/>
        <v>#N/A</v>
      </c>
      <c r="EL8" s="32" t="e">
        <f t="shared" si="87"/>
        <v>#N/A</v>
      </c>
      <c r="EM8" s="32" t="e">
        <f t="shared" si="88"/>
        <v>#N/A</v>
      </c>
      <c r="EN8" s="32" t="e">
        <f t="shared" si="89"/>
        <v>#N/A</v>
      </c>
      <c r="EO8" s="32" t="e">
        <f t="shared" si="90"/>
        <v>#N/A</v>
      </c>
      <c r="EP8" s="32" t="e">
        <f t="shared" si="91"/>
        <v>#N/A</v>
      </c>
      <c r="EQ8" s="32" t="e">
        <f t="shared" si="92"/>
        <v>#N/A</v>
      </c>
      <c r="ER8" s="32" t="e">
        <f t="shared" si="93"/>
        <v>#N/A</v>
      </c>
      <c r="ET8" s="32" t="e">
        <f t="shared" si="94"/>
        <v>#N/A</v>
      </c>
      <c r="EU8" s="32" t="e">
        <f t="shared" si="95"/>
        <v>#N/A</v>
      </c>
      <c r="EV8" s="32" t="e">
        <f t="shared" si="96"/>
        <v>#N/A</v>
      </c>
      <c r="EW8" s="32" t="e">
        <f t="shared" si="97"/>
        <v>#N/A</v>
      </c>
      <c r="EX8" s="32" t="e">
        <f t="shared" si="98"/>
        <v>#N/A</v>
      </c>
      <c r="EY8" s="32" t="e">
        <f t="shared" si="99"/>
        <v>#N/A</v>
      </c>
      <c r="EZ8" s="32" t="e">
        <f t="shared" si="100"/>
        <v>#N/A</v>
      </c>
      <c r="FA8" s="32" t="e">
        <f t="shared" si="101"/>
        <v>#N/A</v>
      </c>
      <c r="FB8" s="32" t="e">
        <f t="shared" si="102"/>
        <v>#N/A</v>
      </c>
      <c r="FC8" s="32" t="e">
        <f t="shared" si="103"/>
        <v>#N/A</v>
      </c>
      <c r="FD8" s="32" t="e">
        <f t="shared" si="104"/>
        <v>#N/A</v>
      </c>
      <c r="FE8" s="32" t="e">
        <f t="shared" si="105"/>
        <v>#N/A</v>
      </c>
      <c r="FF8" s="32" t="e">
        <f t="shared" si="106"/>
        <v>#N/A</v>
      </c>
      <c r="FG8" s="32" t="e">
        <f t="shared" si="107"/>
        <v>#N/A</v>
      </c>
      <c r="FH8" s="32" t="e">
        <f t="shared" si="108"/>
        <v>#N/A</v>
      </c>
      <c r="FI8" s="32" t="e">
        <f t="shared" si="109"/>
        <v>#N/A</v>
      </c>
      <c r="FJ8" s="32" t="e">
        <f t="shared" si="110"/>
        <v>#N/A</v>
      </c>
      <c r="FK8" s="32" t="e">
        <f t="shared" si="111"/>
        <v>#N/A</v>
      </c>
      <c r="FL8" s="32" t="e">
        <f t="shared" si="112"/>
        <v>#N/A</v>
      </c>
      <c r="FM8" s="32" t="e">
        <f t="shared" si="113"/>
        <v>#N/A</v>
      </c>
      <c r="FN8" s="32" t="e">
        <f t="shared" si="114"/>
        <v>#N/A</v>
      </c>
      <c r="FO8" s="32" t="e">
        <f t="shared" si="115"/>
        <v>#N/A</v>
      </c>
      <c r="FP8" s="32" t="e">
        <f t="shared" si="116"/>
        <v>#N/A</v>
      </c>
      <c r="FQ8" s="32" t="e">
        <f t="shared" si="117"/>
        <v>#N/A</v>
      </c>
      <c r="FR8" s="32" t="e">
        <f t="shared" si="118"/>
        <v>#N/A</v>
      </c>
      <c r="FS8" s="32" t="e">
        <f t="shared" si="119"/>
        <v>#N/A</v>
      </c>
      <c r="FT8" s="32" t="e">
        <f t="shared" si="120"/>
        <v>#N/A</v>
      </c>
      <c r="FU8" s="32" t="e">
        <f t="shared" si="121"/>
        <v>#N/A</v>
      </c>
      <c r="FV8" s="32" t="e">
        <f t="shared" si="122"/>
        <v>#N/A</v>
      </c>
      <c r="FW8" s="32" t="e">
        <f t="shared" si="123"/>
        <v>#N/A</v>
      </c>
      <c r="FX8" s="32" t="e">
        <f t="shared" si="124"/>
        <v>#N/A</v>
      </c>
      <c r="FY8" s="32" t="e">
        <f t="shared" si="125"/>
        <v>#N/A</v>
      </c>
      <c r="FZ8" s="32" t="e">
        <f t="shared" si="126"/>
        <v>#N/A</v>
      </c>
      <c r="GA8" s="32" t="e">
        <f t="shared" si="127"/>
        <v>#N/A</v>
      </c>
      <c r="GB8" s="32" t="e">
        <f t="shared" si="128"/>
        <v>#N/A</v>
      </c>
      <c r="GC8" s="32" t="e">
        <f t="shared" si="129"/>
        <v>#N/A</v>
      </c>
      <c r="GD8" s="32" t="e">
        <f t="shared" si="130"/>
        <v>#N/A</v>
      </c>
      <c r="GE8" s="32" t="e">
        <f t="shared" si="131"/>
        <v>#N/A</v>
      </c>
      <c r="GF8" s="32" t="e">
        <f t="shared" si="132"/>
        <v>#N/A</v>
      </c>
      <c r="GG8" s="32" t="e">
        <f t="shared" si="133"/>
        <v>#N/A</v>
      </c>
      <c r="GH8" s="32" t="e">
        <f t="shared" si="134"/>
        <v>#N/A</v>
      </c>
      <c r="GI8" s="32" t="e">
        <f t="shared" si="135"/>
        <v>#N/A</v>
      </c>
      <c r="GJ8" s="32" t="e">
        <f t="shared" si="136"/>
        <v>#N/A</v>
      </c>
      <c r="GK8" s="32" t="e">
        <f t="shared" si="137"/>
        <v>#N/A</v>
      </c>
      <c r="GL8" s="32" t="e">
        <f t="shared" si="138"/>
        <v>#N/A</v>
      </c>
      <c r="GM8" s="32" t="e">
        <f t="shared" si="139"/>
        <v>#N/A</v>
      </c>
      <c r="GN8" s="32" t="e">
        <f t="shared" si="140"/>
        <v>#N/A</v>
      </c>
      <c r="GO8" s="32" t="e">
        <f t="shared" si="141"/>
        <v>#N/A</v>
      </c>
      <c r="GP8" s="32" t="e">
        <f t="shared" si="142"/>
        <v>#N/A</v>
      </c>
      <c r="GQ8" s="32" t="e">
        <f t="shared" si="143"/>
        <v>#N/A</v>
      </c>
      <c r="GR8" s="32" t="e">
        <f t="shared" si="144"/>
        <v>#N/A</v>
      </c>
      <c r="GS8" s="32" t="e">
        <f t="shared" si="145"/>
        <v>#N/A</v>
      </c>
      <c r="GT8" s="32" t="e">
        <f t="shared" si="146"/>
        <v>#N/A</v>
      </c>
      <c r="GU8" s="32" t="e">
        <f t="shared" si="147"/>
        <v>#N/A</v>
      </c>
      <c r="GV8" s="32" t="e">
        <f t="shared" si="148"/>
        <v>#N/A</v>
      </c>
      <c r="GW8" s="32" t="e">
        <f t="shared" si="149"/>
        <v>#N/A</v>
      </c>
      <c r="GX8" s="32" t="e">
        <f t="shared" si="150"/>
        <v>#N/A</v>
      </c>
      <c r="GY8" s="32" t="e">
        <f t="shared" si="151"/>
        <v>#N/A</v>
      </c>
      <c r="GZ8" s="32" t="e">
        <f t="shared" si="152"/>
        <v>#N/A</v>
      </c>
      <c r="HA8" s="32" t="e">
        <f t="shared" si="153"/>
        <v>#N/A</v>
      </c>
      <c r="HC8" s="33" t="e">
        <f t="shared" si="154"/>
        <v>#N/A</v>
      </c>
      <c r="HD8" s="32" t="e">
        <f t="shared" si="155"/>
        <v>#N/A</v>
      </c>
      <c r="HE8" s="32" t="e">
        <f t="shared" si="156"/>
        <v>#N/A</v>
      </c>
      <c r="HF8" s="32" t="e">
        <f t="shared" si="157"/>
        <v>#N/A</v>
      </c>
      <c r="HG8" s="32" t="e">
        <f t="shared" si="158"/>
        <v>#N/A</v>
      </c>
      <c r="HH8" s="32" t="e">
        <f t="shared" si="159"/>
        <v>#N/A</v>
      </c>
      <c r="HI8" s="32" t="e">
        <f t="shared" si="160"/>
        <v>#N/A</v>
      </c>
      <c r="HJ8" s="32" t="e">
        <f t="shared" si="161"/>
        <v>#N/A</v>
      </c>
      <c r="HK8" s="32" t="e">
        <f t="shared" si="162"/>
        <v>#N/A</v>
      </c>
      <c r="HL8" s="32" t="e">
        <f t="shared" si="163"/>
        <v>#N/A</v>
      </c>
      <c r="HM8" s="32" t="e">
        <f t="shared" si="164"/>
        <v>#N/A</v>
      </c>
      <c r="HN8" s="32" t="e">
        <f t="shared" si="165"/>
        <v>#N/A</v>
      </c>
      <c r="HO8" s="32" t="e">
        <f t="shared" si="166"/>
        <v>#N/A</v>
      </c>
      <c r="HP8" s="32" t="e">
        <f t="shared" si="167"/>
        <v>#N/A</v>
      </c>
      <c r="HQ8" s="32" t="e">
        <f t="shared" si="168"/>
        <v>#N/A</v>
      </c>
      <c r="HR8" s="32" t="e">
        <f t="shared" si="169"/>
        <v>#N/A</v>
      </c>
      <c r="HS8" s="32" t="e">
        <f t="shared" si="170"/>
        <v>#N/A</v>
      </c>
      <c r="HT8" s="32" t="e">
        <f t="shared" si="171"/>
        <v>#N/A</v>
      </c>
      <c r="HU8" s="32" t="e">
        <f t="shared" si="172"/>
        <v>#N/A</v>
      </c>
      <c r="HV8" s="32" t="e">
        <f t="shared" si="173"/>
        <v>#N/A</v>
      </c>
      <c r="HW8" s="32" t="e">
        <f t="shared" si="174"/>
        <v>#N/A</v>
      </c>
      <c r="HX8" s="32" t="e">
        <f t="shared" si="175"/>
        <v>#N/A</v>
      </c>
      <c r="HY8" s="32" t="e">
        <f t="shared" si="176"/>
        <v>#N/A</v>
      </c>
      <c r="HZ8" s="32" t="e">
        <f t="shared" si="177"/>
        <v>#N/A</v>
      </c>
      <c r="IA8" s="32" t="e">
        <f t="shared" si="178"/>
        <v>#N/A</v>
      </c>
      <c r="IB8" s="32" t="e">
        <f t="shared" si="179"/>
        <v>#N/A</v>
      </c>
      <c r="IC8" s="32" t="e">
        <f t="shared" si="180"/>
        <v>#N/A</v>
      </c>
      <c r="ID8" s="32" t="e">
        <f t="shared" si="181"/>
        <v>#N/A</v>
      </c>
      <c r="IE8" s="32" t="e">
        <f t="shared" si="182"/>
        <v>#N/A</v>
      </c>
      <c r="IF8" s="32" t="e">
        <f t="shared" si="183"/>
        <v>#N/A</v>
      </c>
      <c r="IG8" s="32" t="e">
        <f t="shared" si="184"/>
        <v>#N/A</v>
      </c>
      <c r="IH8" s="32" t="e">
        <f t="shared" si="185"/>
        <v>#N/A</v>
      </c>
      <c r="II8" s="32" t="e">
        <f t="shared" si="186"/>
        <v>#N/A</v>
      </c>
      <c r="IJ8" s="32" t="e">
        <f t="shared" si="187"/>
        <v>#N/A</v>
      </c>
      <c r="IK8" s="32" t="e">
        <f t="shared" si="188"/>
        <v>#N/A</v>
      </c>
      <c r="IL8" s="32" t="e">
        <f t="shared" si="189"/>
        <v>#N/A</v>
      </c>
      <c r="IM8" s="32" t="e">
        <f t="shared" si="190"/>
        <v>#N/A</v>
      </c>
      <c r="IN8" s="32" t="e">
        <f t="shared" si="191"/>
        <v>#N/A</v>
      </c>
      <c r="IO8" s="32" t="e">
        <f t="shared" si="192"/>
        <v>#N/A</v>
      </c>
      <c r="IP8" s="32" t="e">
        <f t="shared" si="193"/>
        <v>#N/A</v>
      </c>
      <c r="IQ8" s="32" t="e">
        <f t="shared" si="194"/>
        <v>#N/A</v>
      </c>
      <c r="IR8" s="32" t="e">
        <f t="shared" si="195"/>
        <v>#N/A</v>
      </c>
      <c r="IS8" s="32" t="e">
        <f t="shared" si="196"/>
        <v>#N/A</v>
      </c>
      <c r="IT8" s="32" t="e">
        <f t="shared" si="197"/>
        <v>#N/A</v>
      </c>
      <c r="IU8" s="32" t="e">
        <f t="shared" si="198"/>
        <v>#N/A</v>
      </c>
      <c r="IV8" s="32" t="e">
        <f t="shared" si="199"/>
        <v>#N/A</v>
      </c>
      <c r="IW8" s="32" t="e">
        <f t="shared" si="200"/>
        <v>#N/A</v>
      </c>
      <c r="IX8" s="32" t="e">
        <f t="shared" si="201"/>
        <v>#N/A</v>
      </c>
      <c r="IY8" s="32" t="e">
        <f t="shared" si="202"/>
        <v>#N/A</v>
      </c>
      <c r="IZ8" s="32" t="e">
        <f t="shared" si="203"/>
        <v>#N/A</v>
      </c>
      <c r="JA8" s="32" t="e">
        <f t="shared" si="204"/>
        <v>#N/A</v>
      </c>
      <c r="JB8" s="32" t="e">
        <f t="shared" si="205"/>
        <v>#N/A</v>
      </c>
      <c r="JC8" s="32" t="e">
        <f t="shared" si="206"/>
        <v>#N/A</v>
      </c>
      <c r="JD8" s="32" t="e">
        <f t="shared" si="207"/>
        <v>#N/A</v>
      </c>
      <c r="JE8" s="32" t="e">
        <f t="shared" si="208"/>
        <v>#N/A</v>
      </c>
      <c r="JF8" s="32" t="e">
        <f t="shared" si="209"/>
        <v>#N/A</v>
      </c>
      <c r="JG8" s="32" t="e">
        <f t="shared" si="210"/>
        <v>#N/A</v>
      </c>
      <c r="JH8" s="32" t="e">
        <f t="shared" si="211"/>
        <v>#N/A</v>
      </c>
      <c r="JI8" s="32" t="e">
        <f t="shared" si="212"/>
        <v>#N/A</v>
      </c>
      <c r="JJ8" s="32" t="e">
        <f t="shared" si="213"/>
        <v>#N/A</v>
      </c>
      <c r="JK8" s="32" t="e">
        <f t="shared" si="214"/>
        <v>#N/A</v>
      </c>
      <c r="JM8" s="35" t="e">
        <f t="shared" si="215"/>
        <v>#N/A</v>
      </c>
      <c r="JN8" s="42">
        <v>6</v>
      </c>
      <c r="JO8" s="32" t="e">
        <f>HLOOKUP(JM8,HC$2:JK8,2+JN7,0)-IF(KE8&gt;0,KE8,0)</f>
        <v>#N/A</v>
      </c>
      <c r="JP8" s="32" t="e">
        <f t="shared" si="216"/>
        <v>#N/A</v>
      </c>
      <c r="JQ8" s="17"/>
      <c r="JR8" s="17"/>
      <c r="JS8" s="33">
        <f t="shared" si="217"/>
        <v>0</v>
      </c>
      <c r="JT8" s="32" t="e">
        <f t="shared" si="218"/>
        <v>#N/A</v>
      </c>
      <c r="JU8" s="40">
        <f t="shared" ca="1" si="22"/>
        <v>46161</v>
      </c>
      <c r="JV8" s="33" t="e">
        <f t="shared" si="219"/>
        <v>#N/A</v>
      </c>
      <c r="JW8" s="33"/>
      <c r="JX8" s="33"/>
      <c r="JY8" s="33">
        <f t="shared" si="220"/>
        <v>0</v>
      </c>
      <c r="JZ8" s="36" t="e">
        <f t="shared" si="221"/>
        <v>#N/A</v>
      </c>
      <c r="KA8" s="36" t="e">
        <f t="shared" si="222"/>
        <v>#N/A</v>
      </c>
      <c r="KB8" s="36" t="e">
        <f t="shared" si="223"/>
        <v>#N/A</v>
      </c>
      <c r="KC8" s="36" t="e">
        <f t="shared" si="224"/>
        <v>#N/A</v>
      </c>
      <c r="KD8" s="32" t="e">
        <f t="shared" si="225"/>
        <v>#N/A</v>
      </c>
      <c r="KE8" s="33" t="e">
        <f t="shared" si="226"/>
        <v>#N/A</v>
      </c>
      <c r="KF8" s="1"/>
      <c r="KG8" s="26"/>
      <c r="KH8" s="31"/>
      <c r="KI8" s="31"/>
      <c r="KJ8" s="37"/>
    </row>
    <row r="9" spans="1:297" s="28" customFormat="1" x14ac:dyDescent="0.3">
      <c r="B9" s="1"/>
      <c r="C9" s="28" t="e">
        <f>VLOOKUP(B9,DD!A:B,2,0)</f>
        <v>#N/A</v>
      </c>
      <c r="D9" s="28" t="e">
        <f>VLOOKUP(B9,DD!A:K,11,0)</f>
        <v>#N/A</v>
      </c>
      <c r="E9" s="28" t="e">
        <f>VLOOKUP(B9,DD!A:L,12,0)</f>
        <v>#N/A</v>
      </c>
      <c r="F9" s="78" t="e">
        <f>VLOOKUP(B9,DD!A:D,4,0)</f>
        <v>#N/A</v>
      </c>
      <c r="G9" s="46">
        <v>1</v>
      </c>
      <c r="H9" s="43" t="e">
        <f>VLOOKUP(B9,DD!A:E,5,0)</f>
        <v>#N/A</v>
      </c>
      <c r="I9" s="43" t="e">
        <f t="shared" si="23"/>
        <v>#N/A</v>
      </c>
      <c r="J9" s="43" t="e">
        <f>VLOOKUP(B9,DD!A:F,6,0)</f>
        <v>#N/A</v>
      </c>
      <c r="K9" s="43" t="e">
        <f>VLOOKUP(B9,DD!A:H,8,0)</f>
        <v>#N/A</v>
      </c>
      <c r="L9" s="43" t="e">
        <f>VLOOKUP(B9,DD!A:I,9,0)</f>
        <v>#N/A</v>
      </c>
      <c r="M9" s="43" t="e">
        <f>VLOOKUP(B9,DD!A:J,10,0)</f>
        <v>#N/A</v>
      </c>
      <c r="N9" s="43" t="s">
        <v>8</v>
      </c>
      <c r="O9" s="43" t="s">
        <v>9</v>
      </c>
      <c r="P9" s="44" t="e">
        <f>VLOOKUP(B9,DD!A:C,3,0)</f>
        <v>#N/A</v>
      </c>
      <c r="Q9" s="32" t="e">
        <f t="shared" si="24"/>
        <v>#N/A</v>
      </c>
      <c r="R9" s="32" t="e">
        <f t="shared" si="25"/>
        <v>#N/A</v>
      </c>
      <c r="S9" s="32" t="e">
        <f t="shared" si="26"/>
        <v>#N/A</v>
      </c>
      <c r="T9" s="33" t="e">
        <f t="shared" si="27"/>
        <v>#N/A</v>
      </c>
      <c r="U9" s="32" t="e">
        <f t="shared" si="28"/>
        <v>#N/A</v>
      </c>
      <c r="V9" s="33" t="e">
        <f t="shared" si="29"/>
        <v>#N/A</v>
      </c>
      <c r="W9" s="34" t="e">
        <f t="shared" si="30"/>
        <v>#N/A</v>
      </c>
      <c r="X9" s="8" t="e">
        <f t="shared" si="8"/>
        <v>#VALUE!</v>
      </c>
      <c r="Y9" s="33" t="e">
        <f t="shared" si="31"/>
        <v>#N/A</v>
      </c>
      <c r="Z9" s="34" t="e">
        <f t="shared" si="10"/>
        <v>#N/A</v>
      </c>
      <c r="AA9" s="34" t="e">
        <f t="shared" si="10"/>
        <v>#N/A</v>
      </c>
      <c r="AB9" s="34" t="e">
        <f t="shared" si="10"/>
        <v>#N/A</v>
      </c>
      <c r="AC9" s="34" t="e">
        <f t="shared" si="10"/>
        <v>#N/A</v>
      </c>
      <c r="AD9" s="34" t="e">
        <f t="shared" si="10"/>
        <v>#N/A</v>
      </c>
      <c r="AE9" s="34" t="e">
        <f t="shared" si="10"/>
        <v>#N/A</v>
      </c>
      <c r="AF9" s="34" t="e">
        <f t="shared" si="10"/>
        <v>#N/A</v>
      </c>
      <c r="AG9" s="34" t="e">
        <f t="shared" si="10"/>
        <v>#N/A</v>
      </c>
      <c r="AH9" s="34" t="e">
        <f t="shared" si="10"/>
        <v>#N/A</v>
      </c>
      <c r="AI9" s="34" t="e">
        <f t="shared" si="10"/>
        <v>#N/A</v>
      </c>
      <c r="AJ9" s="34" t="e">
        <f t="shared" si="10"/>
        <v>#N/A</v>
      </c>
      <c r="AK9" s="34" t="e">
        <f t="shared" si="10"/>
        <v>#N/A</v>
      </c>
      <c r="AL9" s="34" t="e">
        <f t="shared" si="10"/>
        <v>#N/A</v>
      </c>
      <c r="AM9" s="34" t="e">
        <f t="shared" si="10"/>
        <v>#N/A</v>
      </c>
      <c r="AN9" s="34" t="e">
        <f t="shared" si="10"/>
        <v>#N/A</v>
      </c>
      <c r="AO9" s="34" t="e">
        <f t="shared" si="10"/>
        <v>#N/A</v>
      </c>
      <c r="AP9" s="34" t="e">
        <f t="shared" si="10"/>
        <v>#N/A</v>
      </c>
      <c r="AQ9" s="34" t="e">
        <f t="shared" si="10"/>
        <v>#N/A</v>
      </c>
      <c r="AR9" s="34" t="e">
        <f t="shared" si="10"/>
        <v>#N/A</v>
      </c>
      <c r="AS9" s="34" t="e">
        <f t="shared" si="10"/>
        <v>#N/A</v>
      </c>
      <c r="AT9" s="34" t="e">
        <f t="shared" si="10"/>
        <v>#N/A</v>
      </c>
      <c r="AU9" s="34" t="e">
        <f t="shared" si="10"/>
        <v>#N/A</v>
      </c>
      <c r="AV9" s="34" t="e">
        <f t="shared" si="10"/>
        <v>#N/A</v>
      </c>
      <c r="AW9" s="34" t="e">
        <f t="shared" si="10"/>
        <v>#N/A</v>
      </c>
      <c r="AX9" s="34" t="e">
        <f t="shared" si="10"/>
        <v>#N/A</v>
      </c>
      <c r="AY9" s="34" t="e">
        <f t="shared" si="10"/>
        <v>#N/A</v>
      </c>
      <c r="AZ9" s="34" t="e">
        <f t="shared" si="10"/>
        <v>#N/A</v>
      </c>
      <c r="BA9" s="34" t="e">
        <f t="shared" si="10"/>
        <v>#N/A</v>
      </c>
      <c r="BB9" s="34" t="e">
        <f t="shared" si="10"/>
        <v>#N/A</v>
      </c>
      <c r="BC9" s="34" t="e">
        <f t="shared" si="10"/>
        <v>#N/A</v>
      </c>
      <c r="BD9" s="34" t="e">
        <f t="shared" si="10"/>
        <v>#N/A</v>
      </c>
      <c r="BE9" s="34" t="e">
        <f t="shared" si="10"/>
        <v>#N/A</v>
      </c>
      <c r="BF9" s="34" t="e">
        <f t="shared" si="11"/>
        <v>#N/A</v>
      </c>
      <c r="BG9" s="34" t="e">
        <f t="shared" si="11"/>
        <v>#N/A</v>
      </c>
      <c r="BH9" s="34" t="e">
        <f t="shared" si="11"/>
        <v>#N/A</v>
      </c>
      <c r="BI9" s="34" t="e">
        <f t="shared" si="11"/>
        <v>#N/A</v>
      </c>
      <c r="BJ9" s="34" t="e">
        <f t="shared" si="11"/>
        <v>#N/A</v>
      </c>
      <c r="BK9" s="34" t="e">
        <f t="shared" si="11"/>
        <v>#N/A</v>
      </c>
      <c r="BL9" s="34" t="e">
        <f t="shared" si="11"/>
        <v>#N/A</v>
      </c>
      <c r="BM9" s="34" t="e">
        <f t="shared" si="11"/>
        <v>#N/A</v>
      </c>
      <c r="BN9" s="34" t="e">
        <f t="shared" si="11"/>
        <v>#N/A</v>
      </c>
      <c r="BO9" s="34" t="e">
        <f t="shared" si="11"/>
        <v>#N/A</v>
      </c>
      <c r="BP9" s="34" t="e">
        <f t="shared" si="11"/>
        <v>#N/A</v>
      </c>
      <c r="BQ9" s="34" t="e">
        <f t="shared" si="11"/>
        <v>#N/A</v>
      </c>
      <c r="BR9" s="34" t="e">
        <f t="shared" si="11"/>
        <v>#N/A</v>
      </c>
      <c r="BS9" s="34" t="e">
        <f t="shared" si="11"/>
        <v>#N/A</v>
      </c>
      <c r="BT9" s="34" t="e">
        <f t="shared" si="11"/>
        <v>#N/A</v>
      </c>
      <c r="BU9" s="34" t="e">
        <f t="shared" si="11"/>
        <v>#N/A</v>
      </c>
      <c r="BV9" s="34" t="e">
        <f t="shared" si="11"/>
        <v>#N/A</v>
      </c>
      <c r="BW9" s="34" t="e">
        <f t="shared" si="11"/>
        <v>#N/A</v>
      </c>
      <c r="BX9" s="34" t="e">
        <f t="shared" si="11"/>
        <v>#N/A</v>
      </c>
      <c r="BY9" s="34" t="e">
        <f t="shared" si="11"/>
        <v>#N/A</v>
      </c>
      <c r="BZ9" s="34" t="e">
        <f t="shared" si="11"/>
        <v>#N/A</v>
      </c>
      <c r="CA9" s="34" t="e">
        <f t="shared" si="11"/>
        <v>#N/A</v>
      </c>
      <c r="CB9" s="34" t="e">
        <f t="shared" si="11"/>
        <v>#N/A</v>
      </c>
      <c r="CC9" s="34" t="e">
        <f t="shared" si="11"/>
        <v>#N/A</v>
      </c>
      <c r="CD9" s="34" t="e">
        <f t="shared" si="11"/>
        <v>#N/A</v>
      </c>
      <c r="CE9" s="34" t="e">
        <f t="shared" si="11"/>
        <v>#N/A</v>
      </c>
      <c r="CF9" s="34" t="e">
        <f t="shared" si="11"/>
        <v>#N/A</v>
      </c>
      <c r="CG9" s="34" t="e">
        <f t="shared" si="11"/>
        <v>#N/A</v>
      </c>
      <c r="CH9" s="33" t="e">
        <f t="shared" si="32"/>
        <v>#N/A</v>
      </c>
      <c r="CI9" s="32" t="e">
        <f t="shared" si="33"/>
        <v>#N/A</v>
      </c>
      <c r="CJ9" s="32"/>
      <c r="CK9" s="32" t="e">
        <f t="shared" si="34"/>
        <v>#N/A</v>
      </c>
      <c r="CL9" s="32" t="e">
        <f t="shared" si="35"/>
        <v>#N/A</v>
      </c>
      <c r="CM9" s="32" t="e">
        <f t="shared" si="36"/>
        <v>#N/A</v>
      </c>
      <c r="CN9" s="32" t="e">
        <f t="shared" si="37"/>
        <v>#N/A</v>
      </c>
      <c r="CO9" s="32" t="e">
        <f t="shared" si="38"/>
        <v>#N/A</v>
      </c>
      <c r="CP9" s="32" t="e">
        <f t="shared" si="39"/>
        <v>#N/A</v>
      </c>
      <c r="CQ9" s="32" t="e">
        <f t="shared" si="40"/>
        <v>#N/A</v>
      </c>
      <c r="CR9" s="32" t="e">
        <f t="shared" si="41"/>
        <v>#N/A</v>
      </c>
      <c r="CS9" s="32" t="e">
        <f t="shared" si="42"/>
        <v>#N/A</v>
      </c>
      <c r="CT9" s="32" t="e">
        <f t="shared" si="43"/>
        <v>#N/A</v>
      </c>
      <c r="CU9" s="32" t="e">
        <f t="shared" si="44"/>
        <v>#N/A</v>
      </c>
      <c r="CV9" s="32" t="e">
        <f t="shared" si="45"/>
        <v>#N/A</v>
      </c>
      <c r="CW9" s="32" t="e">
        <f t="shared" si="46"/>
        <v>#N/A</v>
      </c>
      <c r="CX9" s="32" t="e">
        <f t="shared" si="47"/>
        <v>#N/A</v>
      </c>
      <c r="CY9" s="32" t="e">
        <f t="shared" si="48"/>
        <v>#N/A</v>
      </c>
      <c r="CZ9" s="32" t="e">
        <f t="shared" si="49"/>
        <v>#N/A</v>
      </c>
      <c r="DA9" s="32" t="e">
        <f t="shared" si="50"/>
        <v>#N/A</v>
      </c>
      <c r="DB9" s="32" t="e">
        <f t="shared" si="51"/>
        <v>#N/A</v>
      </c>
      <c r="DC9" s="32" t="e">
        <f t="shared" si="52"/>
        <v>#N/A</v>
      </c>
      <c r="DD9" s="32" t="e">
        <f t="shared" si="53"/>
        <v>#N/A</v>
      </c>
      <c r="DE9" s="32" t="e">
        <f t="shared" si="54"/>
        <v>#N/A</v>
      </c>
      <c r="DF9" s="32" t="e">
        <f t="shared" si="55"/>
        <v>#N/A</v>
      </c>
      <c r="DG9" s="32" t="e">
        <f t="shared" si="56"/>
        <v>#N/A</v>
      </c>
      <c r="DH9" s="32" t="e">
        <f t="shared" si="57"/>
        <v>#N/A</v>
      </c>
      <c r="DI9" s="32" t="e">
        <f t="shared" si="58"/>
        <v>#N/A</v>
      </c>
      <c r="DJ9" s="32" t="e">
        <f t="shared" si="59"/>
        <v>#N/A</v>
      </c>
      <c r="DK9" s="32" t="e">
        <f t="shared" si="60"/>
        <v>#N/A</v>
      </c>
      <c r="DL9" s="32" t="e">
        <f t="shared" si="61"/>
        <v>#N/A</v>
      </c>
      <c r="DM9" s="32" t="e">
        <f t="shared" si="62"/>
        <v>#N/A</v>
      </c>
      <c r="DN9" s="32" t="e">
        <f t="shared" si="63"/>
        <v>#N/A</v>
      </c>
      <c r="DO9" s="32" t="e">
        <f t="shared" si="64"/>
        <v>#N/A</v>
      </c>
      <c r="DP9" s="32" t="e">
        <f t="shared" si="65"/>
        <v>#N/A</v>
      </c>
      <c r="DQ9" s="32" t="e">
        <f t="shared" si="66"/>
        <v>#N/A</v>
      </c>
      <c r="DR9" s="32" t="e">
        <f t="shared" si="67"/>
        <v>#N/A</v>
      </c>
      <c r="DS9" s="32" t="e">
        <f t="shared" si="68"/>
        <v>#N/A</v>
      </c>
      <c r="DT9" s="32" t="e">
        <f t="shared" si="69"/>
        <v>#N/A</v>
      </c>
      <c r="DU9" s="32" t="e">
        <f t="shared" si="70"/>
        <v>#N/A</v>
      </c>
      <c r="DV9" s="32" t="e">
        <f t="shared" si="71"/>
        <v>#N/A</v>
      </c>
      <c r="DW9" s="32" t="e">
        <f t="shared" si="72"/>
        <v>#N/A</v>
      </c>
      <c r="DX9" s="32" t="e">
        <f t="shared" si="73"/>
        <v>#N/A</v>
      </c>
      <c r="DY9" s="32" t="e">
        <f t="shared" si="74"/>
        <v>#N/A</v>
      </c>
      <c r="DZ9" s="32" t="e">
        <f t="shared" si="75"/>
        <v>#N/A</v>
      </c>
      <c r="EA9" s="32" t="e">
        <f t="shared" si="76"/>
        <v>#N/A</v>
      </c>
      <c r="EB9" s="32" t="e">
        <f t="shared" si="77"/>
        <v>#N/A</v>
      </c>
      <c r="EC9" s="32" t="e">
        <f t="shared" si="78"/>
        <v>#N/A</v>
      </c>
      <c r="ED9" s="32" t="e">
        <f t="shared" si="79"/>
        <v>#N/A</v>
      </c>
      <c r="EE9" s="32" t="e">
        <f t="shared" si="80"/>
        <v>#N/A</v>
      </c>
      <c r="EF9" s="32" t="e">
        <f t="shared" si="81"/>
        <v>#N/A</v>
      </c>
      <c r="EG9" s="32" t="e">
        <f t="shared" si="82"/>
        <v>#N/A</v>
      </c>
      <c r="EH9" s="32" t="e">
        <f t="shared" si="83"/>
        <v>#N/A</v>
      </c>
      <c r="EI9" s="32" t="e">
        <f t="shared" si="84"/>
        <v>#N/A</v>
      </c>
      <c r="EJ9" s="32" t="e">
        <f t="shared" si="85"/>
        <v>#N/A</v>
      </c>
      <c r="EK9" s="32" t="e">
        <f t="shared" si="86"/>
        <v>#N/A</v>
      </c>
      <c r="EL9" s="32" t="e">
        <f t="shared" si="87"/>
        <v>#N/A</v>
      </c>
      <c r="EM9" s="32" t="e">
        <f t="shared" si="88"/>
        <v>#N/A</v>
      </c>
      <c r="EN9" s="32" t="e">
        <f t="shared" si="89"/>
        <v>#N/A</v>
      </c>
      <c r="EO9" s="32" t="e">
        <f t="shared" si="90"/>
        <v>#N/A</v>
      </c>
      <c r="EP9" s="32" t="e">
        <f t="shared" si="91"/>
        <v>#N/A</v>
      </c>
      <c r="EQ9" s="32" t="e">
        <f t="shared" si="92"/>
        <v>#N/A</v>
      </c>
      <c r="ER9" s="32" t="e">
        <f t="shared" si="93"/>
        <v>#N/A</v>
      </c>
      <c r="ET9" s="32" t="e">
        <f t="shared" si="94"/>
        <v>#N/A</v>
      </c>
      <c r="EU9" s="32" t="e">
        <f t="shared" si="95"/>
        <v>#N/A</v>
      </c>
      <c r="EV9" s="32" t="e">
        <f t="shared" si="96"/>
        <v>#N/A</v>
      </c>
      <c r="EW9" s="32" t="e">
        <f t="shared" si="97"/>
        <v>#N/A</v>
      </c>
      <c r="EX9" s="32" t="e">
        <f t="shared" si="98"/>
        <v>#N/A</v>
      </c>
      <c r="EY9" s="32" t="e">
        <f t="shared" si="99"/>
        <v>#N/A</v>
      </c>
      <c r="EZ9" s="32" t="e">
        <f t="shared" si="100"/>
        <v>#N/A</v>
      </c>
      <c r="FA9" s="32" t="e">
        <f t="shared" si="101"/>
        <v>#N/A</v>
      </c>
      <c r="FB9" s="32" t="e">
        <f t="shared" si="102"/>
        <v>#N/A</v>
      </c>
      <c r="FC9" s="32" t="e">
        <f t="shared" si="103"/>
        <v>#N/A</v>
      </c>
      <c r="FD9" s="32" t="e">
        <f t="shared" si="104"/>
        <v>#N/A</v>
      </c>
      <c r="FE9" s="32" t="e">
        <f t="shared" si="105"/>
        <v>#N/A</v>
      </c>
      <c r="FF9" s="32" t="e">
        <f t="shared" si="106"/>
        <v>#N/A</v>
      </c>
      <c r="FG9" s="32" t="e">
        <f t="shared" si="107"/>
        <v>#N/A</v>
      </c>
      <c r="FH9" s="32" t="e">
        <f t="shared" si="108"/>
        <v>#N/A</v>
      </c>
      <c r="FI9" s="32" t="e">
        <f t="shared" si="109"/>
        <v>#N/A</v>
      </c>
      <c r="FJ9" s="32" t="e">
        <f t="shared" si="110"/>
        <v>#N/A</v>
      </c>
      <c r="FK9" s="32" t="e">
        <f t="shared" si="111"/>
        <v>#N/A</v>
      </c>
      <c r="FL9" s="32" t="e">
        <f t="shared" si="112"/>
        <v>#N/A</v>
      </c>
      <c r="FM9" s="32" t="e">
        <f t="shared" si="113"/>
        <v>#N/A</v>
      </c>
      <c r="FN9" s="32" t="e">
        <f t="shared" si="114"/>
        <v>#N/A</v>
      </c>
      <c r="FO9" s="32" t="e">
        <f t="shared" si="115"/>
        <v>#N/A</v>
      </c>
      <c r="FP9" s="32" t="e">
        <f t="shared" si="116"/>
        <v>#N/A</v>
      </c>
      <c r="FQ9" s="32" t="e">
        <f t="shared" si="117"/>
        <v>#N/A</v>
      </c>
      <c r="FR9" s="32" t="e">
        <f t="shared" si="118"/>
        <v>#N/A</v>
      </c>
      <c r="FS9" s="32" t="e">
        <f t="shared" si="119"/>
        <v>#N/A</v>
      </c>
      <c r="FT9" s="32" t="e">
        <f t="shared" si="120"/>
        <v>#N/A</v>
      </c>
      <c r="FU9" s="32" t="e">
        <f t="shared" si="121"/>
        <v>#N/A</v>
      </c>
      <c r="FV9" s="32" t="e">
        <f t="shared" si="122"/>
        <v>#N/A</v>
      </c>
      <c r="FW9" s="32" t="e">
        <f t="shared" si="123"/>
        <v>#N/A</v>
      </c>
      <c r="FX9" s="32" t="e">
        <f t="shared" si="124"/>
        <v>#N/A</v>
      </c>
      <c r="FY9" s="32" t="e">
        <f t="shared" si="125"/>
        <v>#N/A</v>
      </c>
      <c r="FZ9" s="32" t="e">
        <f t="shared" si="126"/>
        <v>#N/A</v>
      </c>
      <c r="GA9" s="32" t="e">
        <f t="shared" si="127"/>
        <v>#N/A</v>
      </c>
      <c r="GB9" s="32" t="e">
        <f t="shared" si="128"/>
        <v>#N/A</v>
      </c>
      <c r="GC9" s="32" t="e">
        <f t="shared" si="129"/>
        <v>#N/A</v>
      </c>
      <c r="GD9" s="32" t="e">
        <f t="shared" si="130"/>
        <v>#N/A</v>
      </c>
      <c r="GE9" s="32" t="e">
        <f t="shared" si="131"/>
        <v>#N/A</v>
      </c>
      <c r="GF9" s="32" t="e">
        <f t="shared" si="132"/>
        <v>#N/A</v>
      </c>
      <c r="GG9" s="32" t="e">
        <f t="shared" si="133"/>
        <v>#N/A</v>
      </c>
      <c r="GH9" s="32" t="e">
        <f t="shared" si="134"/>
        <v>#N/A</v>
      </c>
      <c r="GI9" s="32" t="e">
        <f t="shared" si="135"/>
        <v>#N/A</v>
      </c>
      <c r="GJ9" s="32" t="e">
        <f t="shared" si="136"/>
        <v>#N/A</v>
      </c>
      <c r="GK9" s="32" t="e">
        <f t="shared" si="137"/>
        <v>#N/A</v>
      </c>
      <c r="GL9" s="32" t="e">
        <f t="shared" si="138"/>
        <v>#N/A</v>
      </c>
      <c r="GM9" s="32" t="e">
        <f t="shared" si="139"/>
        <v>#N/A</v>
      </c>
      <c r="GN9" s="32" t="e">
        <f t="shared" si="140"/>
        <v>#N/A</v>
      </c>
      <c r="GO9" s="32" t="e">
        <f t="shared" si="141"/>
        <v>#N/A</v>
      </c>
      <c r="GP9" s="32" t="e">
        <f t="shared" si="142"/>
        <v>#N/A</v>
      </c>
      <c r="GQ9" s="32" t="e">
        <f t="shared" si="143"/>
        <v>#N/A</v>
      </c>
      <c r="GR9" s="32" t="e">
        <f t="shared" si="144"/>
        <v>#N/A</v>
      </c>
      <c r="GS9" s="32" t="e">
        <f t="shared" si="145"/>
        <v>#N/A</v>
      </c>
      <c r="GT9" s="32" t="e">
        <f t="shared" si="146"/>
        <v>#N/A</v>
      </c>
      <c r="GU9" s="32" t="e">
        <f t="shared" si="147"/>
        <v>#N/A</v>
      </c>
      <c r="GV9" s="32" t="e">
        <f t="shared" si="148"/>
        <v>#N/A</v>
      </c>
      <c r="GW9" s="32" t="e">
        <f t="shared" si="149"/>
        <v>#N/A</v>
      </c>
      <c r="GX9" s="32" t="e">
        <f t="shared" si="150"/>
        <v>#N/A</v>
      </c>
      <c r="GY9" s="32" t="e">
        <f t="shared" si="151"/>
        <v>#N/A</v>
      </c>
      <c r="GZ9" s="32" t="e">
        <f t="shared" si="152"/>
        <v>#N/A</v>
      </c>
      <c r="HA9" s="32" t="e">
        <f t="shared" si="153"/>
        <v>#N/A</v>
      </c>
      <c r="HC9" s="33" t="e">
        <f t="shared" si="154"/>
        <v>#N/A</v>
      </c>
      <c r="HD9" s="32" t="e">
        <f t="shared" si="155"/>
        <v>#N/A</v>
      </c>
      <c r="HE9" s="32" t="e">
        <f t="shared" si="156"/>
        <v>#N/A</v>
      </c>
      <c r="HF9" s="32" t="e">
        <f t="shared" si="157"/>
        <v>#N/A</v>
      </c>
      <c r="HG9" s="32" t="e">
        <f t="shared" si="158"/>
        <v>#N/A</v>
      </c>
      <c r="HH9" s="32" t="e">
        <f t="shared" si="159"/>
        <v>#N/A</v>
      </c>
      <c r="HI9" s="32" t="e">
        <f t="shared" si="160"/>
        <v>#N/A</v>
      </c>
      <c r="HJ9" s="32" t="e">
        <f t="shared" si="161"/>
        <v>#N/A</v>
      </c>
      <c r="HK9" s="32" t="e">
        <f t="shared" si="162"/>
        <v>#N/A</v>
      </c>
      <c r="HL9" s="32" t="e">
        <f t="shared" si="163"/>
        <v>#N/A</v>
      </c>
      <c r="HM9" s="32" t="e">
        <f t="shared" si="164"/>
        <v>#N/A</v>
      </c>
      <c r="HN9" s="32" t="e">
        <f t="shared" si="165"/>
        <v>#N/A</v>
      </c>
      <c r="HO9" s="32" t="e">
        <f t="shared" si="166"/>
        <v>#N/A</v>
      </c>
      <c r="HP9" s="32" t="e">
        <f t="shared" si="167"/>
        <v>#N/A</v>
      </c>
      <c r="HQ9" s="32" t="e">
        <f t="shared" si="168"/>
        <v>#N/A</v>
      </c>
      <c r="HR9" s="32" t="e">
        <f t="shared" si="169"/>
        <v>#N/A</v>
      </c>
      <c r="HS9" s="32" t="e">
        <f t="shared" si="170"/>
        <v>#N/A</v>
      </c>
      <c r="HT9" s="32" t="e">
        <f t="shared" si="171"/>
        <v>#N/A</v>
      </c>
      <c r="HU9" s="32" t="e">
        <f t="shared" si="172"/>
        <v>#N/A</v>
      </c>
      <c r="HV9" s="32" t="e">
        <f t="shared" si="173"/>
        <v>#N/A</v>
      </c>
      <c r="HW9" s="32" t="e">
        <f t="shared" si="174"/>
        <v>#N/A</v>
      </c>
      <c r="HX9" s="32" t="e">
        <f t="shared" si="175"/>
        <v>#N/A</v>
      </c>
      <c r="HY9" s="32" t="e">
        <f t="shared" si="176"/>
        <v>#N/A</v>
      </c>
      <c r="HZ9" s="32" t="e">
        <f t="shared" si="177"/>
        <v>#N/A</v>
      </c>
      <c r="IA9" s="32" t="e">
        <f t="shared" si="178"/>
        <v>#N/A</v>
      </c>
      <c r="IB9" s="32" t="e">
        <f t="shared" si="179"/>
        <v>#N/A</v>
      </c>
      <c r="IC9" s="32" t="e">
        <f t="shared" si="180"/>
        <v>#N/A</v>
      </c>
      <c r="ID9" s="32" t="e">
        <f t="shared" si="181"/>
        <v>#N/A</v>
      </c>
      <c r="IE9" s="32" t="e">
        <f t="shared" si="182"/>
        <v>#N/A</v>
      </c>
      <c r="IF9" s="32" t="e">
        <f t="shared" si="183"/>
        <v>#N/A</v>
      </c>
      <c r="IG9" s="32" t="e">
        <f t="shared" si="184"/>
        <v>#N/A</v>
      </c>
      <c r="IH9" s="32" t="e">
        <f t="shared" si="185"/>
        <v>#N/A</v>
      </c>
      <c r="II9" s="32" t="e">
        <f t="shared" si="186"/>
        <v>#N/A</v>
      </c>
      <c r="IJ9" s="32" t="e">
        <f t="shared" si="187"/>
        <v>#N/A</v>
      </c>
      <c r="IK9" s="32" t="e">
        <f t="shared" si="188"/>
        <v>#N/A</v>
      </c>
      <c r="IL9" s="32" t="e">
        <f t="shared" si="189"/>
        <v>#N/A</v>
      </c>
      <c r="IM9" s="32" t="e">
        <f t="shared" si="190"/>
        <v>#N/A</v>
      </c>
      <c r="IN9" s="32" t="e">
        <f t="shared" si="191"/>
        <v>#N/A</v>
      </c>
      <c r="IO9" s="32" t="e">
        <f t="shared" si="192"/>
        <v>#N/A</v>
      </c>
      <c r="IP9" s="32" t="e">
        <f t="shared" si="193"/>
        <v>#N/A</v>
      </c>
      <c r="IQ9" s="32" t="e">
        <f t="shared" si="194"/>
        <v>#N/A</v>
      </c>
      <c r="IR9" s="32" t="e">
        <f t="shared" si="195"/>
        <v>#N/A</v>
      </c>
      <c r="IS9" s="32" t="e">
        <f t="shared" si="196"/>
        <v>#N/A</v>
      </c>
      <c r="IT9" s="32" t="e">
        <f t="shared" si="197"/>
        <v>#N/A</v>
      </c>
      <c r="IU9" s="32" t="e">
        <f t="shared" si="198"/>
        <v>#N/A</v>
      </c>
      <c r="IV9" s="32" t="e">
        <f t="shared" si="199"/>
        <v>#N/A</v>
      </c>
      <c r="IW9" s="32" t="e">
        <f t="shared" si="200"/>
        <v>#N/A</v>
      </c>
      <c r="IX9" s="32" t="e">
        <f t="shared" si="201"/>
        <v>#N/A</v>
      </c>
      <c r="IY9" s="32" t="e">
        <f t="shared" si="202"/>
        <v>#N/A</v>
      </c>
      <c r="IZ9" s="32" t="e">
        <f t="shared" si="203"/>
        <v>#N/A</v>
      </c>
      <c r="JA9" s="32" t="e">
        <f t="shared" si="204"/>
        <v>#N/A</v>
      </c>
      <c r="JB9" s="32" t="e">
        <f t="shared" si="205"/>
        <v>#N/A</v>
      </c>
      <c r="JC9" s="32" t="e">
        <f t="shared" si="206"/>
        <v>#N/A</v>
      </c>
      <c r="JD9" s="32" t="e">
        <f t="shared" si="207"/>
        <v>#N/A</v>
      </c>
      <c r="JE9" s="32" t="e">
        <f t="shared" si="208"/>
        <v>#N/A</v>
      </c>
      <c r="JF9" s="32" t="e">
        <f t="shared" si="209"/>
        <v>#N/A</v>
      </c>
      <c r="JG9" s="32" t="e">
        <f t="shared" si="210"/>
        <v>#N/A</v>
      </c>
      <c r="JH9" s="32" t="e">
        <f t="shared" si="211"/>
        <v>#N/A</v>
      </c>
      <c r="JI9" s="32" t="e">
        <f t="shared" si="212"/>
        <v>#N/A</v>
      </c>
      <c r="JJ9" s="32" t="e">
        <f t="shared" si="213"/>
        <v>#N/A</v>
      </c>
      <c r="JK9" s="32" t="e">
        <f t="shared" si="214"/>
        <v>#N/A</v>
      </c>
      <c r="JM9" s="35" t="e">
        <f t="shared" si="215"/>
        <v>#N/A</v>
      </c>
      <c r="JN9" s="42">
        <v>7</v>
      </c>
      <c r="JO9" s="32" t="e">
        <f>HLOOKUP(JM9,HC$2:JK9,2+JN8,0)-IF(KE9&gt;0,KE9,0)</f>
        <v>#N/A</v>
      </c>
      <c r="JP9" s="32" t="e">
        <f t="shared" si="216"/>
        <v>#N/A</v>
      </c>
      <c r="JQ9" s="17"/>
      <c r="JR9" s="17"/>
      <c r="JS9" s="33">
        <f t="shared" si="217"/>
        <v>0</v>
      </c>
      <c r="JT9" s="32" t="e">
        <f t="shared" si="218"/>
        <v>#N/A</v>
      </c>
      <c r="JU9" s="40">
        <f t="shared" ca="1" si="22"/>
        <v>46161</v>
      </c>
      <c r="JV9" s="33" t="e">
        <f t="shared" si="219"/>
        <v>#N/A</v>
      </c>
      <c r="JW9" s="33"/>
      <c r="JX9" s="33"/>
      <c r="JY9" s="33">
        <f t="shared" si="220"/>
        <v>0</v>
      </c>
      <c r="JZ9" s="36" t="e">
        <f t="shared" si="221"/>
        <v>#N/A</v>
      </c>
      <c r="KA9" s="36" t="e">
        <f t="shared" si="222"/>
        <v>#N/A</v>
      </c>
      <c r="KB9" s="36" t="e">
        <f t="shared" si="223"/>
        <v>#N/A</v>
      </c>
      <c r="KC9" s="36" t="e">
        <f t="shared" si="224"/>
        <v>#N/A</v>
      </c>
      <c r="KD9" s="32" t="e">
        <f t="shared" si="225"/>
        <v>#N/A</v>
      </c>
      <c r="KE9" s="33" t="e">
        <f t="shared" si="226"/>
        <v>#N/A</v>
      </c>
      <c r="KF9" s="1"/>
      <c r="KG9" s="26"/>
      <c r="KH9" s="31"/>
      <c r="KI9" s="31"/>
      <c r="KJ9" s="37"/>
    </row>
    <row r="10" spans="1:297" x14ac:dyDescent="0.3">
      <c r="C10" s="14" t="e">
        <f>VLOOKUP(B10,DD!A:B,2,0)</f>
        <v>#N/A</v>
      </c>
      <c r="D10" s="14" t="e">
        <f>VLOOKUP(B10,DD!A:K,11,0)</f>
        <v>#N/A</v>
      </c>
      <c r="E10" s="1" t="e">
        <f>VLOOKUP(B10,DD!A:L,12,0)</f>
        <v>#N/A</v>
      </c>
      <c r="F10" s="64" t="e">
        <f>VLOOKUP(B10,DD!A:D,4,0)</f>
        <v>#N/A</v>
      </c>
      <c r="G10" s="45">
        <v>1</v>
      </c>
      <c r="H10" s="3" t="e">
        <f>VLOOKUP(B10,DD!A:E,5,0)</f>
        <v>#N/A</v>
      </c>
      <c r="I10" s="3" t="e">
        <f t="shared" si="23"/>
        <v>#N/A</v>
      </c>
      <c r="J10" s="3" t="e">
        <f>VLOOKUP(B10,DD!A:F,6,0)</f>
        <v>#N/A</v>
      </c>
      <c r="K10" s="3" t="e">
        <f>VLOOKUP(B10,DD!A:H,8,0)</f>
        <v>#N/A</v>
      </c>
      <c r="L10" s="3" t="e">
        <f>VLOOKUP(B10,DD!A:I,9,0)</f>
        <v>#N/A</v>
      </c>
      <c r="M10" s="3" t="e">
        <f>VLOOKUP(B10,DD!A:J,10,0)</f>
        <v>#N/A</v>
      </c>
      <c r="N10" s="3" t="s">
        <v>8</v>
      </c>
      <c r="O10" s="3" t="s">
        <v>9</v>
      </c>
      <c r="P10" s="4" t="e">
        <f>VLOOKUP(B10,DD!A:C,3,0)</f>
        <v>#N/A</v>
      </c>
      <c r="Q10" s="5" t="e">
        <f t="shared" si="24"/>
        <v>#N/A</v>
      </c>
      <c r="R10" s="5" t="e">
        <f t="shared" si="25"/>
        <v>#N/A</v>
      </c>
      <c r="S10" s="5" t="e">
        <f t="shared" si="26"/>
        <v>#N/A</v>
      </c>
      <c r="T10" s="6" t="e">
        <f t="shared" si="27"/>
        <v>#N/A</v>
      </c>
      <c r="U10" s="5" t="e">
        <f t="shared" si="28"/>
        <v>#N/A</v>
      </c>
      <c r="V10" s="6" t="e">
        <f t="shared" si="29"/>
        <v>#N/A</v>
      </c>
      <c r="W10" s="7" t="e">
        <f t="shared" si="30"/>
        <v>#N/A</v>
      </c>
      <c r="X10" s="8" t="e">
        <f t="shared" si="8"/>
        <v>#VALUE!</v>
      </c>
      <c r="Y10" s="6" t="e">
        <f t="shared" si="31"/>
        <v>#N/A</v>
      </c>
      <c r="Z10" s="7" t="e">
        <f t="shared" si="10"/>
        <v>#N/A</v>
      </c>
      <c r="AA10" s="7" t="e">
        <f t="shared" si="10"/>
        <v>#N/A</v>
      </c>
      <c r="AB10" s="7" t="e">
        <f t="shared" si="10"/>
        <v>#N/A</v>
      </c>
      <c r="AC10" s="7" t="e">
        <f t="shared" si="10"/>
        <v>#N/A</v>
      </c>
      <c r="AD10" s="7" t="e">
        <f t="shared" si="10"/>
        <v>#N/A</v>
      </c>
      <c r="AE10" s="7" t="e">
        <f t="shared" si="10"/>
        <v>#N/A</v>
      </c>
      <c r="AF10" s="7" t="e">
        <f t="shared" si="10"/>
        <v>#N/A</v>
      </c>
      <c r="AG10" s="7" t="e">
        <f t="shared" si="10"/>
        <v>#N/A</v>
      </c>
      <c r="AH10" s="7" t="e">
        <f t="shared" si="10"/>
        <v>#N/A</v>
      </c>
      <c r="AI10" s="7" t="e">
        <f t="shared" si="10"/>
        <v>#N/A</v>
      </c>
      <c r="AJ10" s="7" t="e">
        <f t="shared" si="10"/>
        <v>#N/A</v>
      </c>
      <c r="AK10" s="7" t="e">
        <f t="shared" si="10"/>
        <v>#N/A</v>
      </c>
      <c r="AL10" s="7" t="e">
        <f t="shared" si="10"/>
        <v>#N/A</v>
      </c>
      <c r="AM10" s="7" t="e">
        <f t="shared" si="10"/>
        <v>#N/A</v>
      </c>
      <c r="AN10" s="7" t="e">
        <f t="shared" si="10"/>
        <v>#N/A</v>
      </c>
      <c r="AO10" s="7" t="e">
        <f t="shared" si="10"/>
        <v>#N/A</v>
      </c>
      <c r="AP10" s="7" t="e">
        <f t="shared" si="10"/>
        <v>#N/A</v>
      </c>
      <c r="AQ10" s="7" t="e">
        <f t="shared" si="10"/>
        <v>#N/A</v>
      </c>
      <c r="AR10" s="7" t="e">
        <f t="shared" si="10"/>
        <v>#N/A</v>
      </c>
      <c r="AS10" s="7" t="e">
        <f t="shared" si="10"/>
        <v>#N/A</v>
      </c>
      <c r="AT10" s="7" t="e">
        <f t="shared" si="10"/>
        <v>#N/A</v>
      </c>
      <c r="AU10" s="7" t="e">
        <f t="shared" si="10"/>
        <v>#N/A</v>
      </c>
      <c r="AV10" s="7" t="e">
        <f t="shared" si="10"/>
        <v>#N/A</v>
      </c>
      <c r="AW10" s="7" t="e">
        <f t="shared" si="10"/>
        <v>#N/A</v>
      </c>
      <c r="AX10" s="7" t="e">
        <f t="shared" si="10"/>
        <v>#N/A</v>
      </c>
      <c r="AY10" s="7" t="e">
        <f t="shared" si="10"/>
        <v>#N/A</v>
      </c>
      <c r="AZ10" s="7" t="e">
        <f t="shared" si="10"/>
        <v>#N/A</v>
      </c>
      <c r="BA10" s="7" t="e">
        <f t="shared" si="10"/>
        <v>#N/A</v>
      </c>
      <c r="BB10" s="7" t="e">
        <f t="shared" si="10"/>
        <v>#N/A</v>
      </c>
      <c r="BC10" s="7" t="e">
        <f t="shared" si="10"/>
        <v>#N/A</v>
      </c>
      <c r="BD10" s="7" t="e">
        <f t="shared" si="10"/>
        <v>#N/A</v>
      </c>
      <c r="BE10" s="7" t="e">
        <f t="shared" ref="Z10:BE18" si="227">IF($I10&gt;=BE$2,$U10,0)-IF($I10=BE$2,$S10)-IF($S10&gt;1,$S10,0)+$S10</f>
        <v>#N/A</v>
      </c>
      <c r="BF10" s="7" t="e">
        <f t="shared" si="11"/>
        <v>#N/A</v>
      </c>
      <c r="BG10" s="7" t="e">
        <f t="shared" si="11"/>
        <v>#N/A</v>
      </c>
      <c r="BH10" s="7" t="e">
        <f t="shared" si="11"/>
        <v>#N/A</v>
      </c>
      <c r="BI10" s="7" t="e">
        <f t="shared" si="11"/>
        <v>#N/A</v>
      </c>
      <c r="BJ10" s="7" t="e">
        <f t="shared" si="11"/>
        <v>#N/A</v>
      </c>
      <c r="BK10" s="7" t="e">
        <f t="shared" si="11"/>
        <v>#N/A</v>
      </c>
      <c r="BL10" s="7" t="e">
        <f t="shared" si="11"/>
        <v>#N/A</v>
      </c>
      <c r="BM10" s="7" t="e">
        <f t="shared" si="11"/>
        <v>#N/A</v>
      </c>
      <c r="BN10" s="7" t="e">
        <f t="shared" si="11"/>
        <v>#N/A</v>
      </c>
      <c r="BO10" s="7" t="e">
        <f t="shared" si="11"/>
        <v>#N/A</v>
      </c>
      <c r="BP10" s="7" t="e">
        <f t="shared" si="11"/>
        <v>#N/A</v>
      </c>
      <c r="BQ10" s="7" t="e">
        <f t="shared" si="11"/>
        <v>#N/A</v>
      </c>
      <c r="BR10" s="7" t="e">
        <f t="shared" si="11"/>
        <v>#N/A</v>
      </c>
      <c r="BS10" s="7" t="e">
        <f t="shared" si="11"/>
        <v>#N/A</v>
      </c>
      <c r="BT10" s="7" t="e">
        <f t="shared" si="11"/>
        <v>#N/A</v>
      </c>
      <c r="BU10" s="7" t="e">
        <f t="shared" si="11"/>
        <v>#N/A</v>
      </c>
      <c r="BV10" s="7" t="e">
        <f t="shared" si="11"/>
        <v>#N/A</v>
      </c>
      <c r="BW10" s="7" t="e">
        <f t="shared" si="11"/>
        <v>#N/A</v>
      </c>
      <c r="BX10" s="7" t="e">
        <f t="shared" si="11"/>
        <v>#N/A</v>
      </c>
      <c r="BY10" s="7" t="e">
        <f t="shared" si="11"/>
        <v>#N/A</v>
      </c>
      <c r="BZ10" s="7" t="e">
        <f t="shared" si="11"/>
        <v>#N/A</v>
      </c>
      <c r="CA10" s="7" t="e">
        <f t="shared" si="11"/>
        <v>#N/A</v>
      </c>
      <c r="CB10" s="7" t="e">
        <f t="shared" si="11"/>
        <v>#N/A</v>
      </c>
      <c r="CC10" s="7" t="e">
        <f t="shared" si="11"/>
        <v>#N/A</v>
      </c>
      <c r="CD10" s="7" t="e">
        <f t="shared" si="11"/>
        <v>#N/A</v>
      </c>
      <c r="CE10" s="7" t="e">
        <f t="shared" si="11"/>
        <v>#N/A</v>
      </c>
      <c r="CF10" s="7" t="e">
        <f t="shared" si="11"/>
        <v>#N/A</v>
      </c>
      <c r="CG10" s="7" t="e">
        <f t="shared" si="11"/>
        <v>#N/A</v>
      </c>
      <c r="CH10" s="6" t="e">
        <f t="shared" si="32"/>
        <v>#N/A</v>
      </c>
      <c r="CI10" s="5" t="e">
        <f t="shared" si="33"/>
        <v>#N/A</v>
      </c>
      <c r="CK10" s="5" t="e">
        <f t="shared" si="34"/>
        <v>#N/A</v>
      </c>
      <c r="CL10" s="5" t="e">
        <f t="shared" si="35"/>
        <v>#N/A</v>
      </c>
      <c r="CM10" s="5" t="e">
        <f t="shared" si="36"/>
        <v>#N/A</v>
      </c>
      <c r="CN10" s="5" t="e">
        <f t="shared" si="37"/>
        <v>#N/A</v>
      </c>
      <c r="CO10" s="5" t="e">
        <f t="shared" si="38"/>
        <v>#N/A</v>
      </c>
      <c r="CP10" s="5" t="e">
        <f t="shared" si="39"/>
        <v>#N/A</v>
      </c>
      <c r="CQ10" s="5" t="e">
        <f t="shared" si="40"/>
        <v>#N/A</v>
      </c>
      <c r="CR10" s="5" t="e">
        <f t="shared" si="41"/>
        <v>#N/A</v>
      </c>
      <c r="CS10" s="5" t="e">
        <f t="shared" si="42"/>
        <v>#N/A</v>
      </c>
      <c r="CT10" s="5" t="e">
        <f t="shared" si="43"/>
        <v>#N/A</v>
      </c>
      <c r="CU10" s="5" t="e">
        <f t="shared" si="44"/>
        <v>#N/A</v>
      </c>
      <c r="CV10" s="5" t="e">
        <f t="shared" si="45"/>
        <v>#N/A</v>
      </c>
      <c r="CW10" s="5" t="e">
        <f t="shared" si="46"/>
        <v>#N/A</v>
      </c>
      <c r="CX10" s="5" t="e">
        <f t="shared" si="47"/>
        <v>#N/A</v>
      </c>
      <c r="CY10" s="5" t="e">
        <f t="shared" si="48"/>
        <v>#N/A</v>
      </c>
      <c r="CZ10" s="5" t="e">
        <f t="shared" si="49"/>
        <v>#N/A</v>
      </c>
      <c r="DA10" s="5" t="e">
        <f t="shared" si="50"/>
        <v>#N/A</v>
      </c>
      <c r="DB10" s="5" t="e">
        <f t="shared" si="51"/>
        <v>#N/A</v>
      </c>
      <c r="DC10" s="5" t="e">
        <f t="shared" si="52"/>
        <v>#N/A</v>
      </c>
      <c r="DD10" s="5" t="e">
        <f t="shared" si="53"/>
        <v>#N/A</v>
      </c>
      <c r="DE10" s="5" t="e">
        <f t="shared" si="54"/>
        <v>#N/A</v>
      </c>
      <c r="DF10" s="5" t="e">
        <f t="shared" si="55"/>
        <v>#N/A</v>
      </c>
      <c r="DG10" s="5" t="e">
        <f t="shared" si="56"/>
        <v>#N/A</v>
      </c>
      <c r="DH10" s="5" t="e">
        <f t="shared" si="57"/>
        <v>#N/A</v>
      </c>
      <c r="DI10" s="5" t="e">
        <f t="shared" si="58"/>
        <v>#N/A</v>
      </c>
      <c r="DJ10" s="5" t="e">
        <f t="shared" si="59"/>
        <v>#N/A</v>
      </c>
      <c r="DK10" s="5" t="e">
        <f t="shared" si="60"/>
        <v>#N/A</v>
      </c>
      <c r="DL10" s="5" t="e">
        <f t="shared" si="61"/>
        <v>#N/A</v>
      </c>
      <c r="DM10" s="5" t="e">
        <f t="shared" si="62"/>
        <v>#N/A</v>
      </c>
      <c r="DN10" s="5" t="e">
        <f t="shared" si="63"/>
        <v>#N/A</v>
      </c>
      <c r="DO10" s="5" t="e">
        <f t="shared" si="64"/>
        <v>#N/A</v>
      </c>
      <c r="DP10" s="5" t="e">
        <f t="shared" si="65"/>
        <v>#N/A</v>
      </c>
      <c r="DQ10" s="5" t="e">
        <f t="shared" si="66"/>
        <v>#N/A</v>
      </c>
      <c r="DR10" s="5" t="e">
        <f t="shared" si="67"/>
        <v>#N/A</v>
      </c>
      <c r="DS10" s="5" t="e">
        <f t="shared" si="68"/>
        <v>#N/A</v>
      </c>
      <c r="DT10" s="5" t="e">
        <f t="shared" si="69"/>
        <v>#N/A</v>
      </c>
      <c r="DU10" s="5" t="e">
        <f t="shared" si="70"/>
        <v>#N/A</v>
      </c>
      <c r="DV10" s="5" t="e">
        <f t="shared" si="71"/>
        <v>#N/A</v>
      </c>
      <c r="DW10" s="5" t="e">
        <f t="shared" si="72"/>
        <v>#N/A</v>
      </c>
      <c r="DX10" s="5" t="e">
        <f t="shared" si="73"/>
        <v>#N/A</v>
      </c>
      <c r="DY10" s="5" t="e">
        <f t="shared" si="74"/>
        <v>#N/A</v>
      </c>
      <c r="DZ10" s="5" t="e">
        <f t="shared" si="75"/>
        <v>#N/A</v>
      </c>
      <c r="EA10" s="5" t="e">
        <f t="shared" si="76"/>
        <v>#N/A</v>
      </c>
      <c r="EB10" s="5" t="e">
        <f t="shared" si="77"/>
        <v>#N/A</v>
      </c>
      <c r="EC10" s="5" t="e">
        <f t="shared" si="78"/>
        <v>#N/A</v>
      </c>
      <c r="ED10" s="5" t="e">
        <f t="shared" si="79"/>
        <v>#N/A</v>
      </c>
      <c r="EE10" s="5" t="e">
        <f t="shared" si="80"/>
        <v>#N/A</v>
      </c>
      <c r="EF10" s="5" t="e">
        <f t="shared" si="81"/>
        <v>#N/A</v>
      </c>
      <c r="EG10" s="5" t="e">
        <f t="shared" si="82"/>
        <v>#N/A</v>
      </c>
      <c r="EH10" s="5" t="e">
        <f t="shared" si="83"/>
        <v>#N/A</v>
      </c>
      <c r="EI10" s="5" t="e">
        <f t="shared" si="84"/>
        <v>#N/A</v>
      </c>
      <c r="EJ10" s="5" t="e">
        <f t="shared" si="85"/>
        <v>#N/A</v>
      </c>
      <c r="EK10" s="5" t="e">
        <f t="shared" si="86"/>
        <v>#N/A</v>
      </c>
      <c r="EL10" s="5" t="e">
        <f t="shared" si="87"/>
        <v>#N/A</v>
      </c>
      <c r="EM10" s="5" t="e">
        <f t="shared" si="88"/>
        <v>#N/A</v>
      </c>
      <c r="EN10" s="5" t="e">
        <f t="shared" si="89"/>
        <v>#N/A</v>
      </c>
      <c r="EO10" s="5" t="e">
        <f t="shared" si="90"/>
        <v>#N/A</v>
      </c>
      <c r="EP10" s="5" t="e">
        <f t="shared" si="91"/>
        <v>#N/A</v>
      </c>
      <c r="EQ10" s="5" t="e">
        <f t="shared" si="92"/>
        <v>#N/A</v>
      </c>
      <c r="ER10" s="5" t="e">
        <f t="shared" si="93"/>
        <v>#N/A</v>
      </c>
      <c r="ET10" s="5" t="e">
        <f t="shared" si="94"/>
        <v>#N/A</v>
      </c>
      <c r="EU10" s="5" t="e">
        <f t="shared" si="95"/>
        <v>#N/A</v>
      </c>
      <c r="EV10" s="5" t="e">
        <f t="shared" si="96"/>
        <v>#N/A</v>
      </c>
      <c r="EW10" s="5" t="e">
        <f t="shared" si="97"/>
        <v>#N/A</v>
      </c>
      <c r="EX10" s="5" t="e">
        <f t="shared" si="98"/>
        <v>#N/A</v>
      </c>
      <c r="EY10" s="5" t="e">
        <f t="shared" si="99"/>
        <v>#N/A</v>
      </c>
      <c r="EZ10" s="5" t="e">
        <f t="shared" si="100"/>
        <v>#N/A</v>
      </c>
      <c r="FA10" s="5" t="e">
        <f t="shared" si="101"/>
        <v>#N/A</v>
      </c>
      <c r="FB10" s="5" t="e">
        <f t="shared" si="102"/>
        <v>#N/A</v>
      </c>
      <c r="FC10" s="5" t="e">
        <f t="shared" si="103"/>
        <v>#N/A</v>
      </c>
      <c r="FD10" s="5" t="e">
        <f t="shared" si="104"/>
        <v>#N/A</v>
      </c>
      <c r="FE10" s="5" t="e">
        <f t="shared" si="105"/>
        <v>#N/A</v>
      </c>
      <c r="FF10" s="5" t="e">
        <f t="shared" si="106"/>
        <v>#N/A</v>
      </c>
      <c r="FG10" s="5" t="e">
        <f t="shared" si="107"/>
        <v>#N/A</v>
      </c>
      <c r="FH10" s="5" t="e">
        <f t="shared" si="108"/>
        <v>#N/A</v>
      </c>
      <c r="FI10" s="5" t="e">
        <f t="shared" si="109"/>
        <v>#N/A</v>
      </c>
      <c r="FJ10" s="5" t="e">
        <f t="shared" si="110"/>
        <v>#N/A</v>
      </c>
      <c r="FK10" s="5" t="e">
        <f t="shared" si="111"/>
        <v>#N/A</v>
      </c>
      <c r="FL10" s="5" t="e">
        <f t="shared" si="112"/>
        <v>#N/A</v>
      </c>
      <c r="FM10" s="5" t="e">
        <f t="shared" si="113"/>
        <v>#N/A</v>
      </c>
      <c r="FN10" s="5" t="e">
        <f t="shared" si="114"/>
        <v>#N/A</v>
      </c>
      <c r="FO10" s="5" t="e">
        <f t="shared" si="115"/>
        <v>#N/A</v>
      </c>
      <c r="FP10" s="5" t="e">
        <f t="shared" si="116"/>
        <v>#N/A</v>
      </c>
      <c r="FQ10" s="5" t="e">
        <f t="shared" si="117"/>
        <v>#N/A</v>
      </c>
      <c r="FR10" s="5" t="e">
        <f t="shared" si="118"/>
        <v>#N/A</v>
      </c>
      <c r="FS10" s="5" t="e">
        <f t="shared" si="119"/>
        <v>#N/A</v>
      </c>
      <c r="FT10" s="5" t="e">
        <f t="shared" si="120"/>
        <v>#N/A</v>
      </c>
      <c r="FU10" s="5" t="e">
        <f t="shared" si="121"/>
        <v>#N/A</v>
      </c>
      <c r="FV10" s="5" t="e">
        <f t="shared" si="122"/>
        <v>#N/A</v>
      </c>
      <c r="FW10" s="5" t="e">
        <f t="shared" si="123"/>
        <v>#N/A</v>
      </c>
      <c r="FX10" s="5" t="e">
        <f t="shared" si="124"/>
        <v>#N/A</v>
      </c>
      <c r="FY10" s="5" t="e">
        <f t="shared" si="125"/>
        <v>#N/A</v>
      </c>
      <c r="FZ10" s="5" t="e">
        <f t="shared" si="126"/>
        <v>#N/A</v>
      </c>
      <c r="GA10" s="5" t="e">
        <f t="shared" si="127"/>
        <v>#N/A</v>
      </c>
      <c r="GB10" s="5" t="e">
        <f t="shared" si="128"/>
        <v>#N/A</v>
      </c>
      <c r="GC10" s="5" t="e">
        <f t="shared" si="129"/>
        <v>#N/A</v>
      </c>
      <c r="GD10" s="5" t="e">
        <f t="shared" si="130"/>
        <v>#N/A</v>
      </c>
      <c r="GE10" s="5" t="e">
        <f t="shared" si="131"/>
        <v>#N/A</v>
      </c>
      <c r="GF10" s="5" t="e">
        <f t="shared" si="132"/>
        <v>#N/A</v>
      </c>
      <c r="GG10" s="5" t="e">
        <f t="shared" si="133"/>
        <v>#N/A</v>
      </c>
      <c r="GH10" s="5" t="e">
        <f t="shared" si="134"/>
        <v>#N/A</v>
      </c>
      <c r="GI10" s="5" t="e">
        <f t="shared" si="135"/>
        <v>#N/A</v>
      </c>
      <c r="GJ10" s="5" t="e">
        <f t="shared" si="136"/>
        <v>#N/A</v>
      </c>
      <c r="GK10" s="5" t="e">
        <f t="shared" si="137"/>
        <v>#N/A</v>
      </c>
      <c r="GL10" s="5" t="e">
        <f t="shared" si="138"/>
        <v>#N/A</v>
      </c>
      <c r="GM10" s="5" t="e">
        <f t="shared" si="139"/>
        <v>#N/A</v>
      </c>
      <c r="GN10" s="5" t="e">
        <f t="shared" si="140"/>
        <v>#N/A</v>
      </c>
      <c r="GO10" s="5" t="e">
        <f t="shared" si="141"/>
        <v>#N/A</v>
      </c>
      <c r="GP10" s="5" t="e">
        <f t="shared" si="142"/>
        <v>#N/A</v>
      </c>
      <c r="GQ10" s="5" t="e">
        <f t="shared" si="143"/>
        <v>#N/A</v>
      </c>
      <c r="GR10" s="5" t="e">
        <f t="shared" si="144"/>
        <v>#N/A</v>
      </c>
      <c r="GS10" s="5" t="e">
        <f t="shared" si="145"/>
        <v>#N/A</v>
      </c>
      <c r="GT10" s="5" t="e">
        <f t="shared" si="146"/>
        <v>#N/A</v>
      </c>
      <c r="GU10" s="5" t="e">
        <f t="shared" si="147"/>
        <v>#N/A</v>
      </c>
      <c r="GV10" s="5" t="e">
        <f t="shared" si="148"/>
        <v>#N/A</v>
      </c>
      <c r="GW10" s="5" t="e">
        <f t="shared" si="149"/>
        <v>#N/A</v>
      </c>
      <c r="GX10" s="5" t="e">
        <f t="shared" si="150"/>
        <v>#N/A</v>
      </c>
      <c r="GY10" s="5" t="e">
        <f t="shared" si="151"/>
        <v>#N/A</v>
      </c>
      <c r="GZ10" s="5" t="e">
        <f t="shared" si="152"/>
        <v>#N/A</v>
      </c>
      <c r="HA10" s="5" t="e">
        <f t="shared" si="153"/>
        <v>#N/A</v>
      </c>
      <c r="HC10" s="6" t="e">
        <f t="shared" si="154"/>
        <v>#N/A</v>
      </c>
      <c r="HD10" s="5" t="e">
        <f t="shared" si="155"/>
        <v>#N/A</v>
      </c>
      <c r="HE10" s="5" t="e">
        <f t="shared" si="156"/>
        <v>#N/A</v>
      </c>
      <c r="HF10" s="5" t="e">
        <f t="shared" si="157"/>
        <v>#N/A</v>
      </c>
      <c r="HG10" s="5" t="e">
        <f t="shared" si="158"/>
        <v>#N/A</v>
      </c>
      <c r="HH10" s="5" t="e">
        <f t="shared" si="159"/>
        <v>#N/A</v>
      </c>
      <c r="HI10" s="5" t="e">
        <f t="shared" si="160"/>
        <v>#N/A</v>
      </c>
      <c r="HJ10" s="5" t="e">
        <f t="shared" si="161"/>
        <v>#N/A</v>
      </c>
      <c r="HK10" s="5" t="e">
        <f t="shared" si="162"/>
        <v>#N/A</v>
      </c>
      <c r="HL10" s="5" t="e">
        <f t="shared" si="163"/>
        <v>#N/A</v>
      </c>
      <c r="HM10" s="5" t="e">
        <f t="shared" si="164"/>
        <v>#N/A</v>
      </c>
      <c r="HN10" s="5" t="e">
        <f t="shared" si="165"/>
        <v>#N/A</v>
      </c>
      <c r="HO10" s="5" t="e">
        <f t="shared" si="166"/>
        <v>#N/A</v>
      </c>
      <c r="HP10" s="5" t="e">
        <f t="shared" si="167"/>
        <v>#N/A</v>
      </c>
      <c r="HQ10" s="5" t="e">
        <f t="shared" si="168"/>
        <v>#N/A</v>
      </c>
      <c r="HR10" s="5" t="e">
        <f t="shared" si="169"/>
        <v>#N/A</v>
      </c>
      <c r="HS10" s="5" t="e">
        <f t="shared" si="170"/>
        <v>#N/A</v>
      </c>
      <c r="HT10" s="5" t="e">
        <f t="shared" si="171"/>
        <v>#N/A</v>
      </c>
      <c r="HU10" s="5" t="e">
        <f t="shared" si="172"/>
        <v>#N/A</v>
      </c>
      <c r="HV10" s="5" t="e">
        <f t="shared" si="173"/>
        <v>#N/A</v>
      </c>
      <c r="HW10" s="5" t="e">
        <f t="shared" si="174"/>
        <v>#N/A</v>
      </c>
      <c r="HX10" s="5" t="e">
        <f t="shared" si="175"/>
        <v>#N/A</v>
      </c>
      <c r="HY10" s="5" t="e">
        <f t="shared" si="176"/>
        <v>#N/A</v>
      </c>
      <c r="HZ10" s="5" t="e">
        <f t="shared" si="177"/>
        <v>#N/A</v>
      </c>
      <c r="IA10" s="5" t="e">
        <f t="shared" si="178"/>
        <v>#N/A</v>
      </c>
      <c r="IB10" s="5" t="e">
        <f t="shared" si="179"/>
        <v>#N/A</v>
      </c>
      <c r="IC10" s="5" t="e">
        <f t="shared" si="180"/>
        <v>#N/A</v>
      </c>
      <c r="ID10" s="5" t="e">
        <f t="shared" si="181"/>
        <v>#N/A</v>
      </c>
      <c r="IE10" s="5" t="e">
        <f t="shared" si="182"/>
        <v>#N/A</v>
      </c>
      <c r="IF10" s="5" t="e">
        <f t="shared" si="183"/>
        <v>#N/A</v>
      </c>
      <c r="IG10" s="5" t="e">
        <f t="shared" si="184"/>
        <v>#N/A</v>
      </c>
      <c r="IH10" s="5" t="e">
        <f t="shared" si="185"/>
        <v>#N/A</v>
      </c>
      <c r="II10" s="5" t="e">
        <f t="shared" si="186"/>
        <v>#N/A</v>
      </c>
      <c r="IJ10" s="5" t="e">
        <f t="shared" si="187"/>
        <v>#N/A</v>
      </c>
      <c r="IK10" s="5" t="e">
        <f t="shared" si="188"/>
        <v>#N/A</v>
      </c>
      <c r="IL10" s="5" t="e">
        <f t="shared" si="189"/>
        <v>#N/A</v>
      </c>
      <c r="IM10" s="5" t="e">
        <f t="shared" si="190"/>
        <v>#N/A</v>
      </c>
      <c r="IN10" s="5" t="e">
        <f t="shared" si="191"/>
        <v>#N/A</v>
      </c>
      <c r="IO10" s="5" t="e">
        <f t="shared" si="192"/>
        <v>#N/A</v>
      </c>
      <c r="IP10" s="5" t="e">
        <f t="shared" si="193"/>
        <v>#N/A</v>
      </c>
      <c r="IQ10" s="5" t="e">
        <f t="shared" si="194"/>
        <v>#N/A</v>
      </c>
      <c r="IR10" s="5" t="e">
        <f t="shared" si="195"/>
        <v>#N/A</v>
      </c>
      <c r="IS10" s="5" t="e">
        <f t="shared" si="196"/>
        <v>#N/A</v>
      </c>
      <c r="IT10" s="5" t="e">
        <f t="shared" si="197"/>
        <v>#N/A</v>
      </c>
      <c r="IU10" s="5" t="e">
        <f t="shared" si="198"/>
        <v>#N/A</v>
      </c>
      <c r="IV10" s="5" t="e">
        <f t="shared" si="199"/>
        <v>#N/A</v>
      </c>
      <c r="IW10" s="5" t="e">
        <f t="shared" si="200"/>
        <v>#N/A</v>
      </c>
      <c r="IX10" s="5" t="e">
        <f t="shared" si="201"/>
        <v>#N/A</v>
      </c>
      <c r="IY10" s="5" t="e">
        <f t="shared" si="202"/>
        <v>#N/A</v>
      </c>
      <c r="IZ10" s="5" t="e">
        <f t="shared" si="203"/>
        <v>#N/A</v>
      </c>
      <c r="JA10" s="5" t="e">
        <f t="shared" si="204"/>
        <v>#N/A</v>
      </c>
      <c r="JB10" s="5" t="e">
        <f t="shared" si="205"/>
        <v>#N/A</v>
      </c>
      <c r="JC10" s="5" t="e">
        <f t="shared" si="206"/>
        <v>#N/A</v>
      </c>
      <c r="JD10" s="5" t="e">
        <f t="shared" si="207"/>
        <v>#N/A</v>
      </c>
      <c r="JE10" s="5" t="e">
        <f t="shared" si="208"/>
        <v>#N/A</v>
      </c>
      <c r="JF10" s="5" t="e">
        <f t="shared" si="209"/>
        <v>#N/A</v>
      </c>
      <c r="JG10" s="5" t="e">
        <f t="shared" si="210"/>
        <v>#N/A</v>
      </c>
      <c r="JH10" s="5" t="e">
        <f t="shared" si="211"/>
        <v>#N/A</v>
      </c>
      <c r="JI10" s="5" t="e">
        <f t="shared" si="212"/>
        <v>#N/A</v>
      </c>
      <c r="JJ10" s="5" t="e">
        <f t="shared" si="213"/>
        <v>#N/A</v>
      </c>
      <c r="JK10" s="5" t="e">
        <f t="shared" si="214"/>
        <v>#N/A</v>
      </c>
      <c r="JM10" s="19" t="e">
        <f t="shared" si="215"/>
        <v>#N/A</v>
      </c>
      <c r="JN10" s="1">
        <v>8</v>
      </c>
      <c r="JO10" s="5" t="e">
        <f>HLOOKUP(JM10,HC$2:JK10,2+JN9,0)-IF(KE10&gt;0,KE10,0)</f>
        <v>#N/A</v>
      </c>
      <c r="JP10" s="5" t="e">
        <f t="shared" si="216"/>
        <v>#N/A</v>
      </c>
      <c r="JQ10" s="17"/>
      <c r="JR10" s="17"/>
      <c r="JS10" s="6">
        <f t="shared" si="217"/>
        <v>0</v>
      </c>
      <c r="JT10" s="5" t="e">
        <f t="shared" si="218"/>
        <v>#N/A</v>
      </c>
      <c r="JU10" s="13">
        <f t="shared" ca="1" si="22"/>
        <v>46161</v>
      </c>
      <c r="JV10" s="6" t="e">
        <f t="shared" si="219"/>
        <v>#N/A</v>
      </c>
      <c r="JW10" s="6"/>
      <c r="JX10" s="6"/>
      <c r="JY10" s="6">
        <f t="shared" si="220"/>
        <v>0</v>
      </c>
      <c r="JZ10" s="10" t="e">
        <f t="shared" si="221"/>
        <v>#N/A</v>
      </c>
      <c r="KA10" s="10" t="e">
        <f t="shared" si="222"/>
        <v>#N/A</v>
      </c>
      <c r="KB10" s="10" t="e">
        <f t="shared" si="223"/>
        <v>#N/A</v>
      </c>
      <c r="KC10" s="10" t="e">
        <f t="shared" si="224"/>
        <v>#N/A</v>
      </c>
      <c r="KD10" s="5" t="e">
        <f t="shared" si="225"/>
        <v>#N/A</v>
      </c>
      <c r="KE10" s="6" t="e">
        <f t="shared" si="226"/>
        <v>#N/A</v>
      </c>
      <c r="KG10" s="26"/>
    </row>
    <row r="11" spans="1:297" x14ac:dyDescent="0.3">
      <c r="C11" s="14" t="e">
        <f>VLOOKUP(B11,DD!A:B,2,0)</f>
        <v>#N/A</v>
      </c>
      <c r="D11" s="14" t="e">
        <f>VLOOKUP(B11,DD!A:K,11,0)</f>
        <v>#N/A</v>
      </c>
      <c r="E11" s="1" t="e">
        <f>VLOOKUP(B11,DD!A:L,12,0)</f>
        <v>#N/A</v>
      </c>
      <c r="F11" s="64" t="e">
        <f>VLOOKUP(B11,DD!A:D,4,0)</f>
        <v>#N/A</v>
      </c>
      <c r="G11" s="9">
        <v>1</v>
      </c>
      <c r="H11" s="3" t="e">
        <f>VLOOKUP(B11,DD!A:E,5,0)</f>
        <v>#N/A</v>
      </c>
      <c r="I11" s="3" t="e">
        <f t="shared" si="23"/>
        <v>#N/A</v>
      </c>
      <c r="J11" s="3" t="e">
        <f>VLOOKUP(B11,DD!A:F,6,0)</f>
        <v>#N/A</v>
      </c>
      <c r="K11" s="3" t="e">
        <f>VLOOKUP(B11,DD!A:H,8,0)</f>
        <v>#N/A</v>
      </c>
      <c r="L11" s="3" t="e">
        <f>VLOOKUP(B11,DD!A:I,9,0)</f>
        <v>#N/A</v>
      </c>
      <c r="M11" s="3" t="e">
        <f>VLOOKUP(B11,DD!A:J,10,0)</f>
        <v>#N/A</v>
      </c>
      <c r="N11" s="3" t="s">
        <v>8</v>
      </c>
      <c r="O11" s="3" t="s">
        <v>9</v>
      </c>
      <c r="P11" s="4" t="e">
        <f>VLOOKUP(B11,DD!A:C,3,0)</f>
        <v>#N/A</v>
      </c>
      <c r="Q11" s="5" t="e">
        <f t="shared" si="24"/>
        <v>#N/A</v>
      </c>
      <c r="R11" s="5" t="e">
        <f t="shared" si="25"/>
        <v>#N/A</v>
      </c>
      <c r="S11" s="5" t="e">
        <f t="shared" si="26"/>
        <v>#N/A</v>
      </c>
      <c r="T11" s="6" t="e">
        <f t="shared" si="27"/>
        <v>#N/A</v>
      </c>
      <c r="U11" s="5" t="e">
        <f t="shared" si="28"/>
        <v>#N/A</v>
      </c>
      <c r="V11" s="6" t="e">
        <f t="shared" si="29"/>
        <v>#N/A</v>
      </c>
      <c r="W11" s="7" t="e">
        <f t="shared" si="30"/>
        <v>#N/A</v>
      </c>
      <c r="X11" s="8" t="e">
        <f t="shared" si="8"/>
        <v>#VALUE!</v>
      </c>
      <c r="Y11" s="6" t="e">
        <f t="shared" si="31"/>
        <v>#N/A</v>
      </c>
      <c r="Z11" s="7" t="e">
        <f t="shared" si="227"/>
        <v>#N/A</v>
      </c>
      <c r="AA11" s="7" t="e">
        <f t="shared" si="227"/>
        <v>#N/A</v>
      </c>
      <c r="AB11" s="7" t="e">
        <f t="shared" si="227"/>
        <v>#N/A</v>
      </c>
      <c r="AC11" s="7" t="e">
        <f t="shared" si="227"/>
        <v>#N/A</v>
      </c>
      <c r="AD11" s="7" t="e">
        <f t="shared" si="227"/>
        <v>#N/A</v>
      </c>
      <c r="AE11" s="7" t="e">
        <f t="shared" si="227"/>
        <v>#N/A</v>
      </c>
      <c r="AF11" s="7" t="e">
        <f t="shared" si="227"/>
        <v>#N/A</v>
      </c>
      <c r="AG11" s="7" t="e">
        <f t="shared" si="227"/>
        <v>#N/A</v>
      </c>
      <c r="AH11" s="7" t="e">
        <f t="shared" si="227"/>
        <v>#N/A</v>
      </c>
      <c r="AI11" s="7" t="e">
        <f t="shared" si="227"/>
        <v>#N/A</v>
      </c>
      <c r="AJ11" s="7" t="e">
        <f t="shared" si="227"/>
        <v>#N/A</v>
      </c>
      <c r="AK11" s="7" t="e">
        <f t="shared" si="227"/>
        <v>#N/A</v>
      </c>
      <c r="AL11" s="7" t="e">
        <f t="shared" si="227"/>
        <v>#N/A</v>
      </c>
      <c r="AM11" s="7" t="e">
        <f t="shared" si="227"/>
        <v>#N/A</v>
      </c>
      <c r="AN11" s="7" t="e">
        <f t="shared" si="227"/>
        <v>#N/A</v>
      </c>
      <c r="AO11" s="7" t="e">
        <f t="shared" si="227"/>
        <v>#N/A</v>
      </c>
      <c r="AP11" s="7" t="e">
        <f t="shared" si="227"/>
        <v>#N/A</v>
      </c>
      <c r="AQ11" s="7" t="e">
        <f t="shared" si="227"/>
        <v>#N/A</v>
      </c>
      <c r="AR11" s="7" t="e">
        <f t="shared" si="227"/>
        <v>#N/A</v>
      </c>
      <c r="AS11" s="7" t="e">
        <f t="shared" si="227"/>
        <v>#N/A</v>
      </c>
      <c r="AT11" s="7" t="e">
        <f t="shared" si="227"/>
        <v>#N/A</v>
      </c>
      <c r="AU11" s="7" t="e">
        <f t="shared" si="227"/>
        <v>#N/A</v>
      </c>
      <c r="AV11" s="7" t="e">
        <f t="shared" si="227"/>
        <v>#N/A</v>
      </c>
      <c r="AW11" s="7" t="e">
        <f t="shared" si="227"/>
        <v>#N/A</v>
      </c>
      <c r="AX11" s="7" t="e">
        <f t="shared" si="227"/>
        <v>#N/A</v>
      </c>
      <c r="AY11" s="7" t="e">
        <f t="shared" si="227"/>
        <v>#N/A</v>
      </c>
      <c r="AZ11" s="7" t="e">
        <f t="shared" si="227"/>
        <v>#N/A</v>
      </c>
      <c r="BA11" s="7" t="e">
        <f t="shared" si="227"/>
        <v>#N/A</v>
      </c>
      <c r="BB11" s="7" t="e">
        <f t="shared" si="227"/>
        <v>#N/A</v>
      </c>
      <c r="BC11" s="7" t="e">
        <f t="shared" si="227"/>
        <v>#N/A</v>
      </c>
      <c r="BD11" s="7" t="e">
        <f t="shared" si="227"/>
        <v>#N/A</v>
      </c>
      <c r="BE11" s="7" t="e">
        <f t="shared" si="227"/>
        <v>#N/A</v>
      </c>
      <c r="BF11" s="7" t="e">
        <f t="shared" si="11"/>
        <v>#N/A</v>
      </c>
      <c r="BG11" s="7" t="e">
        <f t="shared" si="11"/>
        <v>#N/A</v>
      </c>
      <c r="BH11" s="7" t="e">
        <f t="shared" si="11"/>
        <v>#N/A</v>
      </c>
      <c r="BI11" s="7" t="e">
        <f t="shared" si="11"/>
        <v>#N/A</v>
      </c>
      <c r="BJ11" s="7" t="e">
        <f t="shared" si="11"/>
        <v>#N/A</v>
      </c>
      <c r="BK11" s="7" t="e">
        <f t="shared" si="11"/>
        <v>#N/A</v>
      </c>
      <c r="BL11" s="7" t="e">
        <f t="shared" si="11"/>
        <v>#N/A</v>
      </c>
      <c r="BM11" s="7" t="e">
        <f t="shared" si="11"/>
        <v>#N/A</v>
      </c>
      <c r="BN11" s="7" t="e">
        <f t="shared" si="11"/>
        <v>#N/A</v>
      </c>
      <c r="BO11" s="7" t="e">
        <f t="shared" si="11"/>
        <v>#N/A</v>
      </c>
      <c r="BP11" s="7" t="e">
        <f t="shared" si="11"/>
        <v>#N/A</v>
      </c>
      <c r="BQ11" s="7" t="e">
        <f t="shared" si="11"/>
        <v>#N/A</v>
      </c>
      <c r="BR11" s="7" t="e">
        <f t="shared" si="11"/>
        <v>#N/A</v>
      </c>
      <c r="BS11" s="7" t="e">
        <f t="shared" si="11"/>
        <v>#N/A</v>
      </c>
      <c r="BT11" s="7" t="e">
        <f t="shared" si="11"/>
        <v>#N/A</v>
      </c>
      <c r="BU11" s="7" t="e">
        <f t="shared" si="11"/>
        <v>#N/A</v>
      </c>
      <c r="BV11" s="7" t="e">
        <f t="shared" si="11"/>
        <v>#N/A</v>
      </c>
      <c r="BW11" s="7" t="e">
        <f t="shared" si="11"/>
        <v>#N/A</v>
      </c>
      <c r="BX11" s="7" t="e">
        <f t="shared" si="11"/>
        <v>#N/A</v>
      </c>
      <c r="BY11" s="7" t="e">
        <f t="shared" si="11"/>
        <v>#N/A</v>
      </c>
      <c r="BZ11" s="7" t="e">
        <f t="shared" si="11"/>
        <v>#N/A</v>
      </c>
      <c r="CA11" s="7" t="e">
        <f t="shared" si="11"/>
        <v>#N/A</v>
      </c>
      <c r="CB11" s="7" t="e">
        <f t="shared" si="11"/>
        <v>#N/A</v>
      </c>
      <c r="CC11" s="7" t="e">
        <f t="shared" si="11"/>
        <v>#N/A</v>
      </c>
      <c r="CD11" s="7" t="e">
        <f t="shared" si="11"/>
        <v>#N/A</v>
      </c>
      <c r="CE11" s="7" t="e">
        <f t="shared" si="11"/>
        <v>#N/A</v>
      </c>
      <c r="CF11" s="7" t="e">
        <f t="shared" si="11"/>
        <v>#N/A</v>
      </c>
      <c r="CG11" s="7" t="e">
        <f t="shared" si="11"/>
        <v>#N/A</v>
      </c>
      <c r="CH11" s="6" t="e">
        <f t="shared" si="32"/>
        <v>#N/A</v>
      </c>
      <c r="CI11" s="5" t="e">
        <f t="shared" si="33"/>
        <v>#N/A</v>
      </c>
      <c r="CK11" s="5" t="e">
        <f t="shared" si="34"/>
        <v>#N/A</v>
      </c>
      <c r="CL11" s="5" t="e">
        <f t="shared" si="35"/>
        <v>#N/A</v>
      </c>
      <c r="CM11" s="5" t="e">
        <f t="shared" si="36"/>
        <v>#N/A</v>
      </c>
      <c r="CN11" s="5" t="e">
        <f t="shared" si="37"/>
        <v>#N/A</v>
      </c>
      <c r="CO11" s="5" t="e">
        <f t="shared" si="38"/>
        <v>#N/A</v>
      </c>
      <c r="CP11" s="5" t="e">
        <f t="shared" si="39"/>
        <v>#N/A</v>
      </c>
      <c r="CQ11" s="5" t="e">
        <f t="shared" si="40"/>
        <v>#N/A</v>
      </c>
      <c r="CR11" s="5" t="e">
        <f t="shared" si="41"/>
        <v>#N/A</v>
      </c>
      <c r="CS11" s="5" t="e">
        <f t="shared" si="42"/>
        <v>#N/A</v>
      </c>
      <c r="CT11" s="5" t="e">
        <f t="shared" si="43"/>
        <v>#N/A</v>
      </c>
      <c r="CU11" s="5" t="e">
        <f t="shared" si="44"/>
        <v>#N/A</v>
      </c>
      <c r="CV11" s="5" t="e">
        <f t="shared" si="45"/>
        <v>#N/A</v>
      </c>
      <c r="CW11" s="5" t="e">
        <f t="shared" si="46"/>
        <v>#N/A</v>
      </c>
      <c r="CX11" s="5" t="e">
        <f t="shared" si="47"/>
        <v>#N/A</v>
      </c>
      <c r="CY11" s="5" t="e">
        <f t="shared" si="48"/>
        <v>#N/A</v>
      </c>
      <c r="CZ11" s="5" t="e">
        <f t="shared" si="49"/>
        <v>#N/A</v>
      </c>
      <c r="DA11" s="5" t="e">
        <f t="shared" si="50"/>
        <v>#N/A</v>
      </c>
      <c r="DB11" s="5" t="e">
        <f t="shared" si="51"/>
        <v>#N/A</v>
      </c>
      <c r="DC11" s="5" t="e">
        <f t="shared" si="52"/>
        <v>#N/A</v>
      </c>
      <c r="DD11" s="5" t="e">
        <f t="shared" si="53"/>
        <v>#N/A</v>
      </c>
      <c r="DE11" s="5" t="e">
        <f t="shared" si="54"/>
        <v>#N/A</v>
      </c>
      <c r="DF11" s="5" t="e">
        <f t="shared" si="55"/>
        <v>#N/A</v>
      </c>
      <c r="DG11" s="5" t="e">
        <f t="shared" si="56"/>
        <v>#N/A</v>
      </c>
      <c r="DH11" s="5" t="e">
        <f t="shared" si="57"/>
        <v>#N/A</v>
      </c>
      <c r="DI11" s="5" t="e">
        <f t="shared" si="58"/>
        <v>#N/A</v>
      </c>
      <c r="DJ11" s="5" t="e">
        <f t="shared" si="59"/>
        <v>#N/A</v>
      </c>
      <c r="DK11" s="5" t="e">
        <f t="shared" si="60"/>
        <v>#N/A</v>
      </c>
      <c r="DL11" s="5" t="e">
        <f t="shared" si="61"/>
        <v>#N/A</v>
      </c>
      <c r="DM11" s="5" t="e">
        <f t="shared" si="62"/>
        <v>#N/A</v>
      </c>
      <c r="DN11" s="5" t="e">
        <f t="shared" si="63"/>
        <v>#N/A</v>
      </c>
      <c r="DO11" s="5" t="e">
        <f t="shared" si="64"/>
        <v>#N/A</v>
      </c>
      <c r="DP11" s="5" t="e">
        <f t="shared" si="65"/>
        <v>#N/A</v>
      </c>
      <c r="DQ11" s="5" t="e">
        <f t="shared" si="66"/>
        <v>#N/A</v>
      </c>
      <c r="DR11" s="5" t="e">
        <f t="shared" si="67"/>
        <v>#N/A</v>
      </c>
      <c r="DS11" s="5" t="e">
        <f t="shared" si="68"/>
        <v>#N/A</v>
      </c>
      <c r="DT11" s="5" t="e">
        <f t="shared" si="69"/>
        <v>#N/A</v>
      </c>
      <c r="DU11" s="5" t="e">
        <f t="shared" si="70"/>
        <v>#N/A</v>
      </c>
      <c r="DV11" s="5" t="e">
        <f t="shared" si="71"/>
        <v>#N/A</v>
      </c>
      <c r="DW11" s="5" t="e">
        <f t="shared" si="72"/>
        <v>#N/A</v>
      </c>
      <c r="DX11" s="5" t="e">
        <f t="shared" si="73"/>
        <v>#N/A</v>
      </c>
      <c r="DY11" s="5" t="e">
        <f t="shared" si="74"/>
        <v>#N/A</v>
      </c>
      <c r="DZ11" s="5" t="e">
        <f t="shared" si="75"/>
        <v>#N/A</v>
      </c>
      <c r="EA11" s="5" t="e">
        <f t="shared" si="76"/>
        <v>#N/A</v>
      </c>
      <c r="EB11" s="5" t="e">
        <f t="shared" si="77"/>
        <v>#N/A</v>
      </c>
      <c r="EC11" s="5" t="e">
        <f t="shared" si="78"/>
        <v>#N/A</v>
      </c>
      <c r="ED11" s="5" t="e">
        <f t="shared" si="79"/>
        <v>#N/A</v>
      </c>
      <c r="EE11" s="5" t="e">
        <f t="shared" si="80"/>
        <v>#N/A</v>
      </c>
      <c r="EF11" s="5" t="e">
        <f t="shared" si="81"/>
        <v>#N/A</v>
      </c>
      <c r="EG11" s="5" t="e">
        <f t="shared" si="82"/>
        <v>#N/A</v>
      </c>
      <c r="EH11" s="5" t="e">
        <f t="shared" si="83"/>
        <v>#N/A</v>
      </c>
      <c r="EI11" s="5" t="e">
        <f t="shared" si="84"/>
        <v>#N/A</v>
      </c>
      <c r="EJ11" s="5" t="e">
        <f t="shared" si="85"/>
        <v>#N/A</v>
      </c>
      <c r="EK11" s="5" t="e">
        <f t="shared" si="86"/>
        <v>#N/A</v>
      </c>
      <c r="EL11" s="5" t="e">
        <f t="shared" si="87"/>
        <v>#N/A</v>
      </c>
      <c r="EM11" s="5" t="e">
        <f t="shared" si="88"/>
        <v>#N/A</v>
      </c>
      <c r="EN11" s="5" t="e">
        <f t="shared" si="89"/>
        <v>#N/A</v>
      </c>
      <c r="EO11" s="5" t="e">
        <f t="shared" si="90"/>
        <v>#N/A</v>
      </c>
      <c r="EP11" s="5" t="e">
        <f t="shared" si="91"/>
        <v>#N/A</v>
      </c>
      <c r="EQ11" s="5" t="e">
        <f t="shared" si="92"/>
        <v>#N/A</v>
      </c>
      <c r="ER11" s="5" t="e">
        <f t="shared" si="93"/>
        <v>#N/A</v>
      </c>
      <c r="ET11" s="5" t="e">
        <f t="shared" si="94"/>
        <v>#N/A</v>
      </c>
      <c r="EU11" s="5" t="e">
        <f t="shared" si="95"/>
        <v>#N/A</v>
      </c>
      <c r="EV11" s="5" t="e">
        <f t="shared" si="96"/>
        <v>#N/A</v>
      </c>
      <c r="EW11" s="5" t="e">
        <f t="shared" si="97"/>
        <v>#N/A</v>
      </c>
      <c r="EX11" s="5" t="e">
        <f t="shared" si="98"/>
        <v>#N/A</v>
      </c>
      <c r="EY11" s="5" t="e">
        <f t="shared" si="99"/>
        <v>#N/A</v>
      </c>
      <c r="EZ11" s="5" t="e">
        <f t="shared" si="100"/>
        <v>#N/A</v>
      </c>
      <c r="FA11" s="5" t="e">
        <f t="shared" si="101"/>
        <v>#N/A</v>
      </c>
      <c r="FB11" s="5" t="e">
        <f t="shared" si="102"/>
        <v>#N/A</v>
      </c>
      <c r="FC11" s="5" t="e">
        <f t="shared" si="103"/>
        <v>#N/A</v>
      </c>
      <c r="FD11" s="5" t="e">
        <f t="shared" si="104"/>
        <v>#N/A</v>
      </c>
      <c r="FE11" s="5" t="e">
        <f t="shared" si="105"/>
        <v>#N/A</v>
      </c>
      <c r="FF11" s="5" t="e">
        <f t="shared" si="106"/>
        <v>#N/A</v>
      </c>
      <c r="FG11" s="5" t="e">
        <f t="shared" si="107"/>
        <v>#N/A</v>
      </c>
      <c r="FH11" s="5" t="e">
        <f t="shared" si="108"/>
        <v>#N/A</v>
      </c>
      <c r="FI11" s="5" t="e">
        <f t="shared" si="109"/>
        <v>#N/A</v>
      </c>
      <c r="FJ11" s="5" t="e">
        <f t="shared" si="110"/>
        <v>#N/A</v>
      </c>
      <c r="FK11" s="5" t="e">
        <f t="shared" si="111"/>
        <v>#N/A</v>
      </c>
      <c r="FL11" s="5" t="e">
        <f t="shared" si="112"/>
        <v>#N/A</v>
      </c>
      <c r="FM11" s="5" t="e">
        <f t="shared" si="113"/>
        <v>#N/A</v>
      </c>
      <c r="FN11" s="5" t="e">
        <f t="shared" si="114"/>
        <v>#N/A</v>
      </c>
      <c r="FO11" s="5" t="e">
        <f t="shared" si="115"/>
        <v>#N/A</v>
      </c>
      <c r="FP11" s="5" t="e">
        <f t="shared" si="116"/>
        <v>#N/A</v>
      </c>
      <c r="FQ11" s="5" t="e">
        <f t="shared" si="117"/>
        <v>#N/A</v>
      </c>
      <c r="FR11" s="5" t="e">
        <f t="shared" si="118"/>
        <v>#N/A</v>
      </c>
      <c r="FS11" s="5" t="e">
        <f t="shared" si="119"/>
        <v>#N/A</v>
      </c>
      <c r="FT11" s="5" t="e">
        <f t="shared" si="120"/>
        <v>#N/A</v>
      </c>
      <c r="FU11" s="5" t="e">
        <f t="shared" si="121"/>
        <v>#N/A</v>
      </c>
      <c r="FV11" s="5" t="e">
        <f t="shared" si="122"/>
        <v>#N/A</v>
      </c>
      <c r="FW11" s="5" t="e">
        <f t="shared" si="123"/>
        <v>#N/A</v>
      </c>
      <c r="FX11" s="5" t="e">
        <f t="shared" si="124"/>
        <v>#N/A</v>
      </c>
      <c r="FY11" s="5" t="e">
        <f t="shared" si="125"/>
        <v>#N/A</v>
      </c>
      <c r="FZ11" s="5" t="e">
        <f t="shared" si="126"/>
        <v>#N/A</v>
      </c>
      <c r="GA11" s="5" t="e">
        <f t="shared" si="127"/>
        <v>#N/A</v>
      </c>
      <c r="GB11" s="5" t="e">
        <f t="shared" si="128"/>
        <v>#N/A</v>
      </c>
      <c r="GC11" s="5" t="e">
        <f t="shared" si="129"/>
        <v>#N/A</v>
      </c>
      <c r="GD11" s="5" t="e">
        <f t="shared" si="130"/>
        <v>#N/A</v>
      </c>
      <c r="GE11" s="5" t="e">
        <f t="shared" si="131"/>
        <v>#N/A</v>
      </c>
      <c r="GF11" s="5" t="e">
        <f t="shared" si="132"/>
        <v>#N/A</v>
      </c>
      <c r="GG11" s="5" t="e">
        <f t="shared" si="133"/>
        <v>#N/A</v>
      </c>
      <c r="GH11" s="5" t="e">
        <f t="shared" si="134"/>
        <v>#N/A</v>
      </c>
      <c r="GI11" s="5" t="e">
        <f t="shared" si="135"/>
        <v>#N/A</v>
      </c>
      <c r="GJ11" s="5" t="e">
        <f t="shared" si="136"/>
        <v>#N/A</v>
      </c>
      <c r="GK11" s="5" t="e">
        <f t="shared" si="137"/>
        <v>#N/A</v>
      </c>
      <c r="GL11" s="5" t="e">
        <f t="shared" si="138"/>
        <v>#N/A</v>
      </c>
      <c r="GM11" s="5" t="e">
        <f t="shared" si="139"/>
        <v>#N/A</v>
      </c>
      <c r="GN11" s="5" t="e">
        <f t="shared" si="140"/>
        <v>#N/A</v>
      </c>
      <c r="GO11" s="5" t="e">
        <f t="shared" si="141"/>
        <v>#N/A</v>
      </c>
      <c r="GP11" s="5" t="e">
        <f t="shared" si="142"/>
        <v>#N/A</v>
      </c>
      <c r="GQ11" s="5" t="e">
        <f t="shared" si="143"/>
        <v>#N/A</v>
      </c>
      <c r="GR11" s="5" t="e">
        <f t="shared" si="144"/>
        <v>#N/A</v>
      </c>
      <c r="GS11" s="5" t="e">
        <f t="shared" si="145"/>
        <v>#N/A</v>
      </c>
      <c r="GT11" s="5" t="e">
        <f t="shared" si="146"/>
        <v>#N/A</v>
      </c>
      <c r="GU11" s="5" t="e">
        <f t="shared" si="147"/>
        <v>#N/A</v>
      </c>
      <c r="GV11" s="5" t="e">
        <f t="shared" si="148"/>
        <v>#N/A</v>
      </c>
      <c r="GW11" s="5" t="e">
        <f t="shared" si="149"/>
        <v>#N/A</v>
      </c>
      <c r="GX11" s="5" t="e">
        <f t="shared" si="150"/>
        <v>#N/A</v>
      </c>
      <c r="GY11" s="5" t="e">
        <f t="shared" si="151"/>
        <v>#N/A</v>
      </c>
      <c r="GZ11" s="5" t="e">
        <f t="shared" si="152"/>
        <v>#N/A</v>
      </c>
      <c r="HA11" s="5" t="e">
        <f t="shared" si="153"/>
        <v>#N/A</v>
      </c>
      <c r="HC11" s="6" t="e">
        <f t="shared" si="154"/>
        <v>#N/A</v>
      </c>
      <c r="HD11" s="5" t="e">
        <f t="shared" si="155"/>
        <v>#N/A</v>
      </c>
      <c r="HE11" s="5" t="e">
        <f t="shared" si="156"/>
        <v>#N/A</v>
      </c>
      <c r="HF11" s="5" t="e">
        <f t="shared" si="157"/>
        <v>#N/A</v>
      </c>
      <c r="HG11" s="5" t="e">
        <f t="shared" si="158"/>
        <v>#N/A</v>
      </c>
      <c r="HH11" s="5" t="e">
        <f t="shared" si="159"/>
        <v>#N/A</v>
      </c>
      <c r="HI11" s="5" t="e">
        <f t="shared" si="160"/>
        <v>#N/A</v>
      </c>
      <c r="HJ11" s="5" t="e">
        <f t="shared" si="161"/>
        <v>#N/A</v>
      </c>
      <c r="HK11" s="5" t="e">
        <f t="shared" si="162"/>
        <v>#N/A</v>
      </c>
      <c r="HL11" s="5" t="e">
        <f t="shared" si="163"/>
        <v>#N/A</v>
      </c>
      <c r="HM11" s="5" t="e">
        <f t="shared" si="164"/>
        <v>#N/A</v>
      </c>
      <c r="HN11" s="5" t="e">
        <f t="shared" si="165"/>
        <v>#N/A</v>
      </c>
      <c r="HO11" s="5" t="e">
        <f t="shared" si="166"/>
        <v>#N/A</v>
      </c>
      <c r="HP11" s="5" t="e">
        <f t="shared" si="167"/>
        <v>#N/A</v>
      </c>
      <c r="HQ11" s="5" t="e">
        <f t="shared" si="168"/>
        <v>#N/A</v>
      </c>
      <c r="HR11" s="5" t="e">
        <f t="shared" si="169"/>
        <v>#N/A</v>
      </c>
      <c r="HS11" s="5" t="e">
        <f t="shared" si="170"/>
        <v>#N/A</v>
      </c>
      <c r="HT11" s="5" t="e">
        <f t="shared" si="171"/>
        <v>#N/A</v>
      </c>
      <c r="HU11" s="5" t="e">
        <f t="shared" si="172"/>
        <v>#N/A</v>
      </c>
      <c r="HV11" s="5" t="e">
        <f t="shared" si="173"/>
        <v>#N/A</v>
      </c>
      <c r="HW11" s="5" t="e">
        <f t="shared" si="174"/>
        <v>#N/A</v>
      </c>
      <c r="HX11" s="5" t="e">
        <f t="shared" si="175"/>
        <v>#N/A</v>
      </c>
      <c r="HY11" s="5" t="e">
        <f t="shared" si="176"/>
        <v>#N/A</v>
      </c>
      <c r="HZ11" s="5" t="e">
        <f t="shared" si="177"/>
        <v>#N/A</v>
      </c>
      <c r="IA11" s="5" t="e">
        <f t="shared" si="178"/>
        <v>#N/A</v>
      </c>
      <c r="IB11" s="5" t="e">
        <f t="shared" si="179"/>
        <v>#N/A</v>
      </c>
      <c r="IC11" s="5" t="e">
        <f t="shared" si="180"/>
        <v>#N/A</v>
      </c>
      <c r="ID11" s="5" t="e">
        <f t="shared" si="181"/>
        <v>#N/A</v>
      </c>
      <c r="IE11" s="5" t="e">
        <f t="shared" si="182"/>
        <v>#N/A</v>
      </c>
      <c r="IF11" s="5" t="e">
        <f t="shared" si="183"/>
        <v>#N/A</v>
      </c>
      <c r="IG11" s="5" t="e">
        <f t="shared" si="184"/>
        <v>#N/A</v>
      </c>
      <c r="IH11" s="5" t="e">
        <f t="shared" si="185"/>
        <v>#N/A</v>
      </c>
      <c r="II11" s="5" t="e">
        <f t="shared" si="186"/>
        <v>#N/A</v>
      </c>
      <c r="IJ11" s="5" t="e">
        <f t="shared" si="187"/>
        <v>#N/A</v>
      </c>
      <c r="IK11" s="5" t="e">
        <f t="shared" si="188"/>
        <v>#N/A</v>
      </c>
      <c r="IL11" s="5" t="e">
        <f t="shared" si="189"/>
        <v>#N/A</v>
      </c>
      <c r="IM11" s="5" t="e">
        <f t="shared" si="190"/>
        <v>#N/A</v>
      </c>
      <c r="IN11" s="5" t="e">
        <f t="shared" si="191"/>
        <v>#N/A</v>
      </c>
      <c r="IO11" s="5" t="e">
        <f t="shared" si="192"/>
        <v>#N/A</v>
      </c>
      <c r="IP11" s="5" t="e">
        <f t="shared" si="193"/>
        <v>#N/A</v>
      </c>
      <c r="IQ11" s="5" t="e">
        <f t="shared" si="194"/>
        <v>#N/A</v>
      </c>
      <c r="IR11" s="5" t="e">
        <f t="shared" si="195"/>
        <v>#N/A</v>
      </c>
      <c r="IS11" s="5" t="e">
        <f t="shared" si="196"/>
        <v>#N/A</v>
      </c>
      <c r="IT11" s="5" t="e">
        <f t="shared" si="197"/>
        <v>#N/A</v>
      </c>
      <c r="IU11" s="5" t="e">
        <f t="shared" si="198"/>
        <v>#N/A</v>
      </c>
      <c r="IV11" s="5" t="e">
        <f t="shared" si="199"/>
        <v>#N/A</v>
      </c>
      <c r="IW11" s="5" t="e">
        <f t="shared" si="200"/>
        <v>#N/A</v>
      </c>
      <c r="IX11" s="5" t="e">
        <f t="shared" si="201"/>
        <v>#N/A</v>
      </c>
      <c r="IY11" s="5" t="e">
        <f t="shared" si="202"/>
        <v>#N/A</v>
      </c>
      <c r="IZ11" s="5" t="e">
        <f t="shared" si="203"/>
        <v>#N/A</v>
      </c>
      <c r="JA11" s="5" t="e">
        <f t="shared" si="204"/>
        <v>#N/A</v>
      </c>
      <c r="JB11" s="5" t="e">
        <f t="shared" si="205"/>
        <v>#N/A</v>
      </c>
      <c r="JC11" s="5" t="e">
        <f t="shared" si="206"/>
        <v>#N/A</v>
      </c>
      <c r="JD11" s="5" t="e">
        <f t="shared" si="207"/>
        <v>#N/A</v>
      </c>
      <c r="JE11" s="5" t="e">
        <f t="shared" si="208"/>
        <v>#N/A</v>
      </c>
      <c r="JF11" s="5" t="e">
        <f t="shared" si="209"/>
        <v>#N/A</v>
      </c>
      <c r="JG11" s="5" t="e">
        <f t="shared" si="210"/>
        <v>#N/A</v>
      </c>
      <c r="JH11" s="5" t="e">
        <f t="shared" si="211"/>
        <v>#N/A</v>
      </c>
      <c r="JI11" s="5" t="e">
        <f t="shared" si="212"/>
        <v>#N/A</v>
      </c>
      <c r="JJ11" s="5" t="e">
        <f t="shared" si="213"/>
        <v>#N/A</v>
      </c>
      <c r="JK11" s="5" t="e">
        <f t="shared" si="214"/>
        <v>#N/A</v>
      </c>
      <c r="JM11" s="19" t="e">
        <f t="shared" si="215"/>
        <v>#N/A</v>
      </c>
      <c r="JN11" s="1">
        <v>9</v>
      </c>
      <c r="JO11" s="5" t="e">
        <f>HLOOKUP(JM11,HC$2:JK11,2+JN10,0)-IF(KE11&gt;0,KE11,0)</f>
        <v>#N/A</v>
      </c>
      <c r="JP11" s="5" t="e">
        <f t="shared" si="216"/>
        <v>#N/A</v>
      </c>
      <c r="JQ11" s="17"/>
      <c r="JR11" s="17"/>
      <c r="JS11" s="6">
        <f t="shared" si="217"/>
        <v>0</v>
      </c>
      <c r="JT11" s="5" t="e">
        <f t="shared" si="218"/>
        <v>#N/A</v>
      </c>
      <c r="JU11" s="13">
        <f t="shared" ca="1" si="22"/>
        <v>46161</v>
      </c>
      <c r="JV11" s="6" t="e">
        <f t="shared" si="219"/>
        <v>#N/A</v>
      </c>
      <c r="JW11" s="6"/>
      <c r="JX11" s="6"/>
      <c r="JY11" s="6">
        <f t="shared" si="220"/>
        <v>0</v>
      </c>
      <c r="JZ11" s="10" t="e">
        <f t="shared" si="221"/>
        <v>#N/A</v>
      </c>
      <c r="KA11" s="10" t="e">
        <f t="shared" si="222"/>
        <v>#N/A</v>
      </c>
      <c r="KB11" s="10" t="e">
        <f t="shared" si="223"/>
        <v>#N/A</v>
      </c>
      <c r="KC11" s="10" t="e">
        <f t="shared" si="224"/>
        <v>#N/A</v>
      </c>
      <c r="KD11" s="5" t="e">
        <f t="shared" si="225"/>
        <v>#N/A</v>
      </c>
      <c r="KE11" s="6" t="e">
        <f t="shared" si="226"/>
        <v>#N/A</v>
      </c>
      <c r="KG11" s="26"/>
    </row>
    <row r="12" spans="1:297" x14ac:dyDescent="0.3">
      <c r="C12" s="1" t="e">
        <f>VLOOKUP(B12,DD!A:B,2,0)</f>
        <v>#N/A</v>
      </c>
      <c r="D12" s="1" t="e">
        <f>VLOOKUP(B12,DD!A:K,11,0)</f>
        <v>#N/A</v>
      </c>
      <c r="E12" s="1" t="e">
        <f>VLOOKUP(B12,DD!A:L,12,0)</f>
        <v>#N/A</v>
      </c>
      <c r="F12" s="17" t="e">
        <f>VLOOKUP(B12,DD!A:D,4,0)</f>
        <v>#N/A</v>
      </c>
      <c r="G12" s="9">
        <v>1</v>
      </c>
      <c r="H12" s="3" t="e">
        <f>VLOOKUP(B12,DD!A:E,5,0)</f>
        <v>#N/A</v>
      </c>
      <c r="I12" s="3" t="e">
        <f t="shared" ref="I12" si="228">H12-J12</f>
        <v>#N/A</v>
      </c>
      <c r="J12" s="3" t="e">
        <f>VLOOKUP(B12,DD!A:F,6,0)</f>
        <v>#N/A</v>
      </c>
      <c r="K12" s="3" t="e">
        <f>VLOOKUP(B12,DD!A:H,8,0)</f>
        <v>#N/A</v>
      </c>
      <c r="L12" s="3" t="e">
        <f>VLOOKUP(B12,DD!A:I,9,0)</f>
        <v>#N/A</v>
      </c>
      <c r="M12" s="3" t="e">
        <f>VLOOKUP(B12,DD!A:J,10,0)</f>
        <v>#N/A</v>
      </c>
      <c r="N12" s="3" t="s">
        <v>8</v>
      </c>
      <c r="O12" s="3" t="s">
        <v>9</v>
      </c>
      <c r="P12" s="4" t="e">
        <f>VLOOKUP(B12,DD!A:C,3,0)</f>
        <v>#N/A</v>
      </c>
      <c r="Q12" s="5" t="e">
        <f t="shared" ref="Q12" si="229">K12/100*P12</f>
        <v>#N/A</v>
      </c>
      <c r="R12" s="5" t="e">
        <f t="shared" ref="R12" si="230">L12/100*P12</f>
        <v>#N/A</v>
      </c>
      <c r="S12" s="5" t="e">
        <f t="shared" ref="S12" si="231">M12/100*(P12-Q12)</f>
        <v>#N/A</v>
      </c>
      <c r="T12" s="6" t="e">
        <f t="shared" ref="T12" si="232">Q12+R12</f>
        <v>#N/A</v>
      </c>
      <c r="U12" s="5" t="e">
        <f t="shared" ref="U12" si="233">(P12/H12)+(R12/H12)</f>
        <v>#N/A</v>
      </c>
      <c r="V12" s="6" t="e">
        <f t="shared" ref="V12" si="234">P12-Q12-S12-W12</f>
        <v>#N/A</v>
      </c>
      <c r="W12" s="7" t="e">
        <f t="shared" ref="W12" si="235">IF(J12&gt;=1,U12*J12,0)</f>
        <v>#N/A</v>
      </c>
      <c r="X12" s="8" t="e">
        <f t="shared" si="8"/>
        <v>#VALUE!</v>
      </c>
      <c r="Y12" s="6" t="e">
        <f t="shared" ref="Y12" si="236">-V12</f>
        <v>#N/A</v>
      </c>
      <c r="Z12" s="7" t="e">
        <f t="shared" si="227"/>
        <v>#N/A</v>
      </c>
      <c r="AA12" s="7" t="e">
        <f t="shared" si="227"/>
        <v>#N/A</v>
      </c>
      <c r="AB12" s="7" t="e">
        <f t="shared" si="227"/>
        <v>#N/A</v>
      </c>
      <c r="AC12" s="7" t="e">
        <f t="shared" si="227"/>
        <v>#N/A</v>
      </c>
      <c r="AD12" s="7" t="e">
        <f t="shared" si="227"/>
        <v>#N/A</v>
      </c>
      <c r="AE12" s="7" t="e">
        <f t="shared" si="227"/>
        <v>#N/A</v>
      </c>
      <c r="AF12" s="7" t="e">
        <f t="shared" si="227"/>
        <v>#N/A</v>
      </c>
      <c r="AG12" s="7" t="e">
        <f t="shared" si="227"/>
        <v>#N/A</v>
      </c>
      <c r="AH12" s="7" t="e">
        <f t="shared" si="227"/>
        <v>#N/A</v>
      </c>
      <c r="AI12" s="7" t="e">
        <f t="shared" si="227"/>
        <v>#N/A</v>
      </c>
      <c r="AJ12" s="7" t="e">
        <f t="shared" si="227"/>
        <v>#N/A</v>
      </c>
      <c r="AK12" s="7" t="e">
        <f t="shared" si="227"/>
        <v>#N/A</v>
      </c>
      <c r="AL12" s="7" t="e">
        <f t="shared" si="227"/>
        <v>#N/A</v>
      </c>
      <c r="AM12" s="7" t="e">
        <f t="shared" si="227"/>
        <v>#N/A</v>
      </c>
      <c r="AN12" s="7" t="e">
        <f t="shared" si="227"/>
        <v>#N/A</v>
      </c>
      <c r="AO12" s="7" t="e">
        <f t="shared" si="227"/>
        <v>#N/A</v>
      </c>
      <c r="AP12" s="7" t="e">
        <f t="shared" si="227"/>
        <v>#N/A</v>
      </c>
      <c r="AQ12" s="7" t="e">
        <f t="shared" si="227"/>
        <v>#N/A</v>
      </c>
      <c r="AR12" s="7" t="e">
        <f t="shared" si="227"/>
        <v>#N/A</v>
      </c>
      <c r="AS12" s="7" t="e">
        <f t="shared" si="227"/>
        <v>#N/A</v>
      </c>
      <c r="AT12" s="7" t="e">
        <f t="shared" si="227"/>
        <v>#N/A</v>
      </c>
      <c r="AU12" s="7" t="e">
        <f t="shared" si="227"/>
        <v>#N/A</v>
      </c>
      <c r="AV12" s="7" t="e">
        <f t="shared" si="227"/>
        <v>#N/A</v>
      </c>
      <c r="AW12" s="7" t="e">
        <f t="shared" si="227"/>
        <v>#N/A</v>
      </c>
      <c r="AX12" s="7" t="e">
        <f t="shared" si="227"/>
        <v>#N/A</v>
      </c>
      <c r="AY12" s="7" t="e">
        <f t="shared" si="227"/>
        <v>#N/A</v>
      </c>
      <c r="AZ12" s="7" t="e">
        <f t="shared" si="227"/>
        <v>#N/A</v>
      </c>
      <c r="BA12" s="7" t="e">
        <f t="shared" si="227"/>
        <v>#N/A</v>
      </c>
      <c r="BB12" s="7" t="e">
        <f t="shared" si="227"/>
        <v>#N/A</v>
      </c>
      <c r="BC12" s="7" t="e">
        <f t="shared" si="227"/>
        <v>#N/A</v>
      </c>
      <c r="BD12" s="7" t="e">
        <f t="shared" si="227"/>
        <v>#N/A</v>
      </c>
      <c r="BE12" s="7" t="e">
        <f t="shared" si="227"/>
        <v>#N/A</v>
      </c>
      <c r="BF12" s="7" t="e">
        <f t="shared" si="11"/>
        <v>#N/A</v>
      </c>
      <c r="BG12" s="7" t="e">
        <f t="shared" si="11"/>
        <v>#N/A</v>
      </c>
      <c r="BH12" s="7" t="e">
        <f t="shared" si="11"/>
        <v>#N/A</v>
      </c>
      <c r="BI12" s="7" t="e">
        <f t="shared" ref="BI12:CG22" si="237">IF($I12&gt;=BI$2,$U12,0)-IF($I12=BI$2,$S12)-IF($S12&gt;1,$S12,0)+$S12</f>
        <v>#N/A</v>
      </c>
      <c r="BJ12" s="7" t="e">
        <f t="shared" si="237"/>
        <v>#N/A</v>
      </c>
      <c r="BK12" s="7" t="e">
        <f t="shared" si="237"/>
        <v>#N/A</v>
      </c>
      <c r="BL12" s="7" t="e">
        <f t="shared" si="237"/>
        <v>#N/A</v>
      </c>
      <c r="BM12" s="7" t="e">
        <f t="shared" si="237"/>
        <v>#N/A</v>
      </c>
      <c r="BN12" s="7" t="e">
        <f t="shared" si="237"/>
        <v>#N/A</v>
      </c>
      <c r="BO12" s="7" t="e">
        <f t="shared" si="237"/>
        <v>#N/A</v>
      </c>
      <c r="BP12" s="7" t="e">
        <f t="shared" si="237"/>
        <v>#N/A</v>
      </c>
      <c r="BQ12" s="7" t="e">
        <f t="shared" si="237"/>
        <v>#N/A</v>
      </c>
      <c r="BR12" s="7" t="e">
        <f t="shared" si="237"/>
        <v>#N/A</v>
      </c>
      <c r="BS12" s="7" t="e">
        <f t="shared" si="237"/>
        <v>#N/A</v>
      </c>
      <c r="BT12" s="7" t="e">
        <f t="shared" si="237"/>
        <v>#N/A</v>
      </c>
      <c r="BU12" s="7" t="e">
        <f t="shared" si="237"/>
        <v>#N/A</v>
      </c>
      <c r="BV12" s="7" t="e">
        <f t="shared" si="237"/>
        <v>#N/A</v>
      </c>
      <c r="BW12" s="7" t="e">
        <f t="shared" si="237"/>
        <v>#N/A</v>
      </c>
      <c r="BX12" s="7" t="e">
        <f t="shared" si="237"/>
        <v>#N/A</v>
      </c>
      <c r="BY12" s="7" t="e">
        <f t="shared" si="237"/>
        <v>#N/A</v>
      </c>
      <c r="BZ12" s="7" t="e">
        <f t="shared" si="237"/>
        <v>#N/A</v>
      </c>
      <c r="CA12" s="7" t="e">
        <f t="shared" si="237"/>
        <v>#N/A</v>
      </c>
      <c r="CB12" s="7" t="e">
        <f t="shared" si="237"/>
        <v>#N/A</v>
      </c>
      <c r="CC12" s="7" t="e">
        <f t="shared" si="237"/>
        <v>#N/A</v>
      </c>
      <c r="CD12" s="7" t="e">
        <f t="shared" si="237"/>
        <v>#N/A</v>
      </c>
      <c r="CE12" s="7" t="e">
        <f t="shared" si="237"/>
        <v>#N/A</v>
      </c>
      <c r="CF12" s="7" t="e">
        <f t="shared" si="237"/>
        <v>#N/A</v>
      </c>
      <c r="CG12" s="7" t="e">
        <f t="shared" si="237"/>
        <v>#N/A</v>
      </c>
      <c r="CH12" s="6" t="e">
        <f t="shared" ref="CH12" si="238">SUM(Y12:CG12)</f>
        <v>#N/A</v>
      </c>
      <c r="CI12" s="5" t="e">
        <f t="shared" ref="CI12" si="239">CH12-T12</f>
        <v>#N/A</v>
      </c>
      <c r="CK12" s="5" t="e">
        <f t="shared" ref="CK12" si="240">V12*($X12/12)</f>
        <v>#N/A</v>
      </c>
      <c r="CL12" s="5" t="e">
        <f t="shared" ref="CL12" si="241">HD12*($X12/12)</f>
        <v>#N/A</v>
      </c>
      <c r="CM12" s="5" t="e">
        <f t="shared" ref="CM12" si="242">HE12*($X12/12)</f>
        <v>#N/A</v>
      </c>
      <c r="CN12" s="5" t="e">
        <f t="shared" ref="CN12" si="243">HF12*($X12/12)</f>
        <v>#N/A</v>
      </c>
      <c r="CO12" s="5" t="e">
        <f t="shared" ref="CO12" si="244">HG12*($X12/12)</f>
        <v>#N/A</v>
      </c>
      <c r="CP12" s="5" t="e">
        <f t="shared" ref="CP12" si="245">HH12*($X12/12)</f>
        <v>#N/A</v>
      </c>
      <c r="CQ12" s="5" t="e">
        <f t="shared" ref="CQ12" si="246">HI12*($X12/12)</f>
        <v>#N/A</v>
      </c>
      <c r="CR12" s="5" t="e">
        <f t="shared" ref="CR12" si="247">HJ12*($X12/12)</f>
        <v>#N/A</v>
      </c>
      <c r="CS12" s="5" t="e">
        <f t="shared" ref="CS12" si="248">HK12*($X12/12)</f>
        <v>#N/A</v>
      </c>
      <c r="CT12" s="5" t="e">
        <f t="shared" ref="CT12" si="249">HL12*($X12/12)</f>
        <v>#N/A</v>
      </c>
      <c r="CU12" s="5" t="e">
        <f t="shared" ref="CU12" si="250">HM12*($X12/12)</f>
        <v>#N/A</v>
      </c>
      <c r="CV12" s="5" t="e">
        <f t="shared" ref="CV12" si="251">HN12*($X12/12)</f>
        <v>#N/A</v>
      </c>
      <c r="CW12" s="5" t="e">
        <f t="shared" ref="CW12" si="252">HO12*($X12/12)</f>
        <v>#N/A</v>
      </c>
      <c r="CX12" s="5" t="e">
        <f t="shared" ref="CX12" si="253">HP12*($X12/12)</f>
        <v>#N/A</v>
      </c>
      <c r="CY12" s="5" t="e">
        <f t="shared" ref="CY12" si="254">HQ12*($X12/12)</f>
        <v>#N/A</v>
      </c>
      <c r="CZ12" s="5" t="e">
        <f t="shared" ref="CZ12" si="255">HR12*($X12/12)</f>
        <v>#N/A</v>
      </c>
      <c r="DA12" s="5" t="e">
        <f t="shared" ref="DA12" si="256">HS12*($X12/12)</f>
        <v>#N/A</v>
      </c>
      <c r="DB12" s="5" t="e">
        <f t="shared" ref="DB12" si="257">HT12*($X12/12)</f>
        <v>#N/A</v>
      </c>
      <c r="DC12" s="5" t="e">
        <f t="shared" ref="DC12" si="258">HU12*($X12/12)</f>
        <v>#N/A</v>
      </c>
      <c r="DD12" s="5" t="e">
        <f t="shared" ref="DD12" si="259">HV12*($X12/12)</f>
        <v>#N/A</v>
      </c>
      <c r="DE12" s="5" t="e">
        <f t="shared" ref="DE12" si="260">HW12*($X12/12)</f>
        <v>#N/A</v>
      </c>
      <c r="DF12" s="5" t="e">
        <f t="shared" ref="DF12" si="261">HX12*($X12/12)</f>
        <v>#N/A</v>
      </c>
      <c r="DG12" s="5" t="e">
        <f t="shared" ref="DG12" si="262">HY12*($X12/12)</f>
        <v>#N/A</v>
      </c>
      <c r="DH12" s="5" t="e">
        <f t="shared" ref="DH12" si="263">HZ12*($X12/12)</f>
        <v>#N/A</v>
      </c>
      <c r="DI12" s="5" t="e">
        <f t="shared" ref="DI12" si="264">IA12*($X12/12)</f>
        <v>#N/A</v>
      </c>
      <c r="DJ12" s="5" t="e">
        <f t="shared" ref="DJ12" si="265">IB12*($X12/12)</f>
        <v>#N/A</v>
      </c>
      <c r="DK12" s="5" t="e">
        <f t="shared" ref="DK12" si="266">IC12*($X12/12)</f>
        <v>#N/A</v>
      </c>
      <c r="DL12" s="5" t="e">
        <f t="shared" ref="DL12" si="267">ID12*($X12/12)</f>
        <v>#N/A</v>
      </c>
      <c r="DM12" s="5" t="e">
        <f t="shared" ref="DM12" si="268">IE12*($X12/12)</f>
        <v>#N/A</v>
      </c>
      <c r="DN12" s="5" t="e">
        <f t="shared" ref="DN12" si="269">IF12*($X12/12)</f>
        <v>#N/A</v>
      </c>
      <c r="DO12" s="5" t="e">
        <f t="shared" ref="DO12" si="270">IG12*($X12/12)</f>
        <v>#N/A</v>
      </c>
      <c r="DP12" s="5" t="e">
        <f t="shared" ref="DP12" si="271">IH12*($X12/12)</f>
        <v>#N/A</v>
      </c>
      <c r="DQ12" s="5" t="e">
        <f t="shared" ref="DQ12" si="272">II12*($X12/12)</f>
        <v>#N/A</v>
      </c>
      <c r="DR12" s="5" t="e">
        <f t="shared" ref="DR12" si="273">IJ12*($X12/12)</f>
        <v>#N/A</v>
      </c>
      <c r="DS12" s="5" t="e">
        <f t="shared" ref="DS12" si="274">IK12*($X12/12)</f>
        <v>#N/A</v>
      </c>
      <c r="DT12" s="5" t="e">
        <f t="shared" ref="DT12" si="275">IL12*($X12/12)</f>
        <v>#N/A</v>
      </c>
      <c r="DU12" s="5" t="e">
        <f t="shared" ref="DU12" si="276">IM12*($X12/12)</f>
        <v>#N/A</v>
      </c>
      <c r="DV12" s="5" t="e">
        <f t="shared" ref="DV12" si="277">IN12*($X12/12)</f>
        <v>#N/A</v>
      </c>
      <c r="DW12" s="5" t="e">
        <f t="shared" ref="DW12" si="278">IO12*($X12/12)</f>
        <v>#N/A</v>
      </c>
      <c r="DX12" s="5" t="e">
        <f t="shared" ref="DX12" si="279">IP12*($X12/12)</f>
        <v>#N/A</v>
      </c>
      <c r="DY12" s="5" t="e">
        <f t="shared" ref="DY12" si="280">IQ12*($X12/12)</f>
        <v>#N/A</v>
      </c>
      <c r="DZ12" s="5" t="e">
        <f t="shared" ref="DZ12" si="281">IR12*($X12/12)</f>
        <v>#N/A</v>
      </c>
      <c r="EA12" s="5" t="e">
        <f t="shared" ref="EA12" si="282">IS12*($X12/12)</f>
        <v>#N/A</v>
      </c>
      <c r="EB12" s="5" t="e">
        <f t="shared" ref="EB12" si="283">IT12*($X12/12)</f>
        <v>#N/A</v>
      </c>
      <c r="EC12" s="5" t="e">
        <f t="shared" ref="EC12" si="284">IU12*($X12/12)</f>
        <v>#N/A</v>
      </c>
      <c r="ED12" s="5" t="e">
        <f t="shared" ref="ED12" si="285">IV12*($X12/12)</f>
        <v>#N/A</v>
      </c>
      <c r="EE12" s="5" t="e">
        <f t="shared" ref="EE12" si="286">IW12*($X12/12)</f>
        <v>#N/A</v>
      </c>
      <c r="EF12" s="5" t="e">
        <f t="shared" ref="EF12" si="287">IX12*($X12/12)</f>
        <v>#N/A</v>
      </c>
      <c r="EG12" s="5" t="e">
        <f t="shared" ref="EG12" si="288">IY12*($X12/12)</f>
        <v>#N/A</v>
      </c>
      <c r="EH12" s="5" t="e">
        <f t="shared" ref="EH12" si="289">IZ12*($X12/12)</f>
        <v>#N/A</v>
      </c>
      <c r="EI12" s="5" t="e">
        <f t="shared" ref="EI12" si="290">JA12*($X12/12)</f>
        <v>#N/A</v>
      </c>
      <c r="EJ12" s="5" t="e">
        <f t="shared" ref="EJ12" si="291">JB12*($X12/12)</f>
        <v>#N/A</v>
      </c>
      <c r="EK12" s="5" t="e">
        <f t="shared" ref="EK12" si="292">JC12*($X12/12)</f>
        <v>#N/A</v>
      </c>
      <c r="EL12" s="5" t="e">
        <f t="shared" ref="EL12" si="293">JD12*($X12/12)</f>
        <v>#N/A</v>
      </c>
      <c r="EM12" s="5" t="e">
        <f t="shared" ref="EM12" si="294">JE12*($X12/12)</f>
        <v>#N/A</v>
      </c>
      <c r="EN12" s="5" t="e">
        <f t="shared" ref="EN12" si="295">JF12*($X12/12)</f>
        <v>#N/A</v>
      </c>
      <c r="EO12" s="5" t="e">
        <f t="shared" ref="EO12" si="296">JG12*($X12/12)</f>
        <v>#N/A</v>
      </c>
      <c r="EP12" s="5" t="e">
        <f t="shared" ref="EP12" si="297">JH12*($X12/12)</f>
        <v>#N/A</v>
      </c>
      <c r="EQ12" s="5" t="e">
        <f t="shared" ref="EQ12" si="298">JI12*($X12/12)</f>
        <v>#N/A</v>
      </c>
      <c r="ER12" s="5" t="e">
        <f t="shared" ref="ER12" si="299">JJ12*($X12/12)</f>
        <v>#N/A</v>
      </c>
      <c r="ET12" s="5" t="e">
        <f t="shared" ref="ET12" si="300">Z12-CK12</f>
        <v>#N/A</v>
      </c>
      <c r="EU12" s="5" t="e">
        <f t="shared" ref="EU12" si="301">AA12-CL12</f>
        <v>#N/A</v>
      </c>
      <c r="EV12" s="5" t="e">
        <f t="shared" ref="EV12" si="302">AB12-CM12</f>
        <v>#N/A</v>
      </c>
      <c r="EW12" s="5" t="e">
        <f t="shared" ref="EW12" si="303">AC12-CN12</f>
        <v>#N/A</v>
      </c>
      <c r="EX12" s="5" t="e">
        <f t="shared" ref="EX12" si="304">AD12-CO12</f>
        <v>#N/A</v>
      </c>
      <c r="EY12" s="5" t="e">
        <f t="shared" ref="EY12" si="305">AE12-CP12</f>
        <v>#N/A</v>
      </c>
      <c r="EZ12" s="5" t="e">
        <f t="shared" ref="EZ12" si="306">AF12-CQ12</f>
        <v>#N/A</v>
      </c>
      <c r="FA12" s="5" t="e">
        <f t="shared" ref="FA12" si="307">AG12-CR12</f>
        <v>#N/A</v>
      </c>
      <c r="FB12" s="5" t="e">
        <f t="shared" ref="FB12" si="308">AH12-CS12</f>
        <v>#N/A</v>
      </c>
      <c r="FC12" s="5" t="e">
        <f t="shared" ref="FC12" si="309">AI12-CT12</f>
        <v>#N/A</v>
      </c>
      <c r="FD12" s="5" t="e">
        <f t="shared" ref="FD12" si="310">AJ12-CU12</f>
        <v>#N/A</v>
      </c>
      <c r="FE12" s="5" t="e">
        <f t="shared" ref="FE12" si="311">AK12-CV12</f>
        <v>#N/A</v>
      </c>
      <c r="FF12" s="5" t="e">
        <f t="shared" ref="FF12" si="312">AL12-CW12</f>
        <v>#N/A</v>
      </c>
      <c r="FG12" s="5" t="e">
        <f t="shared" ref="FG12" si="313">AM12-CX12</f>
        <v>#N/A</v>
      </c>
      <c r="FH12" s="5" t="e">
        <f t="shared" ref="FH12" si="314">AN12-CY12</f>
        <v>#N/A</v>
      </c>
      <c r="FI12" s="5" t="e">
        <f t="shared" ref="FI12" si="315">AO12-CZ12</f>
        <v>#N/A</v>
      </c>
      <c r="FJ12" s="5" t="e">
        <f t="shared" ref="FJ12" si="316">AP12-DA12</f>
        <v>#N/A</v>
      </c>
      <c r="FK12" s="5" t="e">
        <f t="shared" ref="FK12" si="317">AQ12-DB12</f>
        <v>#N/A</v>
      </c>
      <c r="FL12" s="5" t="e">
        <f t="shared" ref="FL12" si="318">AR12-DC12</f>
        <v>#N/A</v>
      </c>
      <c r="FM12" s="5" t="e">
        <f t="shared" ref="FM12" si="319">AS12-DD12</f>
        <v>#N/A</v>
      </c>
      <c r="FN12" s="5" t="e">
        <f t="shared" ref="FN12" si="320">AT12-DE12</f>
        <v>#N/A</v>
      </c>
      <c r="FO12" s="5" t="e">
        <f t="shared" ref="FO12" si="321">AU12-DF12</f>
        <v>#N/A</v>
      </c>
      <c r="FP12" s="5" t="e">
        <f t="shared" ref="FP12" si="322">AV12-DG12</f>
        <v>#N/A</v>
      </c>
      <c r="FQ12" s="5" t="e">
        <f t="shared" ref="FQ12" si="323">AW12-DH12</f>
        <v>#N/A</v>
      </c>
      <c r="FR12" s="5" t="e">
        <f t="shared" ref="FR12" si="324">AX12-DI12</f>
        <v>#N/A</v>
      </c>
      <c r="FS12" s="5" t="e">
        <f t="shared" ref="FS12" si="325">AY12-DJ12</f>
        <v>#N/A</v>
      </c>
      <c r="FT12" s="5" t="e">
        <f t="shared" ref="FT12" si="326">AZ12-DK12</f>
        <v>#N/A</v>
      </c>
      <c r="FU12" s="5" t="e">
        <f t="shared" ref="FU12" si="327">BA12-DL12</f>
        <v>#N/A</v>
      </c>
      <c r="FV12" s="5" t="e">
        <f t="shared" ref="FV12" si="328">BB12-DM12</f>
        <v>#N/A</v>
      </c>
      <c r="FW12" s="5" t="e">
        <f t="shared" ref="FW12" si="329">BC12-DN12</f>
        <v>#N/A</v>
      </c>
      <c r="FX12" s="5" t="e">
        <f t="shared" ref="FX12" si="330">BD12-DO12</f>
        <v>#N/A</v>
      </c>
      <c r="FY12" s="5" t="e">
        <f t="shared" ref="FY12" si="331">BE12-DP12</f>
        <v>#N/A</v>
      </c>
      <c r="FZ12" s="5" t="e">
        <f t="shared" ref="FZ12" si="332">BF12-DQ12</f>
        <v>#N/A</v>
      </c>
      <c r="GA12" s="5" t="e">
        <f t="shared" ref="GA12" si="333">BG12-DR12</f>
        <v>#N/A</v>
      </c>
      <c r="GB12" s="5" t="e">
        <f t="shared" ref="GB12" si="334">BH12-DS12</f>
        <v>#N/A</v>
      </c>
      <c r="GC12" s="5" t="e">
        <f t="shared" ref="GC12" si="335">BI12-DT12</f>
        <v>#N/A</v>
      </c>
      <c r="GD12" s="5" t="e">
        <f t="shared" ref="GD12" si="336">BJ12-DU12</f>
        <v>#N/A</v>
      </c>
      <c r="GE12" s="5" t="e">
        <f t="shared" ref="GE12" si="337">BK12-DV12</f>
        <v>#N/A</v>
      </c>
      <c r="GF12" s="5" t="e">
        <f t="shared" ref="GF12" si="338">BL12-DW12</f>
        <v>#N/A</v>
      </c>
      <c r="GG12" s="5" t="e">
        <f t="shared" ref="GG12" si="339">BM12-DX12</f>
        <v>#N/A</v>
      </c>
      <c r="GH12" s="5" t="e">
        <f t="shared" ref="GH12" si="340">BN12-DY12</f>
        <v>#N/A</v>
      </c>
      <c r="GI12" s="5" t="e">
        <f t="shared" ref="GI12" si="341">BO12-DZ12</f>
        <v>#N/A</v>
      </c>
      <c r="GJ12" s="5" t="e">
        <f t="shared" ref="GJ12" si="342">BP12-EA12</f>
        <v>#N/A</v>
      </c>
      <c r="GK12" s="5" t="e">
        <f t="shared" ref="GK12" si="343">BQ12-EB12</f>
        <v>#N/A</v>
      </c>
      <c r="GL12" s="5" t="e">
        <f t="shared" ref="GL12" si="344">BR12-EC12</f>
        <v>#N/A</v>
      </c>
      <c r="GM12" s="5" t="e">
        <f t="shared" ref="GM12" si="345">BS12-ED12</f>
        <v>#N/A</v>
      </c>
      <c r="GN12" s="5" t="e">
        <f t="shared" ref="GN12" si="346">BT12-EE12</f>
        <v>#N/A</v>
      </c>
      <c r="GO12" s="5" t="e">
        <f t="shared" ref="GO12" si="347">BU12-EF12</f>
        <v>#N/A</v>
      </c>
      <c r="GP12" s="5" t="e">
        <f t="shared" ref="GP12" si="348">BV12-EG12</f>
        <v>#N/A</v>
      </c>
      <c r="GQ12" s="5" t="e">
        <f t="shared" ref="GQ12" si="349">BW12-EH12</f>
        <v>#N/A</v>
      </c>
      <c r="GR12" s="5" t="e">
        <f t="shared" ref="GR12" si="350">BX12-EI12</f>
        <v>#N/A</v>
      </c>
      <c r="GS12" s="5" t="e">
        <f t="shared" ref="GS12" si="351">BY12-EJ12</f>
        <v>#N/A</v>
      </c>
      <c r="GT12" s="5" t="e">
        <f t="shared" ref="GT12" si="352">BZ12-EK12</f>
        <v>#N/A</v>
      </c>
      <c r="GU12" s="5" t="e">
        <f t="shared" ref="GU12" si="353">CA12-EL12</f>
        <v>#N/A</v>
      </c>
      <c r="GV12" s="5" t="e">
        <f t="shared" ref="GV12" si="354">CB12-EM12</f>
        <v>#N/A</v>
      </c>
      <c r="GW12" s="5" t="e">
        <f t="shared" ref="GW12" si="355">CC12-EN12</f>
        <v>#N/A</v>
      </c>
      <c r="GX12" s="5" t="e">
        <f t="shared" ref="GX12" si="356">CD12-EO12</f>
        <v>#N/A</v>
      </c>
      <c r="GY12" s="5" t="e">
        <f t="shared" ref="GY12" si="357">CE12-EP12</f>
        <v>#N/A</v>
      </c>
      <c r="GZ12" s="5" t="e">
        <f t="shared" ref="GZ12" si="358">CF12-EQ12</f>
        <v>#N/A</v>
      </c>
      <c r="HA12" s="5" t="e">
        <f t="shared" ref="HA12" si="359">CG12-ER12</f>
        <v>#N/A</v>
      </c>
      <c r="HC12" s="6" t="e">
        <f t="shared" ref="HC12" si="360">V12</f>
        <v>#N/A</v>
      </c>
      <c r="HD12" s="5" t="e">
        <f t="shared" ref="HD12" si="361">V12-ET12</f>
        <v>#N/A</v>
      </c>
      <c r="HE12" s="5" t="e">
        <f t="shared" ref="HE12" si="362">HD12-EU12</f>
        <v>#N/A</v>
      </c>
      <c r="HF12" s="5" t="e">
        <f t="shared" ref="HF12" si="363">HE12-EV12</f>
        <v>#N/A</v>
      </c>
      <c r="HG12" s="5" t="e">
        <f t="shared" ref="HG12" si="364">HF12-EW12</f>
        <v>#N/A</v>
      </c>
      <c r="HH12" s="5" t="e">
        <f t="shared" ref="HH12" si="365">HG12-EX12</f>
        <v>#N/A</v>
      </c>
      <c r="HI12" s="5" t="e">
        <f t="shared" ref="HI12" si="366">HH12-EY12</f>
        <v>#N/A</v>
      </c>
      <c r="HJ12" s="5" t="e">
        <f t="shared" ref="HJ12" si="367">HI12-EZ12</f>
        <v>#N/A</v>
      </c>
      <c r="HK12" s="5" t="e">
        <f t="shared" ref="HK12" si="368">HJ12-FA12</f>
        <v>#N/A</v>
      </c>
      <c r="HL12" s="5" t="e">
        <f t="shared" ref="HL12" si="369">HK12-FB12</f>
        <v>#N/A</v>
      </c>
      <c r="HM12" s="5" t="e">
        <f t="shared" ref="HM12" si="370">HL12-FC12</f>
        <v>#N/A</v>
      </c>
      <c r="HN12" s="5" t="e">
        <f t="shared" ref="HN12" si="371">HM12-FD12</f>
        <v>#N/A</v>
      </c>
      <c r="HO12" s="5" t="e">
        <f t="shared" ref="HO12" si="372">HN12-FE12</f>
        <v>#N/A</v>
      </c>
      <c r="HP12" s="5" t="e">
        <f t="shared" ref="HP12" si="373">HO12-FF12</f>
        <v>#N/A</v>
      </c>
      <c r="HQ12" s="5" t="e">
        <f t="shared" ref="HQ12" si="374">HP12-FG12</f>
        <v>#N/A</v>
      </c>
      <c r="HR12" s="5" t="e">
        <f t="shared" ref="HR12" si="375">HQ12-FH12</f>
        <v>#N/A</v>
      </c>
      <c r="HS12" s="5" t="e">
        <f t="shared" ref="HS12" si="376">HR12-FI12</f>
        <v>#N/A</v>
      </c>
      <c r="HT12" s="5" t="e">
        <f t="shared" ref="HT12" si="377">HS12-FJ12</f>
        <v>#N/A</v>
      </c>
      <c r="HU12" s="5" t="e">
        <f t="shared" ref="HU12" si="378">HT12-FK12</f>
        <v>#N/A</v>
      </c>
      <c r="HV12" s="5" t="e">
        <f t="shared" ref="HV12" si="379">HU12-FL12</f>
        <v>#N/A</v>
      </c>
      <c r="HW12" s="5" t="e">
        <f t="shared" ref="HW12" si="380">HV12-FM12</f>
        <v>#N/A</v>
      </c>
      <c r="HX12" s="5" t="e">
        <f t="shared" ref="HX12" si="381">HW12-FN12</f>
        <v>#N/A</v>
      </c>
      <c r="HY12" s="5" t="e">
        <f t="shared" ref="HY12" si="382">HX12-FO12</f>
        <v>#N/A</v>
      </c>
      <c r="HZ12" s="5" t="e">
        <f t="shared" ref="HZ12" si="383">HY12-FP12</f>
        <v>#N/A</v>
      </c>
      <c r="IA12" s="5" t="e">
        <f t="shared" ref="IA12" si="384">HZ12-FQ12</f>
        <v>#N/A</v>
      </c>
      <c r="IB12" s="5" t="e">
        <f t="shared" ref="IB12" si="385">IA12-FR12</f>
        <v>#N/A</v>
      </c>
      <c r="IC12" s="5" t="e">
        <f t="shared" ref="IC12" si="386">IB12-FS12</f>
        <v>#N/A</v>
      </c>
      <c r="ID12" s="5" t="e">
        <f t="shared" ref="ID12" si="387">IC12-FT12</f>
        <v>#N/A</v>
      </c>
      <c r="IE12" s="5" t="e">
        <f t="shared" ref="IE12" si="388">ID12-FU12</f>
        <v>#N/A</v>
      </c>
      <c r="IF12" s="5" t="e">
        <f t="shared" ref="IF12" si="389">IE12-FV12</f>
        <v>#N/A</v>
      </c>
      <c r="IG12" s="5" t="e">
        <f t="shared" ref="IG12" si="390">IF12-FW12</f>
        <v>#N/A</v>
      </c>
      <c r="IH12" s="5" t="e">
        <f t="shared" ref="IH12" si="391">IG12-FX12</f>
        <v>#N/A</v>
      </c>
      <c r="II12" s="5" t="e">
        <f t="shared" ref="II12" si="392">IH12-FY12</f>
        <v>#N/A</v>
      </c>
      <c r="IJ12" s="5" t="e">
        <f t="shared" ref="IJ12" si="393">II12-FZ12</f>
        <v>#N/A</v>
      </c>
      <c r="IK12" s="5" t="e">
        <f t="shared" ref="IK12" si="394">IJ12-GA12</f>
        <v>#N/A</v>
      </c>
      <c r="IL12" s="5" t="e">
        <f t="shared" ref="IL12" si="395">IK12-GB12</f>
        <v>#N/A</v>
      </c>
      <c r="IM12" s="5" t="e">
        <f t="shared" ref="IM12" si="396">IL12-GC12</f>
        <v>#N/A</v>
      </c>
      <c r="IN12" s="5" t="e">
        <f t="shared" ref="IN12" si="397">IM12-GD12</f>
        <v>#N/A</v>
      </c>
      <c r="IO12" s="5" t="e">
        <f t="shared" ref="IO12" si="398">IN12-GE12</f>
        <v>#N/A</v>
      </c>
      <c r="IP12" s="5" t="e">
        <f t="shared" ref="IP12" si="399">IO12-GF12</f>
        <v>#N/A</v>
      </c>
      <c r="IQ12" s="5" t="e">
        <f t="shared" ref="IQ12" si="400">IP12-GG12</f>
        <v>#N/A</v>
      </c>
      <c r="IR12" s="5" t="e">
        <f t="shared" ref="IR12" si="401">IQ12-GH12</f>
        <v>#N/A</v>
      </c>
      <c r="IS12" s="5" t="e">
        <f t="shared" ref="IS12" si="402">IR12-GI12</f>
        <v>#N/A</v>
      </c>
      <c r="IT12" s="5" t="e">
        <f t="shared" ref="IT12" si="403">IS12-GJ12</f>
        <v>#N/A</v>
      </c>
      <c r="IU12" s="5" t="e">
        <f t="shared" ref="IU12" si="404">IT12-GK12</f>
        <v>#N/A</v>
      </c>
      <c r="IV12" s="5" t="e">
        <f t="shared" ref="IV12" si="405">IU12-GL12</f>
        <v>#N/A</v>
      </c>
      <c r="IW12" s="5" t="e">
        <f t="shared" ref="IW12" si="406">IV12-GM12</f>
        <v>#N/A</v>
      </c>
      <c r="IX12" s="5" t="e">
        <f t="shared" ref="IX12" si="407">IW12-GN12</f>
        <v>#N/A</v>
      </c>
      <c r="IY12" s="5" t="e">
        <f t="shared" ref="IY12" si="408">IX12-GO12</f>
        <v>#N/A</v>
      </c>
      <c r="IZ12" s="5" t="e">
        <f t="shared" ref="IZ12" si="409">IY12-GP12</f>
        <v>#N/A</v>
      </c>
      <c r="JA12" s="5" t="e">
        <f t="shared" ref="JA12" si="410">IZ12-GQ12</f>
        <v>#N/A</v>
      </c>
      <c r="JB12" s="5" t="e">
        <f t="shared" ref="JB12" si="411">JA12-GR12</f>
        <v>#N/A</v>
      </c>
      <c r="JC12" s="5" t="e">
        <f t="shared" ref="JC12" si="412">JB12-GS12</f>
        <v>#N/A</v>
      </c>
      <c r="JD12" s="5" t="e">
        <f t="shared" ref="JD12" si="413">JC12-GT12</f>
        <v>#N/A</v>
      </c>
      <c r="JE12" s="5" t="e">
        <f t="shared" ref="JE12" si="414">JD12-GU12</f>
        <v>#N/A</v>
      </c>
      <c r="JF12" s="5" t="e">
        <f t="shared" ref="JF12" si="415">JE12-GV12</f>
        <v>#N/A</v>
      </c>
      <c r="JG12" s="5" t="e">
        <f t="shared" ref="JG12" si="416">JF12-GW12</f>
        <v>#N/A</v>
      </c>
      <c r="JH12" s="5" t="e">
        <f t="shared" ref="JH12" si="417">JG12-GX12</f>
        <v>#N/A</v>
      </c>
      <c r="JI12" s="5" t="e">
        <f t="shared" ref="JI12" si="418">JH12-GY12</f>
        <v>#N/A</v>
      </c>
      <c r="JJ12" s="5" t="e">
        <f t="shared" ref="JJ12" si="419">JI12-GZ12</f>
        <v>#N/A</v>
      </c>
      <c r="JK12" s="5" t="e">
        <f t="shared" ref="JK12" si="420">JJ12-HA12</f>
        <v>#N/A</v>
      </c>
      <c r="JM12" s="19" t="e">
        <f t="shared" ref="JM12" si="421">KC12</f>
        <v>#N/A</v>
      </c>
      <c r="JN12" s="1">
        <v>10</v>
      </c>
      <c r="JO12" s="5" t="e">
        <f>HLOOKUP(JM12,HC$2:JK12,2+JN11,0)-IF(KE12&gt;0,KE12,0)</f>
        <v>#N/A</v>
      </c>
      <c r="JP12" s="5" t="e">
        <f t="shared" ref="JP12" si="422">JO12*($X12/360)</f>
        <v>#N/A</v>
      </c>
      <c r="JQ12" s="17"/>
      <c r="JR12" s="17"/>
      <c r="JS12" s="6">
        <f t="shared" ref="JS12" si="423">JR12-JQ12</f>
        <v>0</v>
      </c>
      <c r="JT12" s="5" t="e">
        <f t="shared" ref="JT12" si="424">(JS12)*JP12</f>
        <v>#N/A</v>
      </c>
      <c r="JU12" s="13">
        <f t="shared" ca="1" si="22"/>
        <v>46161</v>
      </c>
      <c r="JV12" s="6" t="e">
        <f t="shared" ref="JV12" si="425">JT12+JO12</f>
        <v>#N/A</v>
      </c>
      <c r="JW12" s="6"/>
      <c r="JX12" s="6"/>
      <c r="JY12" s="6">
        <f t="shared" ref="JY12" si="426">JX12-JW12</f>
        <v>0</v>
      </c>
      <c r="JZ12" s="10" t="e">
        <f t="shared" ref="JZ12" si="427">JY12/U12</f>
        <v>#N/A</v>
      </c>
      <c r="KA12" s="10" t="e">
        <f t="shared" ref="KA12" si="428">JZ12-J12</f>
        <v>#N/A</v>
      </c>
      <c r="KB12" s="10" t="e">
        <f t="shared" ref="KB12" si="429">ROUNDDOWN(JZ12,0)</f>
        <v>#N/A</v>
      </c>
      <c r="KC12" s="10" t="e">
        <f t="shared" ref="KC12" si="430">KB12-J12</f>
        <v>#N/A</v>
      </c>
      <c r="KD12" s="5" t="e">
        <f t="shared" ref="KD12" si="431">KB12*U12</f>
        <v>#N/A</v>
      </c>
      <c r="KE12" s="6" t="e">
        <f t="shared" ref="KE12" si="432">JY12-KD12</f>
        <v>#N/A</v>
      </c>
      <c r="KG12" s="26"/>
    </row>
    <row r="13" spans="1:297" x14ac:dyDescent="0.3">
      <c r="B13" s="14"/>
      <c r="C13" s="1" t="e">
        <f>VLOOKUP(B13,DD!A:B,2,0)</f>
        <v>#N/A</v>
      </c>
      <c r="D13" s="1" t="e">
        <f>VLOOKUP(B13,DD!A:K,11,0)</f>
        <v>#N/A</v>
      </c>
      <c r="E13" s="1" t="e">
        <f>VLOOKUP(B13,DD!A:L,12,0)</f>
        <v>#N/A</v>
      </c>
      <c r="F13" s="17" t="e">
        <f>VLOOKUP(B13,DD!A:D,4,0)</f>
        <v>#N/A</v>
      </c>
      <c r="G13" s="9">
        <v>1</v>
      </c>
      <c r="H13" s="3" t="e">
        <f>VLOOKUP(B13,DD!A:E,5,0)</f>
        <v>#N/A</v>
      </c>
      <c r="I13" s="3" t="e">
        <f t="shared" ref="I13" si="433">H13-J13</f>
        <v>#N/A</v>
      </c>
      <c r="J13" s="3" t="e">
        <f>VLOOKUP(B13,DD!A:F,6,0)</f>
        <v>#N/A</v>
      </c>
      <c r="K13" s="3" t="e">
        <f>VLOOKUP(B13,DD!A:H,8,0)</f>
        <v>#N/A</v>
      </c>
      <c r="L13" s="3" t="e">
        <f>VLOOKUP(B13,DD!A:I,9,0)</f>
        <v>#N/A</v>
      </c>
      <c r="M13" s="3" t="e">
        <f>VLOOKUP(B13,DD!A:J,10,0)</f>
        <v>#N/A</v>
      </c>
      <c r="N13" s="3" t="s">
        <v>8</v>
      </c>
      <c r="O13" s="3" t="s">
        <v>9</v>
      </c>
      <c r="P13" s="4" t="e">
        <f>VLOOKUP(B13,DD!A:C,3,0)</f>
        <v>#N/A</v>
      </c>
      <c r="Q13" s="5" t="e">
        <f t="shared" ref="Q13" si="434">K13/100*P13</f>
        <v>#N/A</v>
      </c>
      <c r="R13" s="5" t="e">
        <f t="shared" ref="R13" si="435">L13/100*P13</f>
        <v>#N/A</v>
      </c>
      <c r="S13" s="5" t="e">
        <f t="shared" ref="S13" si="436">M13/100*(P13-Q13)</f>
        <v>#N/A</v>
      </c>
      <c r="T13" s="6" t="e">
        <f t="shared" ref="T13" si="437">Q13+R13</f>
        <v>#N/A</v>
      </c>
      <c r="U13" s="5" t="e">
        <f t="shared" ref="U13" si="438">(P13/H13)+(R13/H13)</f>
        <v>#N/A</v>
      </c>
      <c r="V13" s="6" t="e">
        <f t="shared" ref="V13" si="439">P13-Q13-S13-W13</f>
        <v>#N/A</v>
      </c>
      <c r="W13" s="7" t="e">
        <f t="shared" ref="W13" si="440">IF(J13&gt;=1,U13*J13,0)</f>
        <v>#N/A</v>
      </c>
      <c r="X13" s="8" t="e">
        <f t="shared" si="8"/>
        <v>#VALUE!</v>
      </c>
      <c r="Y13" s="6" t="e">
        <f t="shared" ref="Y13" si="441">-V13</f>
        <v>#N/A</v>
      </c>
      <c r="Z13" s="7" t="e">
        <f t="shared" si="227"/>
        <v>#N/A</v>
      </c>
      <c r="AA13" s="7" t="e">
        <f t="shared" si="227"/>
        <v>#N/A</v>
      </c>
      <c r="AB13" s="7" t="e">
        <f t="shared" si="227"/>
        <v>#N/A</v>
      </c>
      <c r="AC13" s="7" t="e">
        <f t="shared" si="227"/>
        <v>#N/A</v>
      </c>
      <c r="AD13" s="7" t="e">
        <f t="shared" si="227"/>
        <v>#N/A</v>
      </c>
      <c r="AE13" s="7" t="e">
        <f t="shared" si="227"/>
        <v>#N/A</v>
      </c>
      <c r="AF13" s="7" t="e">
        <f t="shared" si="227"/>
        <v>#N/A</v>
      </c>
      <c r="AG13" s="7" t="e">
        <f t="shared" si="227"/>
        <v>#N/A</v>
      </c>
      <c r="AH13" s="7" t="e">
        <f t="shared" si="227"/>
        <v>#N/A</v>
      </c>
      <c r="AI13" s="7" t="e">
        <f t="shared" si="227"/>
        <v>#N/A</v>
      </c>
      <c r="AJ13" s="7" t="e">
        <f t="shared" si="227"/>
        <v>#N/A</v>
      </c>
      <c r="AK13" s="7" t="e">
        <f t="shared" si="227"/>
        <v>#N/A</v>
      </c>
      <c r="AL13" s="7" t="e">
        <f t="shared" si="227"/>
        <v>#N/A</v>
      </c>
      <c r="AM13" s="7" t="e">
        <f t="shared" si="227"/>
        <v>#N/A</v>
      </c>
      <c r="AN13" s="7" t="e">
        <f t="shared" si="227"/>
        <v>#N/A</v>
      </c>
      <c r="AO13" s="7" t="e">
        <f t="shared" si="227"/>
        <v>#N/A</v>
      </c>
      <c r="AP13" s="7" t="e">
        <f t="shared" si="227"/>
        <v>#N/A</v>
      </c>
      <c r="AQ13" s="7" t="e">
        <f t="shared" si="227"/>
        <v>#N/A</v>
      </c>
      <c r="AR13" s="7" t="e">
        <f t="shared" si="227"/>
        <v>#N/A</v>
      </c>
      <c r="AS13" s="7" t="e">
        <f t="shared" si="227"/>
        <v>#N/A</v>
      </c>
      <c r="AT13" s="7" t="e">
        <f t="shared" si="227"/>
        <v>#N/A</v>
      </c>
      <c r="AU13" s="7" t="e">
        <f t="shared" si="227"/>
        <v>#N/A</v>
      </c>
      <c r="AV13" s="7" t="e">
        <f t="shared" si="227"/>
        <v>#N/A</v>
      </c>
      <c r="AW13" s="7" t="e">
        <f t="shared" si="227"/>
        <v>#N/A</v>
      </c>
      <c r="AX13" s="7" t="e">
        <f t="shared" si="227"/>
        <v>#N/A</v>
      </c>
      <c r="AY13" s="7" t="e">
        <f t="shared" si="227"/>
        <v>#N/A</v>
      </c>
      <c r="AZ13" s="7" t="e">
        <f t="shared" si="227"/>
        <v>#N/A</v>
      </c>
      <c r="BA13" s="7" t="e">
        <f t="shared" si="227"/>
        <v>#N/A</v>
      </c>
      <c r="BB13" s="7" t="e">
        <f t="shared" si="227"/>
        <v>#N/A</v>
      </c>
      <c r="BC13" s="7" t="e">
        <f t="shared" si="227"/>
        <v>#N/A</v>
      </c>
      <c r="BD13" s="7" t="e">
        <f t="shared" si="227"/>
        <v>#N/A</v>
      </c>
      <c r="BE13" s="7" t="e">
        <f t="shared" si="227"/>
        <v>#N/A</v>
      </c>
      <c r="BF13" s="7" t="e">
        <f t="shared" ref="BF13:BH22" si="442">IF($I13&gt;=BF$2,$U13,0)-IF($I13=BF$2,$S13)-IF($S13&gt;1,$S13,0)+$S13</f>
        <v>#N/A</v>
      </c>
      <c r="BG13" s="7" t="e">
        <f t="shared" si="442"/>
        <v>#N/A</v>
      </c>
      <c r="BH13" s="7" t="e">
        <f t="shared" si="442"/>
        <v>#N/A</v>
      </c>
      <c r="BI13" s="7" t="e">
        <f t="shared" si="237"/>
        <v>#N/A</v>
      </c>
      <c r="BJ13" s="7" t="e">
        <f t="shared" si="237"/>
        <v>#N/A</v>
      </c>
      <c r="BK13" s="7" t="e">
        <f t="shared" si="237"/>
        <v>#N/A</v>
      </c>
      <c r="BL13" s="7" t="e">
        <f t="shared" si="237"/>
        <v>#N/A</v>
      </c>
      <c r="BM13" s="7" t="e">
        <f t="shared" si="237"/>
        <v>#N/A</v>
      </c>
      <c r="BN13" s="7" t="e">
        <f t="shared" si="237"/>
        <v>#N/A</v>
      </c>
      <c r="BO13" s="7" t="e">
        <f t="shared" si="237"/>
        <v>#N/A</v>
      </c>
      <c r="BP13" s="7" t="e">
        <f t="shared" si="237"/>
        <v>#N/A</v>
      </c>
      <c r="BQ13" s="7" t="e">
        <f t="shared" si="237"/>
        <v>#N/A</v>
      </c>
      <c r="BR13" s="7" t="e">
        <f t="shared" si="237"/>
        <v>#N/A</v>
      </c>
      <c r="BS13" s="7" t="e">
        <f t="shared" si="237"/>
        <v>#N/A</v>
      </c>
      <c r="BT13" s="7" t="e">
        <f t="shared" si="237"/>
        <v>#N/A</v>
      </c>
      <c r="BU13" s="7" t="e">
        <f t="shared" si="237"/>
        <v>#N/A</v>
      </c>
      <c r="BV13" s="7" t="e">
        <f t="shared" si="237"/>
        <v>#N/A</v>
      </c>
      <c r="BW13" s="7" t="e">
        <f t="shared" si="237"/>
        <v>#N/A</v>
      </c>
      <c r="BX13" s="7" t="e">
        <f t="shared" si="237"/>
        <v>#N/A</v>
      </c>
      <c r="BY13" s="7" t="e">
        <f t="shared" si="237"/>
        <v>#N/A</v>
      </c>
      <c r="BZ13" s="7" t="e">
        <f t="shared" si="237"/>
        <v>#N/A</v>
      </c>
      <c r="CA13" s="7" t="e">
        <f t="shared" si="237"/>
        <v>#N/A</v>
      </c>
      <c r="CB13" s="7" t="e">
        <f t="shared" si="237"/>
        <v>#N/A</v>
      </c>
      <c r="CC13" s="7" t="e">
        <f t="shared" si="237"/>
        <v>#N/A</v>
      </c>
      <c r="CD13" s="7" t="e">
        <f t="shared" si="237"/>
        <v>#N/A</v>
      </c>
      <c r="CE13" s="7" t="e">
        <f t="shared" si="237"/>
        <v>#N/A</v>
      </c>
      <c r="CF13" s="7" t="e">
        <f t="shared" si="237"/>
        <v>#N/A</v>
      </c>
      <c r="CG13" s="7" t="e">
        <f t="shared" si="237"/>
        <v>#N/A</v>
      </c>
      <c r="CH13" s="6" t="e">
        <f t="shared" ref="CH13" si="443">SUM(Y13:CG13)</f>
        <v>#N/A</v>
      </c>
      <c r="CI13" s="5" t="e">
        <f t="shared" ref="CI13" si="444">CH13-T13</f>
        <v>#N/A</v>
      </c>
      <c r="CK13" s="5" t="e">
        <f t="shared" ref="CK13" si="445">V13*($X13/12)</f>
        <v>#N/A</v>
      </c>
      <c r="CL13" s="5" t="e">
        <f t="shared" ref="CL13" si="446">HD13*($X13/12)</f>
        <v>#N/A</v>
      </c>
      <c r="CM13" s="5" t="e">
        <f t="shared" ref="CM13" si="447">HE13*($X13/12)</f>
        <v>#N/A</v>
      </c>
      <c r="CN13" s="5" t="e">
        <f t="shared" ref="CN13" si="448">HF13*($X13/12)</f>
        <v>#N/A</v>
      </c>
      <c r="CO13" s="5" t="e">
        <f t="shared" ref="CO13" si="449">HG13*($X13/12)</f>
        <v>#N/A</v>
      </c>
      <c r="CP13" s="5" t="e">
        <f t="shared" ref="CP13" si="450">HH13*($X13/12)</f>
        <v>#N/A</v>
      </c>
      <c r="CQ13" s="5" t="e">
        <f t="shared" ref="CQ13" si="451">HI13*($X13/12)</f>
        <v>#N/A</v>
      </c>
      <c r="CR13" s="5" t="e">
        <f t="shared" ref="CR13" si="452">HJ13*($X13/12)</f>
        <v>#N/A</v>
      </c>
      <c r="CS13" s="5" t="e">
        <f t="shared" ref="CS13" si="453">HK13*($X13/12)</f>
        <v>#N/A</v>
      </c>
      <c r="CT13" s="5" t="e">
        <f t="shared" ref="CT13" si="454">HL13*($X13/12)</f>
        <v>#N/A</v>
      </c>
      <c r="CU13" s="5" t="e">
        <f t="shared" ref="CU13" si="455">HM13*($X13/12)</f>
        <v>#N/A</v>
      </c>
      <c r="CV13" s="5" t="e">
        <f t="shared" ref="CV13" si="456">HN13*($X13/12)</f>
        <v>#N/A</v>
      </c>
      <c r="CW13" s="5" t="e">
        <f t="shared" ref="CW13" si="457">HO13*($X13/12)</f>
        <v>#N/A</v>
      </c>
      <c r="CX13" s="5" t="e">
        <f t="shared" ref="CX13" si="458">HP13*($X13/12)</f>
        <v>#N/A</v>
      </c>
      <c r="CY13" s="5" t="e">
        <f t="shared" ref="CY13" si="459">HQ13*($X13/12)</f>
        <v>#N/A</v>
      </c>
      <c r="CZ13" s="5" t="e">
        <f t="shared" ref="CZ13" si="460">HR13*($X13/12)</f>
        <v>#N/A</v>
      </c>
      <c r="DA13" s="5" t="e">
        <f t="shared" ref="DA13" si="461">HS13*($X13/12)</f>
        <v>#N/A</v>
      </c>
      <c r="DB13" s="5" t="e">
        <f t="shared" ref="DB13" si="462">HT13*($X13/12)</f>
        <v>#N/A</v>
      </c>
      <c r="DC13" s="5" t="e">
        <f t="shared" ref="DC13" si="463">HU13*($X13/12)</f>
        <v>#N/A</v>
      </c>
      <c r="DD13" s="5" t="e">
        <f t="shared" ref="DD13" si="464">HV13*($X13/12)</f>
        <v>#N/A</v>
      </c>
      <c r="DE13" s="5" t="e">
        <f t="shared" ref="DE13" si="465">HW13*($X13/12)</f>
        <v>#N/A</v>
      </c>
      <c r="DF13" s="5" t="e">
        <f t="shared" ref="DF13" si="466">HX13*($X13/12)</f>
        <v>#N/A</v>
      </c>
      <c r="DG13" s="5" t="e">
        <f t="shared" ref="DG13" si="467">HY13*($X13/12)</f>
        <v>#N/A</v>
      </c>
      <c r="DH13" s="5" t="e">
        <f t="shared" ref="DH13" si="468">HZ13*($X13/12)</f>
        <v>#N/A</v>
      </c>
      <c r="DI13" s="5" t="e">
        <f t="shared" ref="DI13" si="469">IA13*($X13/12)</f>
        <v>#N/A</v>
      </c>
      <c r="DJ13" s="5" t="e">
        <f t="shared" ref="DJ13" si="470">IB13*($X13/12)</f>
        <v>#N/A</v>
      </c>
      <c r="DK13" s="5" t="e">
        <f t="shared" ref="DK13" si="471">IC13*($X13/12)</f>
        <v>#N/A</v>
      </c>
      <c r="DL13" s="5" t="e">
        <f t="shared" ref="DL13" si="472">ID13*($X13/12)</f>
        <v>#N/A</v>
      </c>
      <c r="DM13" s="5" t="e">
        <f t="shared" ref="DM13" si="473">IE13*($X13/12)</f>
        <v>#N/A</v>
      </c>
      <c r="DN13" s="5" t="e">
        <f t="shared" ref="DN13" si="474">IF13*($X13/12)</f>
        <v>#N/A</v>
      </c>
      <c r="DO13" s="5" t="e">
        <f t="shared" ref="DO13" si="475">IG13*($X13/12)</f>
        <v>#N/A</v>
      </c>
      <c r="DP13" s="5" t="e">
        <f t="shared" ref="DP13" si="476">IH13*($X13/12)</f>
        <v>#N/A</v>
      </c>
      <c r="DQ13" s="5" t="e">
        <f t="shared" ref="DQ13" si="477">II13*($X13/12)</f>
        <v>#N/A</v>
      </c>
      <c r="DR13" s="5" t="e">
        <f t="shared" ref="DR13" si="478">IJ13*($X13/12)</f>
        <v>#N/A</v>
      </c>
      <c r="DS13" s="5" t="e">
        <f t="shared" ref="DS13" si="479">IK13*($X13/12)</f>
        <v>#N/A</v>
      </c>
      <c r="DT13" s="5" t="e">
        <f t="shared" ref="DT13" si="480">IL13*($X13/12)</f>
        <v>#N/A</v>
      </c>
      <c r="DU13" s="5" t="e">
        <f t="shared" ref="DU13" si="481">IM13*($X13/12)</f>
        <v>#N/A</v>
      </c>
      <c r="DV13" s="5" t="e">
        <f t="shared" ref="DV13" si="482">IN13*($X13/12)</f>
        <v>#N/A</v>
      </c>
      <c r="DW13" s="5" t="e">
        <f t="shared" ref="DW13" si="483">IO13*($X13/12)</f>
        <v>#N/A</v>
      </c>
      <c r="DX13" s="5" t="e">
        <f t="shared" ref="DX13" si="484">IP13*($X13/12)</f>
        <v>#N/A</v>
      </c>
      <c r="DY13" s="5" t="e">
        <f t="shared" ref="DY13" si="485">IQ13*($X13/12)</f>
        <v>#N/A</v>
      </c>
      <c r="DZ13" s="5" t="e">
        <f t="shared" ref="DZ13" si="486">IR13*($X13/12)</f>
        <v>#N/A</v>
      </c>
      <c r="EA13" s="5" t="e">
        <f t="shared" ref="EA13" si="487">IS13*($X13/12)</f>
        <v>#N/A</v>
      </c>
      <c r="EB13" s="5" t="e">
        <f t="shared" ref="EB13" si="488">IT13*($X13/12)</f>
        <v>#N/A</v>
      </c>
      <c r="EC13" s="5" t="e">
        <f t="shared" ref="EC13" si="489">IU13*($X13/12)</f>
        <v>#N/A</v>
      </c>
      <c r="ED13" s="5" t="e">
        <f t="shared" ref="ED13" si="490">IV13*($X13/12)</f>
        <v>#N/A</v>
      </c>
      <c r="EE13" s="5" t="e">
        <f t="shared" ref="EE13" si="491">IW13*($X13/12)</f>
        <v>#N/A</v>
      </c>
      <c r="EF13" s="5" t="e">
        <f t="shared" ref="EF13" si="492">IX13*($X13/12)</f>
        <v>#N/A</v>
      </c>
      <c r="EG13" s="5" t="e">
        <f t="shared" ref="EG13" si="493">IY13*($X13/12)</f>
        <v>#N/A</v>
      </c>
      <c r="EH13" s="5" t="e">
        <f t="shared" ref="EH13" si="494">IZ13*($X13/12)</f>
        <v>#N/A</v>
      </c>
      <c r="EI13" s="5" t="e">
        <f t="shared" ref="EI13" si="495">JA13*($X13/12)</f>
        <v>#N/A</v>
      </c>
      <c r="EJ13" s="5" t="e">
        <f t="shared" ref="EJ13" si="496">JB13*($X13/12)</f>
        <v>#N/A</v>
      </c>
      <c r="EK13" s="5" t="e">
        <f t="shared" ref="EK13" si="497">JC13*($X13/12)</f>
        <v>#N/A</v>
      </c>
      <c r="EL13" s="5" t="e">
        <f t="shared" ref="EL13" si="498">JD13*($X13/12)</f>
        <v>#N/A</v>
      </c>
      <c r="EM13" s="5" t="e">
        <f t="shared" ref="EM13" si="499">JE13*($X13/12)</f>
        <v>#N/A</v>
      </c>
      <c r="EN13" s="5" t="e">
        <f t="shared" ref="EN13" si="500">JF13*($X13/12)</f>
        <v>#N/A</v>
      </c>
      <c r="EO13" s="5" t="e">
        <f t="shared" ref="EO13" si="501">JG13*($X13/12)</f>
        <v>#N/A</v>
      </c>
      <c r="EP13" s="5" t="e">
        <f t="shared" ref="EP13" si="502">JH13*($X13/12)</f>
        <v>#N/A</v>
      </c>
      <c r="EQ13" s="5" t="e">
        <f t="shared" ref="EQ13" si="503">JI13*($X13/12)</f>
        <v>#N/A</v>
      </c>
      <c r="ER13" s="5" t="e">
        <f t="shared" ref="ER13" si="504">JJ13*($X13/12)</f>
        <v>#N/A</v>
      </c>
      <c r="ET13" s="5" t="e">
        <f t="shared" ref="ET13" si="505">Z13-CK13</f>
        <v>#N/A</v>
      </c>
      <c r="EU13" s="5" t="e">
        <f t="shared" ref="EU13" si="506">AA13-CL13</f>
        <v>#N/A</v>
      </c>
      <c r="EV13" s="5" t="e">
        <f t="shared" ref="EV13" si="507">AB13-CM13</f>
        <v>#N/A</v>
      </c>
      <c r="EW13" s="5" t="e">
        <f t="shared" ref="EW13" si="508">AC13-CN13</f>
        <v>#N/A</v>
      </c>
      <c r="EX13" s="5" t="e">
        <f t="shared" ref="EX13" si="509">AD13-CO13</f>
        <v>#N/A</v>
      </c>
      <c r="EY13" s="5" t="e">
        <f t="shared" ref="EY13" si="510">AE13-CP13</f>
        <v>#N/A</v>
      </c>
      <c r="EZ13" s="5" t="e">
        <f t="shared" ref="EZ13" si="511">AF13-CQ13</f>
        <v>#N/A</v>
      </c>
      <c r="FA13" s="5" t="e">
        <f t="shared" ref="FA13" si="512">AG13-CR13</f>
        <v>#N/A</v>
      </c>
      <c r="FB13" s="5" t="e">
        <f t="shared" ref="FB13" si="513">AH13-CS13</f>
        <v>#N/A</v>
      </c>
      <c r="FC13" s="5" t="e">
        <f t="shared" ref="FC13" si="514">AI13-CT13</f>
        <v>#N/A</v>
      </c>
      <c r="FD13" s="5" t="e">
        <f t="shared" ref="FD13" si="515">AJ13-CU13</f>
        <v>#N/A</v>
      </c>
      <c r="FE13" s="5" t="e">
        <f t="shared" ref="FE13" si="516">AK13-CV13</f>
        <v>#N/A</v>
      </c>
      <c r="FF13" s="5" t="e">
        <f t="shared" ref="FF13" si="517">AL13-CW13</f>
        <v>#N/A</v>
      </c>
      <c r="FG13" s="5" t="e">
        <f t="shared" ref="FG13" si="518">AM13-CX13</f>
        <v>#N/A</v>
      </c>
      <c r="FH13" s="5" t="e">
        <f t="shared" ref="FH13" si="519">AN13-CY13</f>
        <v>#N/A</v>
      </c>
      <c r="FI13" s="5" t="e">
        <f t="shared" ref="FI13" si="520">AO13-CZ13</f>
        <v>#N/A</v>
      </c>
      <c r="FJ13" s="5" t="e">
        <f t="shared" ref="FJ13" si="521">AP13-DA13</f>
        <v>#N/A</v>
      </c>
      <c r="FK13" s="5" t="e">
        <f t="shared" ref="FK13" si="522">AQ13-DB13</f>
        <v>#N/A</v>
      </c>
      <c r="FL13" s="5" t="e">
        <f t="shared" ref="FL13" si="523">AR13-DC13</f>
        <v>#N/A</v>
      </c>
      <c r="FM13" s="5" t="e">
        <f t="shared" ref="FM13" si="524">AS13-DD13</f>
        <v>#N/A</v>
      </c>
      <c r="FN13" s="5" t="e">
        <f t="shared" ref="FN13" si="525">AT13-DE13</f>
        <v>#N/A</v>
      </c>
      <c r="FO13" s="5" t="e">
        <f t="shared" ref="FO13" si="526">AU13-DF13</f>
        <v>#N/A</v>
      </c>
      <c r="FP13" s="5" t="e">
        <f t="shared" ref="FP13" si="527">AV13-DG13</f>
        <v>#N/A</v>
      </c>
      <c r="FQ13" s="5" t="e">
        <f t="shared" ref="FQ13" si="528">AW13-DH13</f>
        <v>#N/A</v>
      </c>
      <c r="FR13" s="5" t="e">
        <f t="shared" ref="FR13" si="529">AX13-DI13</f>
        <v>#N/A</v>
      </c>
      <c r="FS13" s="5" t="e">
        <f t="shared" ref="FS13" si="530">AY13-DJ13</f>
        <v>#N/A</v>
      </c>
      <c r="FT13" s="5" t="e">
        <f t="shared" ref="FT13" si="531">AZ13-DK13</f>
        <v>#N/A</v>
      </c>
      <c r="FU13" s="5" t="e">
        <f t="shared" ref="FU13" si="532">BA13-DL13</f>
        <v>#N/A</v>
      </c>
      <c r="FV13" s="5" t="e">
        <f t="shared" ref="FV13" si="533">BB13-DM13</f>
        <v>#N/A</v>
      </c>
      <c r="FW13" s="5" t="e">
        <f t="shared" ref="FW13" si="534">BC13-DN13</f>
        <v>#N/A</v>
      </c>
      <c r="FX13" s="5" t="e">
        <f t="shared" ref="FX13" si="535">BD13-DO13</f>
        <v>#N/A</v>
      </c>
      <c r="FY13" s="5" t="e">
        <f t="shared" ref="FY13" si="536">BE13-DP13</f>
        <v>#N/A</v>
      </c>
      <c r="FZ13" s="5" t="e">
        <f t="shared" ref="FZ13" si="537">BF13-DQ13</f>
        <v>#N/A</v>
      </c>
      <c r="GA13" s="5" t="e">
        <f t="shared" ref="GA13" si="538">BG13-DR13</f>
        <v>#N/A</v>
      </c>
      <c r="GB13" s="5" t="e">
        <f t="shared" ref="GB13" si="539">BH13-DS13</f>
        <v>#N/A</v>
      </c>
      <c r="GC13" s="5" t="e">
        <f t="shared" ref="GC13" si="540">BI13-DT13</f>
        <v>#N/A</v>
      </c>
      <c r="GD13" s="5" t="e">
        <f t="shared" ref="GD13" si="541">BJ13-DU13</f>
        <v>#N/A</v>
      </c>
      <c r="GE13" s="5" t="e">
        <f t="shared" ref="GE13" si="542">BK13-DV13</f>
        <v>#N/A</v>
      </c>
      <c r="GF13" s="5" t="e">
        <f t="shared" ref="GF13" si="543">BL13-DW13</f>
        <v>#N/A</v>
      </c>
      <c r="GG13" s="5" t="e">
        <f t="shared" ref="GG13" si="544">BM13-DX13</f>
        <v>#N/A</v>
      </c>
      <c r="GH13" s="5" t="e">
        <f t="shared" ref="GH13" si="545">BN13-DY13</f>
        <v>#N/A</v>
      </c>
      <c r="GI13" s="5" t="e">
        <f t="shared" ref="GI13" si="546">BO13-DZ13</f>
        <v>#N/A</v>
      </c>
      <c r="GJ13" s="5" t="e">
        <f t="shared" ref="GJ13" si="547">BP13-EA13</f>
        <v>#N/A</v>
      </c>
      <c r="GK13" s="5" t="e">
        <f t="shared" ref="GK13" si="548">BQ13-EB13</f>
        <v>#N/A</v>
      </c>
      <c r="GL13" s="5" t="e">
        <f t="shared" ref="GL13" si="549">BR13-EC13</f>
        <v>#N/A</v>
      </c>
      <c r="GM13" s="5" t="e">
        <f t="shared" ref="GM13" si="550">BS13-ED13</f>
        <v>#N/A</v>
      </c>
      <c r="GN13" s="5" t="e">
        <f t="shared" ref="GN13" si="551">BT13-EE13</f>
        <v>#N/A</v>
      </c>
      <c r="GO13" s="5" t="e">
        <f t="shared" ref="GO13" si="552">BU13-EF13</f>
        <v>#N/A</v>
      </c>
      <c r="GP13" s="5" t="e">
        <f t="shared" ref="GP13" si="553">BV13-EG13</f>
        <v>#N/A</v>
      </c>
      <c r="GQ13" s="5" t="e">
        <f t="shared" ref="GQ13" si="554">BW13-EH13</f>
        <v>#N/A</v>
      </c>
      <c r="GR13" s="5" t="e">
        <f t="shared" ref="GR13" si="555">BX13-EI13</f>
        <v>#N/A</v>
      </c>
      <c r="GS13" s="5" t="e">
        <f t="shared" ref="GS13" si="556">BY13-EJ13</f>
        <v>#N/A</v>
      </c>
      <c r="GT13" s="5" t="e">
        <f t="shared" ref="GT13" si="557">BZ13-EK13</f>
        <v>#N/A</v>
      </c>
      <c r="GU13" s="5" t="e">
        <f t="shared" ref="GU13" si="558">CA13-EL13</f>
        <v>#N/A</v>
      </c>
      <c r="GV13" s="5" t="e">
        <f t="shared" ref="GV13" si="559">CB13-EM13</f>
        <v>#N/A</v>
      </c>
      <c r="GW13" s="5" t="e">
        <f t="shared" ref="GW13" si="560">CC13-EN13</f>
        <v>#N/A</v>
      </c>
      <c r="GX13" s="5" t="e">
        <f t="shared" ref="GX13" si="561">CD13-EO13</f>
        <v>#N/A</v>
      </c>
      <c r="GY13" s="5" t="e">
        <f t="shared" ref="GY13" si="562">CE13-EP13</f>
        <v>#N/A</v>
      </c>
      <c r="GZ13" s="5" t="e">
        <f t="shared" ref="GZ13" si="563">CF13-EQ13</f>
        <v>#N/A</v>
      </c>
      <c r="HA13" s="5" t="e">
        <f t="shared" ref="HA13" si="564">CG13-ER13</f>
        <v>#N/A</v>
      </c>
      <c r="HC13" s="6" t="e">
        <f t="shared" ref="HC13" si="565">V13</f>
        <v>#N/A</v>
      </c>
      <c r="HD13" s="5" t="e">
        <f t="shared" ref="HD13" si="566">V13-ET13</f>
        <v>#N/A</v>
      </c>
      <c r="HE13" s="5" t="e">
        <f t="shared" ref="HE13" si="567">HD13-EU13</f>
        <v>#N/A</v>
      </c>
      <c r="HF13" s="5" t="e">
        <f t="shared" ref="HF13" si="568">HE13-EV13</f>
        <v>#N/A</v>
      </c>
      <c r="HG13" s="5" t="e">
        <f t="shared" ref="HG13" si="569">HF13-EW13</f>
        <v>#N/A</v>
      </c>
      <c r="HH13" s="5" t="e">
        <f t="shared" ref="HH13" si="570">HG13-EX13</f>
        <v>#N/A</v>
      </c>
      <c r="HI13" s="5" t="e">
        <f t="shared" ref="HI13" si="571">HH13-EY13</f>
        <v>#N/A</v>
      </c>
      <c r="HJ13" s="5" t="e">
        <f t="shared" ref="HJ13" si="572">HI13-EZ13</f>
        <v>#N/A</v>
      </c>
      <c r="HK13" s="5" t="e">
        <f t="shared" ref="HK13" si="573">HJ13-FA13</f>
        <v>#N/A</v>
      </c>
      <c r="HL13" s="5" t="e">
        <f t="shared" ref="HL13" si="574">HK13-FB13</f>
        <v>#N/A</v>
      </c>
      <c r="HM13" s="5" t="e">
        <f t="shared" ref="HM13" si="575">HL13-FC13</f>
        <v>#N/A</v>
      </c>
      <c r="HN13" s="5" t="e">
        <f t="shared" ref="HN13" si="576">HM13-FD13</f>
        <v>#N/A</v>
      </c>
      <c r="HO13" s="5" t="e">
        <f t="shared" ref="HO13" si="577">HN13-FE13</f>
        <v>#N/A</v>
      </c>
      <c r="HP13" s="5" t="e">
        <f t="shared" ref="HP13" si="578">HO13-FF13</f>
        <v>#N/A</v>
      </c>
      <c r="HQ13" s="5" t="e">
        <f t="shared" ref="HQ13" si="579">HP13-FG13</f>
        <v>#N/A</v>
      </c>
      <c r="HR13" s="5" t="e">
        <f t="shared" ref="HR13" si="580">HQ13-FH13</f>
        <v>#N/A</v>
      </c>
      <c r="HS13" s="5" t="e">
        <f t="shared" ref="HS13" si="581">HR13-FI13</f>
        <v>#N/A</v>
      </c>
      <c r="HT13" s="5" t="e">
        <f t="shared" ref="HT13" si="582">HS13-FJ13</f>
        <v>#N/A</v>
      </c>
      <c r="HU13" s="5" t="e">
        <f t="shared" ref="HU13" si="583">HT13-FK13</f>
        <v>#N/A</v>
      </c>
      <c r="HV13" s="5" t="e">
        <f t="shared" ref="HV13" si="584">HU13-FL13</f>
        <v>#N/A</v>
      </c>
      <c r="HW13" s="5" t="e">
        <f t="shared" ref="HW13" si="585">HV13-FM13</f>
        <v>#N/A</v>
      </c>
      <c r="HX13" s="5" t="e">
        <f t="shared" ref="HX13" si="586">HW13-FN13</f>
        <v>#N/A</v>
      </c>
      <c r="HY13" s="5" t="e">
        <f t="shared" ref="HY13" si="587">HX13-FO13</f>
        <v>#N/A</v>
      </c>
      <c r="HZ13" s="5" t="e">
        <f t="shared" ref="HZ13" si="588">HY13-FP13</f>
        <v>#N/A</v>
      </c>
      <c r="IA13" s="5" t="e">
        <f t="shared" ref="IA13" si="589">HZ13-FQ13</f>
        <v>#N/A</v>
      </c>
      <c r="IB13" s="5" t="e">
        <f t="shared" ref="IB13" si="590">IA13-FR13</f>
        <v>#N/A</v>
      </c>
      <c r="IC13" s="5" t="e">
        <f t="shared" ref="IC13" si="591">IB13-FS13</f>
        <v>#N/A</v>
      </c>
      <c r="ID13" s="5" t="e">
        <f t="shared" ref="ID13" si="592">IC13-FT13</f>
        <v>#N/A</v>
      </c>
      <c r="IE13" s="5" t="e">
        <f t="shared" ref="IE13" si="593">ID13-FU13</f>
        <v>#N/A</v>
      </c>
      <c r="IF13" s="5" t="e">
        <f t="shared" ref="IF13" si="594">IE13-FV13</f>
        <v>#N/A</v>
      </c>
      <c r="IG13" s="5" t="e">
        <f t="shared" ref="IG13" si="595">IF13-FW13</f>
        <v>#N/A</v>
      </c>
      <c r="IH13" s="5" t="e">
        <f t="shared" ref="IH13" si="596">IG13-FX13</f>
        <v>#N/A</v>
      </c>
      <c r="II13" s="5" t="e">
        <f t="shared" ref="II13" si="597">IH13-FY13</f>
        <v>#N/A</v>
      </c>
      <c r="IJ13" s="5" t="e">
        <f t="shared" ref="IJ13" si="598">II13-FZ13</f>
        <v>#N/A</v>
      </c>
      <c r="IK13" s="5" t="e">
        <f t="shared" ref="IK13" si="599">IJ13-GA13</f>
        <v>#N/A</v>
      </c>
      <c r="IL13" s="5" t="e">
        <f t="shared" ref="IL13" si="600">IK13-GB13</f>
        <v>#N/A</v>
      </c>
      <c r="IM13" s="5" t="e">
        <f t="shared" ref="IM13" si="601">IL13-GC13</f>
        <v>#N/A</v>
      </c>
      <c r="IN13" s="5" t="e">
        <f t="shared" ref="IN13" si="602">IM13-GD13</f>
        <v>#N/A</v>
      </c>
      <c r="IO13" s="5" t="e">
        <f t="shared" ref="IO13" si="603">IN13-GE13</f>
        <v>#N/A</v>
      </c>
      <c r="IP13" s="5" t="e">
        <f t="shared" ref="IP13" si="604">IO13-GF13</f>
        <v>#N/A</v>
      </c>
      <c r="IQ13" s="5" t="e">
        <f t="shared" ref="IQ13" si="605">IP13-GG13</f>
        <v>#N/A</v>
      </c>
      <c r="IR13" s="5" t="e">
        <f t="shared" ref="IR13" si="606">IQ13-GH13</f>
        <v>#N/A</v>
      </c>
      <c r="IS13" s="5" t="e">
        <f t="shared" ref="IS13" si="607">IR13-GI13</f>
        <v>#N/A</v>
      </c>
      <c r="IT13" s="5" t="e">
        <f t="shared" ref="IT13" si="608">IS13-GJ13</f>
        <v>#N/A</v>
      </c>
      <c r="IU13" s="5" t="e">
        <f t="shared" ref="IU13" si="609">IT13-GK13</f>
        <v>#N/A</v>
      </c>
      <c r="IV13" s="5" t="e">
        <f t="shared" ref="IV13" si="610">IU13-GL13</f>
        <v>#N/A</v>
      </c>
      <c r="IW13" s="5" t="e">
        <f t="shared" ref="IW13" si="611">IV13-GM13</f>
        <v>#N/A</v>
      </c>
      <c r="IX13" s="5" t="e">
        <f t="shared" ref="IX13" si="612">IW13-GN13</f>
        <v>#N/A</v>
      </c>
      <c r="IY13" s="5" t="e">
        <f t="shared" ref="IY13" si="613">IX13-GO13</f>
        <v>#N/A</v>
      </c>
      <c r="IZ13" s="5" t="e">
        <f t="shared" ref="IZ13" si="614">IY13-GP13</f>
        <v>#N/A</v>
      </c>
      <c r="JA13" s="5" t="e">
        <f t="shared" ref="JA13" si="615">IZ13-GQ13</f>
        <v>#N/A</v>
      </c>
      <c r="JB13" s="5" t="e">
        <f t="shared" ref="JB13" si="616">JA13-GR13</f>
        <v>#N/A</v>
      </c>
      <c r="JC13" s="5" t="e">
        <f t="shared" ref="JC13" si="617">JB13-GS13</f>
        <v>#N/A</v>
      </c>
      <c r="JD13" s="5" t="e">
        <f t="shared" ref="JD13" si="618">JC13-GT13</f>
        <v>#N/A</v>
      </c>
      <c r="JE13" s="5" t="e">
        <f t="shared" ref="JE13" si="619">JD13-GU13</f>
        <v>#N/A</v>
      </c>
      <c r="JF13" s="5" t="e">
        <f t="shared" ref="JF13" si="620">JE13-GV13</f>
        <v>#N/A</v>
      </c>
      <c r="JG13" s="5" t="e">
        <f t="shared" ref="JG13" si="621">JF13-GW13</f>
        <v>#N/A</v>
      </c>
      <c r="JH13" s="5" t="e">
        <f t="shared" ref="JH13" si="622">JG13-GX13</f>
        <v>#N/A</v>
      </c>
      <c r="JI13" s="5" t="e">
        <f t="shared" ref="JI13" si="623">JH13-GY13</f>
        <v>#N/A</v>
      </c>
      <c r="JJ13" s="5" t="e">
        <f t="shared" ref="JJ13" si="624">JI13-GZ13</f>
        <v>#N/A</v>
      </c>
      <c r="JK13" s="5" t="e">
        <f t="shared" ref="JK13" si="625">JJ13-HA13</f>
        <v>#N/A</v>
      </c>
      <c r="JM13" s="19" t="e">
        <f t="shared" ref="JM13" si="626">KC13</f>
        <v>#N/A</v>
      </c>
      <c r="JN13" s="1">
        <v>11</v>
      </c>
      <c r="JO13" s="5" t="e">
        <f>HLOOKUP(JM13,HC$2:JK13,2+JN12,0)-IF(KE13&gt;0,KE13,0)</f>
        <v>#N/A</v>
      </c>
      <c r="JP13" s="5" t="e">
        <f t="shared" ref="JP13" si="627">JO13*($X13/360)</f>
        <v>#N/A</v>
      </c>
      <c r="JQ13" s="17"/>
      <c r="JR13" s="17"/>
      <c r="JS13" s="6">
        <f t="shared" ref="JS13" si="628">JR13-JQ13</f>
        <v>0</v>
      </c>
      <c r="JT13" s="5" t="e">
        <f t="shared" ref="JT13" si="629">(JS13)*JP13</f>
        <v>#N/A</v>
      </c>
      <c r="JU13" s="13">
        <f t="shared" ca="1" si="22"/>
        <v>46161</v>
      </c>
      <c r="JV13" s="6" t="e">
        <f t="shared" ref="JV13" si="630">JT13+JO13</f>
        <v>#N/A</v>
      </c>
      <c r="JW13" s="6"/>
      <c r="JX13" s="6"/>
      <c r="JY13" s="6">
        <f t="shared" ref="JY13" si="631">JX13-JW13</f>
        <v>0</v>
      </c>
      <c r="JZ13" s="10" t="e">
        <f t="shared" ref="JZ13" si="632">JY13/U13</f>
        <v>#N/A</v>
      </c>
      <c r="KA13" s="10" t="e">
        <f t="shared" ref="KA13" si="633">JZ13-J13</f>
        <v>#N/A</v>
      </c>
      <c r="KB13" s="10" t="e">
        <f t="shared" ref="KB13" si="634">ROUNDDOWN(JZ13,0)</f>
        <v>#N/A</v>
      </c>
      <c r="KC13" s="10" t="e">
        <f t="shared" ref="KC13" si="635">KB13-J13</f>
        <v>#N/A</v>
      </c>
      <c r="KD13" s="5" t="e">
        <f t="shared" ref="KD13" si="636">KB13*U13</f>
        <v>#N/A</v>
      </c>
      <c r="KE13" s="6" t="e">
        <f t="shared" ref="KE13" si="637">JY13-KD13</f>
        <v>#N/A</v>
      </c>
      <c r="KG13" s="26"/>
    </row>
    <row r="14" spans="1:297" x14ac:dyDescent="0.3">
      <c r="C14" s="1" t="e">
        <f>VLOOKUP(B14,DD!A:B,2,0)</f>
        <v>#N/A</v>
      </c>
      <c r="D14" s="1" t="e">
        <f>VLOOKUP(B14,DD!A:K,11,0)</f>
        <v>#N/A</v>
      </c>
      <c r="E14" s="1" t="e">
        <f>VLOOKUP(B14,DD!A:L,12,0)</f>
        <v>#N/A</v>
      </c>
      <c r="F14" s="17" t="e">
        <f>VLOOKUP(B14,DD!A:D,4,0)</f>
        <v>#N/A</v>
      </c>
      <c r="G14" s="9">
        <v>1</v>
      </c>
      <c r="H14" s="3" t="e">
        <f>VLOOKUP(B14,DD!A:E,5,0)</f>
        <v>#N/A</v>
      </c>
      <c r="I14" s="3" t="e">
        <f t="shared" ref="I14:I22" si="638">H14-J14</f>
        <v>#N/A</v>
      </c>
      <c r="J14" s="3" t="e">
        <f>VLOOKUP(B14,DD!A:F,6,0)</f>
        <v>#N/A</v>
      </c>
      <c r="K14" s="3" t="e">
        <f>VLOOKUP(B14,DD!A:H,8,0)</f>
        <v>#N/A</v>
      </c>
      <c r="L14" s="3" t="e">
        <f>VLOOKUP(B14,DD!A:I,9,0)</f>
        <v>#N/A</v>
      </c>
      <c r="M14" s="3" t="e">
        <f>VLOOKUP(B14,DD!A:J,10,0)</f>
        <v>#N/A</v>
      </c>
      <c r="N14" s="3" t="s">
        <v>8</v>
      </c>
      <c r="O14" s="3" t="s">
        <v>9</v>
      </c>
      <c r="P14" s="4" t="e">
        <f>VLOOKUP(B14,DD!A:C,3,0)</f>
        <v>#N/A</v>
      </c>
      <c r="Q14" s="5" t="e">
        <f t="shared" ref="Q14:Q22" si="639">K14/100*P14</f>
        <v>#N/A</v>
      </c>
      <c r="R14" s="5" t="e">
        <f t="shared" ref="R14:R22" si="640">L14/100*P14</f>
        <v>#N/A</v>
      </c>
      <c r="S14" s="5" t="e">
        <f t="shared" ref="S14:S22" si="641">M14/100*(P14-Q14)</f>
        <v>#N/A</v>
      </c>
      <c r="T14" s="6" t="e">
        <f t="shared" ref="T14:T22" si="642">Q14+R14</f>
        <v>#N/A</v>
      </c>
      <c r="U14" s="5" t="e">
        <f t="shared" ref="U14:U22" si="643">(P14/H14)+(R14/H14)</f>
        <v>#N/A</v>
      </c>
      <c r="V14" s="6" t="e">
        <f t="shared" ref="V14:V22" si="644">P14-Q14-S14-W14</f>
        <v>#N/A</v>
      </c>
      <c r="W14" s="7" t="e">
        <f t="shared" ref="W14:W22" si="645">IF(J14&gt;=1,U14*J14,0)</f>
        <v>#N/A</v>
      </c>
      <c r="X14" s="8" t="e">
        <f t="shared" si="8"/>
        <v>#VALUE!</v>
      </c>
      <c r="Y14" s="6" t="e">
        <f t="shared" ref="Y14:Y22" si="646">-V14</f>
        <v>#N/A</v>
      </c>
      <c r="Z14" s="7" t="e">
        <f t="shared" si="227"/>
        <v>#N/A</v>
      </c>
      <c r="AA14" s="7" t="e">
        <f t="shared" si="227"/>
        <v>#N/A</v>
      </c>
      <c r="AB14" s="7" t="e">
        <f t="shared" si="227"/>
        <v>#N/A</v>
      </c>
      <c r="AC14" s="7" t="e">
        <f t="shared" si="227"/>
        <v>#N/A</v>
      </c>
      <c r="AD14" s="7" t="e">
        <f t="shared" si="227"/>
        <v>#N/A</v>
      </c>
      <c r="AE14" s="7" t="e">
        <f t="shared" si="227"/>
        <v>#N/A</v>
      </c>
      <c r="AF14" s="7" t="e">
        <f t="shared" si="227"/>
        <v>#N/A</v>
      </c>
      <c r="AG14" s="7" t="e">
        <f t="shared" si="227"/>
        <v>#N/A</v>
      </c>
      <c r="AH14" s="7" t="e">
        <f t="shared" si="227"/>
        <v>#N/A</v>
      </c>
      <c r="AI14" s="7" t="e">
        <f t="shared" si="227"/>
        <v>#N/A</v>
      </c>
      <c r="AJ14" s="7" t="e">
        <f t="shared" si="227"/>
        <v>#N/A</v>
      </c>
      <c r="AK14" s="7" t="e">
        <f t="shared" si="227"/>
        <v>#N/A</v>
      </c>
      <c r="AL14" s="7" t="e">
        <f t="shared" si="227"/>
        <v>#N/A</v>
      </c>
      <c r="AM14" s="7" t="e">
        <f t="shared" si="227"/>
        <v>#N/A</v>
      </c>
      <c r="AN14" s="7" t="e">
        <f t="shared" si="227"/>
        <v>#N/A</v>
      </c>
      <c r="AO14" s="7" t="e">
        <f t="shared" si="227"/>
        <v>#N/A</v>
      </c>
      <c r="AP14" s="7" t="e">
        <f t="shared" si="227"/>
        <v>#N/A</v>
      </c>
      <c r="AQ14" s="7" t="e">
        <f t="shared" si="227"/>
        <v>#N/A</v>
      </c>
      <c r="AR14" s="7" t="e">
        <f t="shared" si="227"/>
        <v>#N/A</v>
      </c>
      <c r="AS14" s="7" t="e">
        <f t="shared" si="227"/>
        <v>#N/A</v>
      </c>
      <c r="AT14" s="7" t="e">
        <f t="shared" si="227"/>
        <v>#N/A</v>
      </c>
      <c r="AU14" s="7" t="e">
        <f t="shared" si="227"/>
        <v>#N/A</v>
      </c>
      <c r="AV14" s="7" t="e">
        <f t="shared" si="227"/>
        <v>#N/A</v>
      </c>
      <c r="AW14" s="7" t="e">
        <f t="shared" si="227"/>
        <v>#N/A</v>
      </c>
      <c r="AX14" s="7" t="e">
        <f t="shared" si="227"/>
        <v>#N/A</v>
      </c>
      <c r="AY14" s="7" t="e">
        <f t="shared" si="227"/>
        <v>#N/A</v>
      </c>
      <c r="AZ14" s="7" t="e">
        <f t="shared" si="227"/>
        <v>#N/A</v>
      </c>
      <c r="BA14" s="7" t="e">
        <f t="shared" si="227"/>
        <v>#N/A</v>
      </c>
      <c r="BB14" s="7" t="e">
        <f t="shared" si="227"/>
        <v>#N/A</v>
      </c>
      <c r="BC14" s="7" t="e">
        <f t="shared" si="227"/>
        <v>#N/A</v>
      </c>
      <c r="BD14" s="7" t="e">
        <f t="shared" si="227"/>
        <v>#N/A</v>
      </c>
      <c r="BE14" s="7" t="e">
        <f t="shared" si="227"/>
        <v>#N/A</v>
      </c>
      <c r="BF14" s="7" t="e">
        <f t="shared" si="442"/>
        <v>#N/A</v>
      </c>
      <c r="BG14" s="7" t="e">
        <f t="shared" si="442"/>
        <v>#N/A</v>
      </c>
      <c r="BH14" s="7" t="e">
        <f t="shared" si="442"/>
        <v>#N/A</v>
      </c>
      <c r="BI14" s="7" t="e">
        <f t="shared" si="237"/>
        <v>#N/A</v>
      </c>
      <c r="BJ14" s="7" t="e">
        <f t="shared" si="237"/>
        <v>#N/A</v>
      </c>
      <c r="BK14" s="7" t="e">
        <f t="shared" si="237"/>
        <v>#N/A</v>
      </c>
      <c r="BL14" s="7" t="e">
        <f t="shared" si="237"/>
        <v>#N/A</v>
      </c>
      <c r="BM14" s="7" t="e">
        <f t="shared" si="237"/>
        <v>#N/A</v>
      </c>
      <c r="BN14" s="7" t="e">
        <f t="shared" si="237"/>
        <v>#N/A</v>
      </c>
      <c r="BO14" s="7" t="e">
        <f t="shared" si="237"/>
        <v>#N/A</v>
      </c>
      <c r="BP14" s="7" t="e">
        <f t="shared" si="237"/>
        <v>#N/A</v>
      </c>
      <c r="BQ14" s="7" t="e">
        <f t="shared" si="237"/>
        <v>#N/A</v>
      </c>
      <c r="BR14" s="7" t="e">
        <f t="shared" si="237"/>
        <v>#N/A</v>
      </c>
      <c r="BS14" s="7" t="e">
        <f t="shared" si="237"/>
        <v>#N/A</v>
      </c>
      <c r="BT14" s="7" t="e">
        <f t="shared" si="237"/>
        <v>#N/A</v>
      </c>
      <c r="BU14" s="7" t="e">
        <f t="shared" si="237"/>
        <v>#N/A</v>
      </c>
      <c r="BV14" s="7" t="e">
        <f t="shared" si="237"/>
        <v>#N/A</v>
      </c>
      <c r="BW14" s="7" t="e">
        <f t="shared" si="237"/>
        <v>#N/A</v>
      </c>
      <c r="BX14" s="7" t="e">
        <f t="shared" si="237"/>
        <v>#N/A</v>
      </c>
      <c r="BY14" s="7" t="e">
        <f t="shared" si="237"/>
        <v>#N/A</v>
      </c>
      <c r="BZ14" s="7" t="e">
        <f t="shared" si="237"/>
        <v>#N/A</v>
      </c>
      <c r="CA14" s="7" t="e">
        <f t="shared" si="237"/>
        <v>#N/A</v>
      </c>
      <c r="CB14" s="7" t="e">
        <f t="shared" si="237"/>
        <v>#N/A</v>
      </c>
      <c r="CC14" s="7" t="e">
        <f t="shared" si="237"/>
        <v>#N/A</v>
      </c>
      <c r="CD14" s="7" t="e">
        <f t="shared" si="237"/>
        <v>#N/A</v>
      </c>
      <c r="CE14" s="7" t="e">
        <f t="shared" si="237"/>
        <v>#N/A</v>
      </c>
      <c r="CF14" s="7" t="e">
        <f t="shared" si="237"/>
        <v>#N/A</v>
      </c>
      <c r="CG14" s="7" t="e">
        <f t="shared" si="237"/>
        <v>#N/A</v>
      </c>
      <c r="CH14" s="6" t="e">
        <f t="shared" ref="CH14:CH22" si="647">SUM(Y14:CG14)</f>
        <v>#N/A</v>
      </c>
      <c r="CI14" s="5" t="e">
        <f t="shared" ref="CI14:CI22" si="648">CH14-T14</f>
        <v>#N/A</v>
      </c>
      <c r="CK14" s="5" t="e">
        <f t="shared" ref="CK14:CK22" si="649">V14*($X14/12)</f>
        <v>#N/A</v>
      </c>
      <c r="CL14" s="5" t="e">
        <f t="shared" ref="CL14:CL22" si="650">HD14*($X14/12)</f>
        <v>#N/A</v>
      </c>
      <c r="CM14" s="5" t="e">
        <f t="shared" ref="CM14:CM22" si="651">HE14*($X14/12)</f>
        <v>#N/A</v>
      </c>
      <c r="CN14" s="5" t="e">
        <f t="shared" ref="CN14:CN22" si="652">HF14*($X14/12)</f>
        <v>#N/A</v>
      </c>
      <c r="CO14" s="5" t="e">
        <f t="shared" ref="CO14:CO22" si="653">HG14*($X14/12)</f>
        <v>#N/A</v>
      </c>
      <c r="CP14" s="5" t="e">
        <f t="shared" ref="CP14:CP22" si="654">HH14*($X14/12)</f>
        <v>#N/A</v>
      </c>
      <c r="CQ14" s="5" t="e">
        <f t="shared" ref="CQ14:CQ22" si="655">HI14*($X14/12)</f>
        <v>#N/A</v>
      </c>
      <c r="CR14" s="5" t="e">
        <f t="shared" ref="CR14:CR22" si="656">HJ14*($X14/12)</f>
        <v>#N/A</v>
      </c>
      <c r="CS14" s="5" t="e">
        <f t="shared" ref="CS14:CS22" si="657">HK14*($X14/12)</f>
        <v>#N/A</v>
      </c>
      <c r="CT14" s="5" t="e">
        <f t="shared" ref="CT14:CT22" si="658">HL14*($X14/12)</f>
        <v>#N/A</v>
      </c>
      <c r="CU14" s="5" t="e">
        <f t="shared" ref="CU14:CU22" si="659">HM14*($X14/12)</f>
        <v>#N/A</v>
      </c>
      <c r="CV14" s="5" t="e">
        <f t="shared" ref="CV14:CV22" si="660">HN14*($X14/12)</f>
        <v>#N/A</v>
      </c>
      <c r="CW14" s="5" t="e">
        <f t="shared" ref="CW14:CW22" si="661">HO14*($X14/12)</f>
        <v>#N/A</v>
      </c>
      <c r="CX14" s="5" t="e">
        <f t="shared" ref="CX14:CX22" si="662">HP14*($X14/12)</f>
        <v>#N/A</v>
      </c>
      <c r="CY14" s="5" t="e">
        <f t="shared" ref="CY14:CY22" si="663">HQ14*($X14/12)</f>
        <v>#N/A</v>
      </c>
      <c r="CZ14" s="5" t="e">
        <f t="shared" ref="CZ14:CZ22" si="664">HR14*($X14/12)</f>
        <v>#N/A</v>
      </c>
      <c r="DA14" s="5" t="e">
        <f t="shared" ref="DA14:DA22" si="665">HS14*($X14/12)</f>
        <v>#N/A</v>
      </c>
      <c r="DB14" s="5" t="e">
        <f t="shared" ref="DB14:DB22" si="666">HT14*($X14/12)</f>
        <v>#N/A</v>
      </c>
      <c r="DC14" s="5" t="e">
        <f t="shared" ref="DC14:DC22" si="667">HU14*($X14/12)</f>
        <v>#N/A</v>
      </c>
      <c r="DD14" s="5" t="e">
        <f t="shared" ref="DD14:DD22" si="668">HV14*($X14/12)</f>
        <v>#N/A</v>
      </c>
      <c r="DE14" s="5" t="e">
        <f t="shared" ref="DE14:DE22" si="669">HW14*($X14/12)</f>
        <v>#N/A</v>
      </c>
      <c r="DF14" s="5" t="e">
        <f t="shared" ref="DF14:DF22" si="670">HX14*($X14/12)</f>
        <v>#N/A</v>
      </c>
      <c r="DG14" s="5" t="e">
        <f t="shared" ref="DG14:DG22" si="671">HY14*($X14/12)</f>
        <v>#N/A</v>
      </c>
      <c r="DH14" s="5" t="e">
        <f t="shared" ref="DH14:DH22" si="672">HZ14*($X14/12)</f>
        <v>#N/A</v>
      </c>
      <c r="DI14" s="5" t="e">
        <f t="shared" ref="DI14:DI22" si="673">IA14*($X14/12)</f>
        <v>#N/A</v>
      </c>
      <c r="DJ14" s="5" t="e">
        <f t="shared" ref="DJ14:DJ22" si="674">IB14*($X14/12)</f>
        <v>#N/A</v>
      </c>
      <c r="DK14" s="5" t="e">
        <f t="shared" ref="DK14:DK22" si="675">IC14*($X14/12)</f>
        <v>#N/A</v>
      </c>
      <c r="DL14" s="5" t="e">
        <f t="shared" ref="DL14:DL22" si="676">ID14*($X14/12)</f>
        <v>#N/A</v>
      </c>
      <c r="DM14" s="5" t="e">
        <f t="shared" ref="DM14:DM22" si="677">IE14*($X14/12)</f>
        <v>#N/A</v>
      </c>
      <c r="DN14" s="5" t="e">
        <f t="shared" ref="DN14:DN22" si="678">IF14*($X14/12)</f>
        <v>#N/A</v>
      </c>
      <c r="DO14" s="5" t="e">
        <f t="shared" ref="DO14:DO22" si="679">IG14*($X14/12)</f>
        <v>#N/A</v>
      </c>
      <c r="DP14" s="5" t="e">
        <f t="shared" ref="DP14:DP22" si="680">IH14*($X14/12)</f>
        <v>#N/A</v>
      </c>
      <c r="DQ14" s="5" t="e">
        <f t="shared" ref="DQ14:DQ22" si="681">II14*($X14/12)</f>
        <v>#N/A</v>
      </c>
      <c r="DR14" s="5" t="e">
        <f t="shared" ref="DR14:DR22" si="682">IJ14*($X14/12)</f>
        <v>#N/A</v>
      </c>
      <c r="DS14" s="5" t="e">
        <f t="shared" ref="DS14:DS22" si="683">IK14*($X14/12)</f>
        <v>#N/A</v>
      </c>
      <c r="DT14" s="5" t="e">
        <f t="shared" ref="DT14:DT22" si="684">IL14*($X14/12)</f>
        <v>#N/A</v>
      </c>
      <c r="DU14" s="5" t="e">
        <f t="shared" ref="DU14:DU22" si="685">IM14*($X14/12)</f>
        <v>#N/A</v>
      </c>
      <c r="DV14" s="5" t="e">
        <f t="shared" ref="DV14:DV22" si="686">IN14*($X14/12)</f>
        <v>#N/A</v>
      </c>
      <c r="DW14" s="5" t="e">
        <f t="shared" ref="DW14:DW22" si="687">IO14*($X14/12)</f>
        <v>#N/A</v>
      </c>
      <c r="DX14" s="5" t="e">
        <f t="shared" ref="DX14:DX22" si="688">IP14*($X14/12)</f>
        <v>#N/A</v>
      </c>
      <c r="DY14" s="5" t="e">
        <f t="shared" ref="DY14:DY22" si="689">IQ14*($X14/12)</f>
        <v>#N/A</v>
      </c>
      <c r="DZ14" s="5" t="e">
        <f t="shared" ref="DZ14:DZ22" si="690">IR14*($X14/12)</f>
        <v>#N/A</v>
      </c>
      <c r="EA14" s="5" t="e">
        <f t="shared" ref="EA14:EA22" si="691">IS14*($X14/12)</f>
        <v>#N/A</v>
      </c>
      <c r="EB14" s="5" t="e">
        <f t="shared" ref="EB14:EB22" si="692">IT14*($X14/12)</f>
        <v>#N/A</v>
      </c>
      <c r="EC14" s="5" t="e">
        <f t="shared" ref="EC14:EC22" si="693">IU14*($X14/12)</f>
        <v>#N/A</v>
      </c>
      <c r="ED14" s="5" t="e">
        <f t="shared" ref="ED14:ED22" si="694">IV14*($X14/12)</f>
        <v>#N/A</v>
      </c>
      <c r="EE14" s="5" t="e">
        <f t="shared" ref="EE14:EE22" si="695">IW14*($X14/12)</f>
        <v>#N/A</v>
      </c>
      <c r="EF14" s="5" t="e">
        <f t="shared" ref="EF14:EF22" si="696">IX14*($X14/12)</f>
        <v>#N/A</v>
      </c>
      <c r="EG14" s="5" t="e">
        <f t="shared" ref="EG14:EG22" si="697">IY14*($X14/12)</f>
        <v>#N/A</v>
      </c>
      <c r="EH14" s="5" t="e">
        <f t="shared" ref="EH14:EH22" si="698">IZ14*($X14/12)</f>
        <v>#N/A</v>
      </c>
      <c r="EI14" s="5" t="e">
        <f t="shared" ref="EI14:EI22" si="699">JA14*($X14/12)</f>
        <v>#N/A</v>
      </c>
      <c r="EJ14" s="5" t="e">
        <f t="shared" ref="EJ14:EJ22" si="700">JB14*($X14/12)</f>
        <v>#N/A</v>
      </c>
      <c r="EK14" s="5" t="e">
        <f t="shared" ref="EK14:EK22" si="701">JC14*($X14/12)</f>
        <v>#N/A</v>
      </c>
      <c r="EL14" s="5" t="e">
        <f t="shared" ref="EL14:EL22" si="702">JD14*($X14/12)</f>
        <v>#N/A</v>
      </c>
      <c r="EM14" s="5" t="e">
        <f t="shared" ref="EM14:EM22" si="703">JE14*($X14/12)</f>
        <v>#N/A</v>
      </c>
      <c r="EN14" s="5" t="e">
        <f t="shared" ref="EN14:EN22" si="704">JF14*($X14/12)</f>
        <v>#N/A</v>
      </c>
      <c r="EO14" s="5" t="e">
        <f t="shared" ref="EO14:EO22" si="705">JG14*($X14/12)</f>
        <v>#N/A</v>
      </c>
      <c r="EP14" s="5" t="e">
        <f t="shared" ref="EP14:EP22" si="706">JH14*($X14/12)</f>
        <v>#N/A</v>
      </c>
      <c r="EQ14" s="5" t="e">
        <f t="shared" ref="EQ14:EQ22" si="707">JI14*($X14/12)</f>
        <v>#N/A</v>
      </c>
      <c r="ER14" s="5" t="e">
        <f t="shared" ref="ER14:ER22" si="708">JJ14*($X14/12)</f>
        <v>#N/A</v>
      </c>
      <c r="ET14" s="5" t="e">
        <f t="shared" ref="ET14:ET22" si="709">Z14-CK14</f>
        <v>#N/A</v>
      </c>
      <c r="EU14" s="5" t="e">
        <f t="shared" ref="EU14:EU22" si="710">AA14-CL14</f>
        <v>#N/A</v>
      </c>
      <c r="EV14" s="5" t="e">
        <f t="shared" ref="EV14:EV22" si="711">AB14-CM14</f>
        <v>#N/A</v>
      </c>
      <c r="EW14" s="5" t="e">
        <f t="shared" ref="EW14:EW22" si="712">AC14-CN14</f>
        <v>#N/A</v>
      </c>
      <c r="EX14" s="5" t="e">
        <f t="shared" ref="EX14:EX22" si="713">AD14-CO14</f>
        <v>#N/A</v>
      </c>
      <c r="EY14" s="5" t="e">
        <f t="shared" ref="EY14:EY22" si="714">AE14-CP14</f>
        <v>#N/A</v>
      </c>
      <c r="EZ14" s="5" t="e">
        <f t="shared" ref="EZ14:EZ22" si="715">AF14-CQ14</f>
        <v>#N/A</v>
      </c>
      <c r="FA14" s="5" t="e">
        <f t="shared" ref="FA14:FA22" si="716">AG14-CR14</f>
        <v>#N/A</v>
      </c>
      <c r="FB14" s="5" t="e">
        <f t="shared" ref="FB14:FB22" si="717">AH14-CS14</f>
        <v>#N/A</v>
      </c>
      <c r="FC14" s="5" t="e">
        <f t="shared" ref="FC14:FC22" si="718">AI14-CT14</f>
        <v>#N/A</v>
      </c>
      <c r="FD14" s="5" t="e">
        <f t="shared" ref="FD14:FD22" si="719">AJ14-CU14</f>
        <v>#N/A</v>
      </c>
      <c r="FE14" s="5" t="e">
        <f t="shared" ref="FE14:FE22" si="720">AK14-CV14</f>
        <v>#N/A</v>
      </c>
      <c r="FF14" s="5" t="e">
        <f t="shared" ref="FF14:FF22" si="721">AL14-CW14</f>
        <v>#N/A</v>
      </c>
      <c r="FG14" s="5" t="e">
        <f t="shared" ref="FG14:FG22" si="722">AM14-CX14</f>
        <v>#N/A</v>
      </c>
      <c r="FH14" s="5" t="e">
        <f t="shared" ref="FH14:FH22" si="723">AN14-CY14</f>
        <v>#N/A</v>
      </c>
      <c r="FI14" s="5" t="e">
        <f t="shared" ref="FI14:FI22" si="724">AO14-CZ14</f>
        <v>#N/A</v>
      </c>
      <c r="FJ14" s="5" t="e">
        <f t="shared" ref="FJ14:FJ22" si="725">AP14-DA14</f>
        <v>#N/A</v>
      </c>
      <c r="FK14" s="5" t="e">
        <f t="shared" ref="FK14:FK22" si="726">AQ14-DB14</f>
        <v>#N/A</v>
      </c>
      <c r="FL14" s="5" t="e">
        <f t="shared" ref="FL14:FL22" si="727">AR14-DC14</f>
        <v>#N/A</v>
      </c>
      <c r="FM14" s="5" t="e">
        <f t="shared" ref="FM14:FM22" si="728">AS14-DD14</f>
        <v>#N/A</v>
      </c>
      <c r="FN14" s="5" t="e">
        <f t="shared" ref="FN14:FN22" si="729">AT14-DE14</f>
        <v>#N/A</v>
      </c>
      <c r="FO14" s="5" t="e">
        <f t="shared" ref="FO14:FO22" si="730">AU14-DF14</f>
        <v>#N/A</v>
      </c>
      <c r="FP14" s="5" t="e">
        <f t="shared" ref="FP14:FP22" si="731">AV14-DG14</f>
        <v>#N/A</v>
      </c>
      <c r="FQ14" s="5" t="e">
        <f t="shared" ref="FQ14:FQ22" si="732">AW14-DH14</f>
        <v>#N/A</v>
      </c>
      <c r="FR14" s="5" t="e">
        <f t="shared" ref="FR14:FR22" si="733">AX14-DI14</f>
        <v>#N/A</v>
      </c>
      <c r="FS14" s="5" t="e">
        <f t="shared" ref="FS14:FS22" si="734">AY14-DJ14</f>
        <v>#N/A</v>
      </c>
      <c r="FT14" s="5" t="e">
        <f t="shared" ref="FT14:FT22" si="735">AZ14-DK14</f>
        <v>#N/A</v>
      </c>
      <c r="FU14" s="5" t="e">
        <f t="shared" ref="FU14:FU22" si="736">BA14-DL14</f>
        <v>#N/A</v>
      </c>
      <c r="FV14" s="5" t="e">
        <f t="shared" ref="FV14:FV22" si="737">BB14-DM14</f>
        <v>#N/A</v>
      </c>
      <c r="FW14" s="5" t="e">
        <f t="shared" ref="FW14:FW22" si="738">BC14-DN14</f>
        <v>#N/A</v>
      </c>
      <c r="FX14" s="5" t="e">
        <f t="shared" ref="FX14:FX22" si="739">BD14-DO14</f>
        <v>#N/A</v>
      </c>
      <c r="FY14" s="5" t="e">
        <f t="shared" ref="FY14:FY22" si="740">BE14-DP14</f>
        <v>#N/A</v>
      </c>
      <c r="FZ14" s="5" t="e">
        <f t="shared" ref="FZ14:FZ22" si="741">BF14-DQ14</f>
        <v>#N/A</v>
      </c>
      <c r="GA14" s="5" t="e">
        <f t="shared" ref="GA14:GA22" si="742">BG14-DR14</f>
        <v>#N/A</v>
      </c>
      <c r="GB14" s="5" t="e">
        <f t="shared" ref="GB14:GB22" si="743">BH14-DS14</f>
        <v>#N/A</v>
      </c>
      <c r="GC14" s="5" t="e">
        <f t="shared" ref="GC14:GC22" si="744">BI14-DT14</f>
        <v>#N/A</v>
      </c>
      <c r="GD14" s="5" t="e">
        <f t="shared" ref="GD14:GD22" si="745">BJ14-DU14</f>
        <v>#N/A</v>
      </c>
      <c r="GE14" s="5" t="e">
        <f t="shared" ref="GE14:GE22" si="746">BK14-DV14</f>
        <v>#N/A</v>
      </c>
      <c r="GF14" s="5" t="e">
        <f t="shared" ref="GF14:GF22" si="747">BL14-DW14</f>
        <v>#N/A</v>
      </c>
      <c r="GG14" s="5" t="e">
        <f t="shared" ref="GG14:GG22" si="748">BM14-DX14</f>
        <v>#N/A</v>
      </c>
      <c r="GH14" s="5" t="e">
        <f t="shared" ref="GH14:GH22" si="749">BN14-DY14</f>
        <v>#N/A</v>
      </c>
      <c r="GI14" s="5" t="e">
        <f t="shared" ref="GI14:GI22" si="750">BO14-DZ14</f>
        <v>#N/A</v>
      </c>
      <c r="GJ14" s="5" t="e">
        <f t="shared" ref="GJ14:GJ22" si="751">BP14-EA14</f>
        <v>#N/A</v>
      </c>
      <c r="GK14" s="5" t="e">
        <f t="shared" ref="GK14:GK22" si="752">BQ14-EB14</f>
        <v>#N/A</v>
      </c>
      <c r="GL14" s="5" t="e">
        <f t="shared" ref="GL14:GL22" si="753">BR14-EC14</f>
        <v>#N/A</v>
      </c>
      <c r="GM14" s="5" t="e">
        <f t="shared" ref="GM14:GM22" si="754">BS14-ED14</f>
        <v>#N/A</v>
      </c>
      <c r="GN14" s="5" t="e">
        <f t="shared" ref="GN14:GN22" si="755">BT14-EE14</f>
        <v>#N/A</v>
      </c>
      <c r="GO14" s="5" t="e">
        <f t="shared" ref="GO14:GO22" si="756">BU14-EF14</f>
        <v>#N/A</v>
      </c>
      <c r="GP14" s="5" t="e">
        <f t="shared" ref="GP14:GP22" si="757">BV14-EG14</f>
        <v>#N/A</v>
      </c>
      <c r="GQ14" s="5" t="e">
        <f t="shared" ref="GQ14:GQ22" si="758">BW14-EH14</f>
        <v>#N/A</v>
      </c>
      <c r="GR14" s="5" t="e">
        <f t="shared" ref="GR14:GR22" si="759">BX14-EI14</f>
        <v>#N/A</v>
      </c>
      <c r="GS14" s="5" t="e">
        <f t="shared" ref="GS14:GS22" si="760">BY14-EJ14</f>
        <v>#N/A</v>
      </c>
      <c r="GT14" s="5" t="e">
        <f t="shared" ref="GT14:GT22" si="761">BZ14-EK14</f>
        <v>#N/A</v>
      </c>
      <c r="GU14" s="5" t="e">
        <f t="shared" ref="GU14:GU22" si="762">CA14-EL14</f>
        <v>#N/A</v>
      </c>
      <c r="GV14" s="5" t="e">
        <f t="shared" ref="GV14:GV22" si="763">CB14-EM14</f>
        <v>#N/A</v>
      </c>
      <c r="GW14" s="5" t="e">
        <f t="shared" ref="GW14:GW22" si="764">CC14-EN14</f>
        <v>#N/A</v>
      </c>
      <c r="GX14" s="5" t="e">
        <f t="shared" ref="GX14:GX22" si="765">CD14-EO14</f>
        <v>#N/A</v>
      </c>
      <c r="GY14" s="5" t="e">
        <f t="shared" ref="GY14:GY22" si="766">CE14-EP14</f>
        <v>#N/A</v>
      </c>
      <c r="GZ14" s="5" t="e">
        <f t="shared" ref="GZ14:GZ22" si="767">CF14-EQ14</f>
        <v>#N/A</v>
      </c>
      <c r="HA14" s="5" t="e">
        <f t="shared" ref="HA14:HA22" si="768">CG14-ER14</f>
        <v>#N/A</v>
      </c>
      <c r="HC14" s="6" t="e">
        <f t="shared" ref="HC14:HC22" si="769">V14</f>
        <v>#N/A</v>
      </c>
      <c r="HD14" s="5" t="e">
        <f t="shared" ref="HD14:HD22" si="770">V14-ET14</f>
        <v>#N/A</v>
      </c>
      <c r="HE14" s="5" t="e">
        <f t="shared" ref="HE14:HE22" si="771">HD14-EU14</f>
        <v>#N/A</v>
      </c>
      <c r="HF14" s="5" t="e">
        <f t="shared" ref="HF14:HF22" si="772">HE14-EV14</f>
        <v>#N/A</v>
      </c>
      <c r="HG14" s="5" t="e">
        <f t="shared" ref="HG14:HG22" si="773">HF14-EW14</f>
        <v>#N/A</v>
      </c>
      <c r="HH14" s="5" t="e">
        <f t="shared" ref="HH14:HH22" si="774">HG14-EX14</f>
        <v>#N/A</v>
      </c>
      <c r="HI14" s="5" t="e">
        <f t="shared" ref="HI14:HI22" si="775">HH14-EY14</f>
        <v>#N/A</v>
      </c>
      <c r="HJ14" s="5" t="e">
        <f t="shared" ref="HJ14:HJ22" si="776">HI14-EZ14</f>
        <v>#N/A</v>
      </c>
      <c r="HK14" s="5" t="e">
        <f t="shared" ref="HK14:HK22" si="777">HJ14-FA14</f>
        <v>#N/A</v>
      </c>
      <c r="HL14" s="5" t="e">
        <f t="shared" ref="HL14:HL22" si="778">HK14-FB14</f>
        <v>#N/A</v>
      </c>
      <c r="HM14" s="5" t="e">
        <f t="shared" ref="HM14:HM22" si="779">HL14-FC14</f>
        <v>#N/A</v>
      </c>
      <c r="HN14" s="5" t="e">
        <f t="shared" ref="HN14:HN22" si="780">HM14-FD14</f>
        <v>#N/A</v>
      </c>
      <c r="HO14" s="5" t="e">
        <f t="shared" ref="HO14:HO22" si="781">HN14-FE14</f>
        <v>#N/A</v>
      </c>
      <c r="HP14" s="5" t="e">
        <f t="shared" ref="HP14:HP22" si="782">HO14-FF14</f>
        <v>#N/A</v>
      </c>
      <c r="HQ14" s="5" t="e">
        <f t="shared" ref="HQ14:HQ22" si="783">HP14-FG14</f>
        <v>#N/A</v>
      </c>
      <c r="HR14" s="5" t="e">
        <f t="shared" ref="HR14:HR22" si="784">HQ14-FH14</f>
        <v>#N/A</v>
      </c>
      <c r="HS14" s="5" t="e">
        <f t="shared" ref="HS14:HS22" si="785">HR14-FI14</f>
        <v>#N/A</v>
      </c>
      <c r="HT14" s="5" t="e">
        <f t="shared" ref="HT14:HT22" si="786">HS14-FJ14</f>
        <v>#N/A</v>
      </c>
      <c r="HU14" s="5" t="e">
        <f t="shared" ref="HU14:HU22" si="787">HT14-FK14</f>
        <v>#N/A</v>
      </c>
      <c r="HV14" s="5" t="e">
        <f t="shared" ref="HV14:HV22" si="788">HU14-FL14</f>
        <v>#N/A</v>
      </c>
      <c r="HW14" s="5" t="e">
        <f t="shared" ref="HW14:HW22" si="789">HV14-FM14</f>
        <v>#N/A</v>
      </c>
      <c r="HX14" s="5" t="e">
        <f t="shared" ref="HX14:HX22" si="790">HW14-FN14</f>
        <v>#N/A</v>
      </c>
      <c r="HY14" s="5" t="e">
        <f t="shared" ref="HY14:HY22" si="791">HX14-FO14</f>
        <v>#N/A</v>
      </c>
      <c r="HZ14" s="5" t="e">
        <f t="shared" ref="HZ14:HZ22" si="792">HY14-FP14</f>
        <v>#N/A</v>
      </c>
      <c r="IA14" s="5" t="e">
        <f t="shared" ref="IA14:IA22" si="793">HZ14-FQ14</f>
        <v>#N/A</v>
      </c>
      <c r="IB14" s="5" t="e">
        <f t="shared" ref="IB14:IB22" si="794">IA14-FR14</f>
        <v>#N/A</v>
      </c>
      <c r="IC14" s="5" t="e">
        <f t="shared" ref="IC14:IC22" si="795">IB14-FS14</f>
        <v>#N/A</v>
      </c>
      <c r="ID14" s="5" t="e">
        <f t="shared" ref="ID14:ID22" si="796">IC14-FT14</f>
        <v>#N/A</v>
      </c>
      <c r="IE14" s="5" t="e">
        <f t="shared" ref="IE14:IE22" si="797">ID14-FU14</f>
        <v>#N/A</v>
      </c>
      <c r="IF14" s="5" t="e">
        <f t="shared" ref="IF14:IF22" si="798">IE14-FV14</f>
        <v>#N/A</v>
      </c>
      <c r="IG14" s="5" t="e">
        <f t="shared" ref="IG14:IG22" si="799">IF14-FW14</f>
        <v>#N/A</v>
      </c>
      <c r="IH14" s="5" t="e">
        <f t="shared" ref="IH14:IH22" si="800">IG14-FX14</f>
        <v>#N/A</v>
      </c>
      <c r="II14" s="5" t="e">
        <f t="shared" ref="II14:II22" si="801">IH14-FY14</f>
        <v>#N/A</v>
      </c>
      <c r="IJ14" s="5" t="e">
        <f t="shared" ref="IJ14:IJ22" si="802">II14-FZ14</f>
        <v>#N/A</v>
      </c>
      <c r="IK14" s="5" t="e">
        <f t="shared" ref="IK14:IK22" si="803">IJ14-GA14</f>
        <v>#N/A</v>
      </c>
      <c r="IL14" s="5" t="e">
        <f t="shared" ref="IL14:IL22" si="804">IK14-GB14</f>
        <v>#N/A</v>
      </c>
      <c r="IM14" s="5" t="e">
        <f t="shared" ref="IM14:IM22" si="805">IL14-GC14</f>
        <v>#N/A</v>
      </c>
      <c r="IN14" s="5" t="e">
        <f t="shared" ref="IN14:IN22" si="806">IM14-GD14</f>
        <v>#N/A</v>
      </c>
      <c r="IO14" s="5" t="e">
        <f t="shared" ref="IO14:IO22" si="807">IN14-GE14</f>
        <v>#N/A</v>
      </c>
      <c r="IP14" s="5" t="e">
        <f t="shared" ref="IP14:IP22" si="808">IO14-GF14</f>
        <v>#N/A</v>
      </c>
      <c r="IQ14" s="5" t="e">
        <f t="shared" ref="IQ14:IQ22" si="809">IP14-GG14</f>
        <v>#N/A</v>
      </c>
      <c r="IR14" s="5" t="e">
        <f t="shared" ref="IR14:IR22" si="810">IQ14-GH14</f>
        <v>#N/A</v>
      </c>
      <c r="IS14" s="5" t="e">
        <f t="shared" ref="IS14:IS22" si="811">IR14-GI14</f>
        <v>#N/A</v>
      </c>
      <c r="IT14" s="5" t="e">
        <f t="shared" ref="IT14:IT22" si="812">IS14-GJ14</f>
        <v>#N/A</v>
      </c>
      <c r="IU14" s="5" t="e">
        <f t="shared" ref="IU14:IU22" si="813">IT14-GK14</f>
        <v>#N/A</v>
      </c>
      <c r="IV14" s="5" t="e">
        <f t="shared" ref="IV14:IV22" si="814">IU14-GL14</f>
        <v>#N/A</v>
      </c>
      <c r="IW14" s="5" t="e">
        <f t="shared" ref="IW14:IW22" si="815">IV14-GM14</f>
        <v>#N/A</v>
      </c>
      <c r="IX14" s="5" t="e">
        <f t="shared" ref="IX14:IX22" si="816">IW14-GN14</f>
        <v>#N/A</v>
      </c>
      <c r="IY14" s="5" t="e">
        <f t="shared" ref="IY14:IY22" si="817">IX14-GO14</f>
        <v>#N/A</v>
      </c>
      <c r="IZ14" s="5" t="e">
        <f t="shared" ref="IZ14:IZ22" si="818">IY14-GP14</f>
        <v>#N/A</v>
      </c>
      <c r="JA14" s="5" t="e">
        <f t="shared" ref="JA14:JA22" si="819">IZ14-GQ14</f>
        <v>#N/A</v>
      </c>
      <c r="JB14" s="5" t="e">
        <f t="shared" ref="JB14:JB22" si="820">JA14-GR14</f>
        <v>#N/A</v>
      </c>
      <c r="JC14" s="5" t="e">
        <f t="shared" ref="JC14:JC22" si="821">JB14-GS14</f>
        <v>#N/A</v>
      </c>
      <c r="JD14" s="5" t="e">
        <f t="shared" ref="JD14:JD22" si="822">JC14-GT14</f>
        <v>#N/A</v>
      </c>
      <c r="JE14" s="5" t="e">
        <f t="shared" ref="JE14:JE22" si="823">JD14-GU14</f>
        <v>#N/A</v>
      </c>
      <c r="JF14" s="5" t="e">
        <f t="shared" ref="JF14:JF22" si="824">JE14-GV14</f>
        <v>#N/A</v>
      </c>
      <c r="JG14" s="5" t="e">
        <f t="shared" ref="JG14:JG22" si="825">JF14-GW14</f>
        <v>#N/A</v>
      </c>
      <c r="JH14" s="5" t="e">
        <f t="shared" ref="JH14:JH22" si="826">JG14-GX14</f>
        <v>#N/A</v>
      </c>
      <c r="JI14" s="5" t="e">
        <f t="shared" ref="JI14:JI22" si="827">JH14-GY14</f>
        <v>#N/A</v>
      </c>
      <c r="JJ14" s="5" t="e">
        <f t="shared" ref="JJ14:JJ22" si="828">JI14-GZ14</f>
        <v>#N/A</v>
      </c>
      <c r="JK14" s="5" t="e">
        <f t="shared" ref="JK14:JK22" si="829">JJ14-HA14</f>
        <v>#N/A</v>
      </c>
      <c r="JM14" s="19" t="e">
        <f t="shared" ref="JM14:JM22" si="830">KC14</f>
        <v>#N/A</v>
      </c>
      <c r="JN14" s="1">
        <v>12</v>
      </c>
      <c r="JO14" s="5" t="e">
        <f>HLOOKUP(JM14,HC$2:JK14,2+JN13,0)-IF(KE14&gt;0,KE14,0)</f>
        <v>#N/A</v>
      </c>
      <c r="JP14" s="5" t="e">
        <f t="shared" ref="JP14:JP22" si="831">JO14*($X14/360)</f>
        <v>#N/A</v>
      </c>
      <c r="JQ14" s="17"/>
      <c r="JR14" s="17"/>
      <c r="JS14" s="6">
        <f t="shared" ref="JS14:JS22" si="832">JR14-JQ14</f>
        <v>0</v>
      </c>
      <c r="JT14" s="5" t="e">
        <f t="shared" ref="JT14:JT22" si="833">(JS14)*JP14</f>
        <v>#N/A</v>
      </c>
      <c r="JU14" s="13">
        <f t="shared" ca="1" si="22"/>
        <v>46161</v>
      </c>
      <c r="JV14" s="6" t="e">
        <f t="shared" ref="JV14:JV22" si="834">JT14+JO14</f>
        <v>#N/A</v>
      </c>
      <c r="JW14" s="6"/>
      <c r="JX14" s="6"/>
      <c r="JY14" s="6">
        <f t="shared" ref="JY14:JY22" si="835">JX14-JW14</f>
        <v>0</v>
      </c>
      <c r="JZ14" s="10" t="e">
        <f t="shared" ref="JZ14:JZ22" si="836">JY14/U14</f>
        <v>#N/A</v>
      </c>
      <c r="KA14" s="10" t="e">
        <f t="shared" ref="KA14:KA22" si="837">JZ14-J14</f>
        <v>#N/A</v>
      </c>
      <c r="KB14" s="10" t="e">
        <f t="shared" ref="KB14:KB22" si="838">ROUNDDOWN(JZ14,0)</f>
        <v>#N/A</v>
      </c>
      <c r="KC14" s="10" t="e">
        <f t="shared" ref="KC14:KC22" si="839">KB14-J14</f>
        <v>#N/A</v>
      </c>
      <c r="KD14" s="5" t="e">
        <f t="shared" ref="KD14:KD22" si="840">KB14*U14</f>
        <v>#N/A</v>
      </c>
      <c r="KE14" s="6" t="e">
        <f t="shared" ref="KE14:KE22" si="841">JY14-KD14</f>
        <v>#N/A</v>
      </c>
      <c r="KG14" s="26"/>
    </row>
    <row r="15" spans="1:297" ht="14.4" customHeight="1" x14ac:dyDescent="0.3">
      <c r="C15" s="1" t="e">
        <f>VLOOKUP(B15,DD!A:B,2,0)</f>
        <v>#N/A</v>
      </c>
      <c r="D15" s="1" t="e">
        <f>VLOOKUP(B15,DD!A:K,11,0)</f>
        <v>#N/A</v>
      </c>
      <c r="E15" s="1" t="e">
        <f>VLOOKUP(B15,DD!A:L,12,0)</f>
        <v>#N/A</v>
      </c>
      <c r="F15" s="17" t="e">
        <f>VLOOKUP(B15,DD!A:D,4,0)</f>
        <v>#N/A</v>
      </c>
      <c r="G15" s="9">
        <v>1</v>
      </c>
      <c r="H15" s="3" t="e">
        <f>VLOOKUP(B15,DD!A:E,5,0)</f>
        <v>#N/A</v>
      </c>
      <c r="I15" s="3" t="e">
        <f t="shared" si="638"/>
        <v>#N/A</v>
      </c>
      <c r="J15" s="3" t="e">
        <f>VLOOKUP(B15,DD!A:F,6,0)</f>
        <v>#N/A</v>
      </c>
      <c r="K15" s="3" t="e">
        <f>VLOOKUP(B15,DD!A:H,8,0)</f>
        <v>#N/A</v>
      </c>
      <c r="L15" s="3" t="e">
        <f>VLOOKUP(B15,DD!A:I,9,0)</f>
        <v>#N/A</v>
      </c>
      <c r="M15" s="3" t="e">
        <f>VLOOKUP(B15,DD!A:J,10,0)</f>
        <v>#N/A</v>
      </c>
      <c r="N15" s="3" t="s">
        <v>8</v>
      </c>
      <c r="O15" s="3" t="s">
        <v>9</v>
      </c>
      <c r="P15" s="4" t="e">
        <f>VLOOKUP(B15,DD!A:C,3,0)</f>
        <v>#N/A</v>
      </c>
      <c r="Q15" s="5" t="e">
        <f t="shared" si="639"/>
        <v>#N/A</v>
      </c>
      <c r="R15" s="5" t="e">
        <f t="shared" si="640"/>
        <v>#N/A</v>
      </c>
      <c r="S15" s="5" t="e">
        <f t="shared" si="641"/>
        <v>#N/A</v>
      </c>
      <c r="T15" s="6" t="e">
        <f t="shared" si="642"/>
        <v>#N/A</v>
      </c>
      <c r="U15" s="5" t="e">
        <f t="shared" si="643"/>
        <v>#N/A</v>
      </c>
      <c r="V15" s="6" t="e">
        <f t="shared" si="644"/>
        <v>#N/A</v>
      </c>
      <c r="W15" s="7" t="e">
        <f t="shared" si="645"/>
        <v>#N/A</v>
      </c>
      <c r="X15" s="8" t="e">
        <f t="shared" si="8"/>
        <v>#VALUE!</v>
      </c>
      <c r="Y15" s="6" t="e">
        <f t="shared" si="646"/>
        <v>#N/A</v>
      </c>
      <c r="Z15" s="7" t="e">
        <f t="shared" si="227"/>
        <v>#N/A</v>
      </c>
      <c r="AA15" s="7" t="e">
        <f t="shared" si="227"/>
        <v>#N/A</v>
      </c>
      <c r="AB15" s="7" t="e">
        <f t="shared" si="227"/>
        <v>#N/A</v>
      </c>
      <c r="AC15" s="7" t="e">
        <f t="shared" si="227"/>
        <v>#N/A</v>
      </c>
      <c r="AD15" s="7" t="e">
        <f t="shared" si="227"/>
        <v>#N/A</v>
      </c>
      <c r="AE15" s="7" t="e">
        <f t="shared" si="227"/>
        <v>#N/A</v>
      </c>
      <c r="AF15" s="7" t="e">
        <f t="shared" si="227"/>
        <v>#N/A</v>
      </c>
      <c r="AG15" s="7" t="e">
        <f t="shared" si="227"/>
        <v>#N/A</v>
      </c>
      <c r="AH15" s="7" t="e">
        <f t="shared" si="227"/>
        <v>#N/A</v>
      </c>
      <c r="AI15" s="7" t="e">
        <f t="shared" si="227"/>
        <v>#N/A</v>
      </c>
      <c r="AJ15" s="7" t="e">
        <f t="shared" si="227"/>
        <v>#N/A</v>
      </c>
      <c r="AK15" s="7" t="e">
        <f t="shared" si="227"/>
        <v>#N/A</v>
      </c>
      <c r="AL15" s="7" t="e">
        <f t="shared" si="227"/>
        <v>#N/A</v>
      </c>
      <c r="AM15" s="7" t="e">
        <f t="shared" si="227"/>
        <v>#N/A</v>
      </c>
      <c r="AN15" s="7" t="e">
        <f t="shared" si="227"/>
        <v>#N/A</v>
      </c>
      <c r="AO15" s="7" t="e">
        <f t="shared" si="227"/>
        <v>#N/A</v>
      </c>
      <c r="AP15" s="7" t="e">
        <f t="shared" si="227"/>
        <v>#N/A</v>
      </c>
      <c r="AQ15" s="7" t="e">
        <f t="shared" si="227"/>
        <v>#N/A</v>
      </c>
      <c r="AR15" s="7" t="e">
        <f t="shared" si="227"/>
        <v>#N/A</v>
      </c>
      <c r="AS15" s="7" t="e">
        <f t="shared" si="227"/>
        <v>#N/A</v>
      </c>
      <c r="AT15" s="7" t="e">
        <f t="shared" si="227"/>
        <v>#N/A</v>
      </c>
      <c r="AU15" s="7" t="e">
        <f t="shared" si="227"/>
        <v>#N/A</v>
      </c>
      <c r="AV15" s="7" t="e">
        <f t="shared" si="227"/>
        <v>#N/A</v>
      </c>
      <c r="AW15" s="7" t="e">
        <f t="shared" si="227"/>
        <v>#N/A</v>
      </c>
      <c r="AX15" s="7" t="e">
        <f t="shared" si="227"/>
        <v>#N/A</v>
      </c>
      <c r="AY15" s="7" t="e">
        <f t="shared" si="227"/>
        <v>#N/A</v>
      </c>
      <c r="AZ15" s="7" t="e">
        <f t="shared" si="227"/>
        <v>#N/A</v>
      </c>
      <c r="BA15" s="7" t="e">
        <f t="shared" si="227"/>
        <v>#N/A</v>
      </c>
      <c r="BB15" s="7" t="e">
        <f t="shared" si="227"/>
        <v>#N/A</v>
      </c>
      <c r="BC15" s="7" t="e">
        <f t="shared" si="227"/>
        <v>#N/A</v>
      </c>
      <c r="BD15" s="7" t="e">
        <f t="shared" si="227"/>
        <v>#N/A</v>
      </c>
      <c r="BE15" s="7" t="e">
        <f t="shared" si="227"/>
        <v>#N/A</v>
      </c>
      <c r="BF15" s="7" t="e">
        <f t="shared" si="442"/>
        <v>#N/A</v>
      </c>
      <c r="BG15" s="7" t="e">
        <f t="shared" si="442"/>
        <v>#N/A</v>
      </c>
      <c r="BH15" s="7" t="e">
        <f t="shared" si="442"/>
        <v>#N/A</v>
      </c>
      <c r="BI15" s="7" t="e">
        <f t="shared" si="237"/>
        <v>#N/A</v>
      </c>
      <c r="BJ15" s="7" t="e">
        <f t="shared" si="237"/>
        <v>#N/A</v>
      </c>
      <c r="BK15" s="7" t="e">
        <f t="shared" si="237"/>
        <v>#N/A</v>
      </c>
      <c r="BL15" s="7" t="e">
        <f t="shared" si="237"/>
        <v>#N/A</v>
      </c>
      <c r="BM15" s="7" t="e">
        <f t="shared" si="237"/>
        <v>#N/A</v>
      </c>
      <c r="BN15" s="7" t="e">
        <f t="shared" si="237"/>
        <v>#N/A</v>
      </c>
      <c r="BO15" s="7" t="e">
        <f t="shared" si="237"/>
        <v>#N/A</v>
      </c>
      <c r="BP15" s="7" t="e">
        <f t="shared" si="237"/>
        <v>#N/A</v>
      </c>
      <c r="BQ15" s="7" t="e">
        <f t="shared" si="237"/>
        <v>#N/A</v>
      </c>
      <c r="BR15" s="7" t="e">
        <f t="shared" si="237"/>
        <v>#N/A</v>
      </c>
      <c r="BS15" s="7" t="e">
        <f t="shared" si="237"/>
        <v>#N/A</v>
      </c>
      <c r="BT15" s="7" t="e">
        <f t="shared" si="237"/>
        <v>#N/A</v>
      </c>
      <c r="BU15" s="7" t="e">
        <f t="shared" si="237"/>
        <v>#N/A</v>
      </c>
      <c r="BV15" s="7" t="e">
        <f t="shared" si="237"/>
        <v>#N/A</v>
      </c>
      <c r="BW15" s="7" t="e">
        <f t="shared" si="237"/>
        <v>#N/A</v>
      </c>
      <c r="BX15" s="7" t="e">
        <f t="shared" si="237"/>
        <v>#N/A</v>
      </c>
      <c r="BY15" s="7" t="e">
        <f t="shared" si="237"/>
        <v>#N/A</v>
      </c>
      <c r="BZ15" s="7" t="e">
        <f t="shared" si="237"/>
        <v>#N/A</v>
      </c>
      <c r="CA15" s="7" t="e">
        <f t="shared" si="237"/>
        <v>#N/A</v>
      </c>
      <c r="CB15" s="7" t="e">
        <f t="shared" si="237"/>
        <v>#N/A</v>
      </c>
      <c r="CC15" s="7" t="e">
        <f t="shared" si="237"/>
        <v>#N/A</v>
      </c>
      <c r="CD15" s="7" t="e">
        <f t="shared" si="237"/>
        <v>#N/A</v>
      </c>
      <c r="CE15" s="7" t="e">
        <f t="shared" si="237"/>
        <v>#N/A</v>
      </c>
      <c r="CF15" s="7" t="e">
        <f t="shared" si="237"/>
        <v>#N/A</v>
      </c>
      <c r="CG15" s="7" t="e">
        <f t="shared" si="237"/>
        <v>#N/A</v>
      </c>
      <c r="CH15" s="6" t="e">
        <f t="shared" si="647"/>
        <v>#N/A</v>
      </c>
      <c r="CI15" s="5" t="e">
        <f t="shared" si="648"/>
        <v>#N/A</v>
      </c>
      <c r="CK15" s="5" t="e">
        <f t="shared" si="649"/>
        <v>#N/A</v>
      </c>
      <c r="CL15" s="5" t="e">
        <f t="shared" si="650"/>
        <v>#N/A</v>
      </c>
      <c r="CM15" s="5" t="e">
        <f t="shared" si="651"/>
        <v>#N/A</v>
      </c>
      <c r="CN15" s="5" t="e">
        <f t="shared" si="652"/>
        <v>#N/A</v>
      </c>
      <c r="CO15" s="5" t="e">
        <f t="shared" si="653"/>
        <v>#N/A</v>
      </c>
      <c r="CP15" s="5" t="e">
        <f t="shared" si="654"/>
        <v>#N/A</v>
      </c>
      <c r="CQ15" s="5" t="e">
        <f t="shared" si="655"/>
        <v>#N/A</v>
      </c>
      <c r="CR15" s="5" t="e">
        <f t="shared" si="656"/>
        <v>#N/A</v>
      </c>
      <c r="CS15" s="5" t="e">
        <f t="shared" si="657"/>
        <v>#N/A</v>
      </c>
      <c r="CT15" s="5" t="e">
        <f t="shared" si="658"/>
        <v>#N/A</v>
      </c>
      <c r="CU15" s="5" t="e">
        <f t="shared" si="659"/>
        <v>#N/A</v>
      </c>
      <c r="CV15" s="5" t="e">
        <f t="shared" si="660"/>
        <v>#N/A</v>
      </c>
      <c r="CW15" s="5" t="e">
        <f t="shared" si="661"/>
        <v>#N/A</v>
      </c>
      <c r="CX15" s="5" t="e">
        <f t="shared" si="662"/>
        <v>#N/A</v>
      </c>
      <c r="CY15" s="5" t="e">
        <f t="shared" si="663"/>
        <v>#N/A</v>
      </c>
      <c r="CZ15" s="5" t="e">
        <f t="shared" si="664"/>
        <v>#N/A</v>
      </c>
      <c r="DA15" s="5" t="e">
        <f t="shared" si="665"/>
        <v>#N/A</v>
      </c>
      <c r="DB15" s="5" t="e">
        <f t="shared" si="666"/>
        <v>#N/A</v>
      </c>
      <c r="DC15" s="5" t="e">
        <f t="shared" si="667"/>
        <v>#N/A</v>
      </c>
      <c r="DD15" s="5" t="e">
        <f t="shared" si="668"/>
        <v>#N/A</v>
      </c>
      <c r="DE15" s="5" t="e">
        <f t="shared" si="669"/>
        <v>#N/A</v>
      </c>
      <c r="DF15" s="5" t="e">
        <f t="shared" si="670"/>
        <v>#N/A</v>
      </c>
      <c r="DG15" s="5" t="e">
        <f t="shared" si="671"/>
        <v>#N/A</v>
      </c>
      <c r="DH15" s="5" t="e">
        <f t="shared" si="672"/>
        <v>#N/A</v>
      </c>
      <c r="DI15" s="5" t="e">
        <f t="shared" si="673"/>
        <v>#N/A</v>
      </c>
      <c r="DJ15" s="5" t="e">
        <f t="shared" si="674"/>
        <v>#N/A</v>
      </c>
      <c r="DK15" s="5" t="e">
        <f t="shared" si="675"/>
        <v>#N/A</v>
      </c>
      <c r="DL15" s="5" t="e">
        <f t="shared" si="676"/>
        <v>#N/A</v>
      </c>
      <c r="DM15" s="5" t="e">
        <f t="shared" si="677"/>
        <v>#N/A</v>
      </c>
      <c r="DN15" s="5" t="e">
        <f t="shared" si="678"/>
        <v>#N/A</v>
      </c>
      <c r="DO15" s="5" t="e">
        <f t="shared" si="679"/>
        <v>#N/A</v>
      </c>
      <c r="DP15" s="5" t="e">
        <f t="shared" si="680"/>
        <v>#N/A</v>
      </c>
      <c r="DQ15" s="5" t="e">
        <f t="shared" si="681"/>
        <v>#N/A</v>
      </c>
      <c r="DR15" s="5" t="e">
        <f t="shared" si="682"/>
        <v>#N/A</v>
      </c>
      <c r="DS15" s="5" t="e">
        <f t="shared" si="683"/>
        <v>#N/A</v>
      </c>
      <c r="DT15" s="5" t="e">
        <f t="shared" si="684"/>
        <v>#N/A</v>
      </c>
      <c r="DU15" s="5" t="e">
        <f t="shared" si="685"/>
        <v>#N/A</v>
      </c>
      <c r="DV15" s="5" t="e">
        <f t="shared" si="686"/>
        <v>#N/A</v>
      </c>
      <c r="DW15" s="5" t="e">
        <f t="shared" si="687"/>
        <v>#N/A</v>
      </c>
      <c r="DX15" s="5" t="e">
        <f t="shared" si="688"/>
        <v>#N/A</v>
      </c>
      <c r="DY15" s="5" t="e">
        <f t="shared" si="689"/>
        <v>#N/A</v>
      </c>
      <c r="DZ15" s="5" t="e">
        <f t="shared" si="690"/>
        <v>#N/A</v>
      </c>
      <c r="EA15" s="5" t="e">
        <f t="shared" si="691"/>
        <v>#N/A</v>
      </c>
      <c r="EB15" s="5" t="e">
        <f t="shared" si="692"/>
        <v>#N/A</v>
      </c>
      <c r="EC15" s="5" t="e">
        <f t="shared" si="693"/>
        <v>#N/A</v>
      </c>
      <c r="ED15" s="5" t="e">
        <f t="shared" si="694"/>
        <v>#N/A</v>
      </c>
      <c r="EE15" s="5" t="e">
        <f t="shared" si="695"/>
        <v>#N/A</v>
      </c>
      <c r="EF15" s="5" t="e">
        <f t="shared" si="696"/>
        <v>#N/A</v>
      </c>
      <c r="EG15" s="5" t="e">
        <f t="shared" si="697"/>
        <v>#N/A</v>
      </c>
      <c r="EH15" s="5" t="e">
        <f t="shared" si="698"/>
        <v>#N/A</v>
      </c>
      <c r="EI15" s="5" t="e">
        <f t="shared" si="699"/>
        <v>#N/A</v>
      </c>
      <c r="EJ15" s="5" t="e">
        <f t="shared" si="700"/>
        <v>#N/A</v>
      </c>
      <c r="EK15" s="5" t="e">
        <f t="shared" si="701"/>
        <v>#N/A</v>
      </c>
      <c r="EL15" s="5" t="e">
        <f t="shared" si="702"/>
        <v>#N/A</v>
      </c>
      <c r="EM15" s="5" t="e">
        <f t="shared" si="703"/>
        <v>#N/A</v>
      </c>
      <c r="EN15" s="5" t="e">
        <f t="shared" si="704"/>
        <v>#N/A</v>
      </c>
      <c r="EO15" s="5" t="e">
        <f t="shared" si="705"/>
        <v>#N/A</v>
      </c>
      <c r="EP15" s="5" t="e">
        <f t="shared" si="706"/>
        <v>#N/A</v>
      </c>
      <c r="EQ15" s="5" t="e">
        <f t="shared" si="707"/>
        <v>#N/A</v>
      </c>
      <c r="ER15" s="5" t="e">
        <f t="shared" si="708"/>
        <v>#N/A</v>
      </c>
      <c r="ET15" s="5" t="e">
        <f t="shared" si="709"/>
        <v>#N/A</v>
      </c>
      <c r="EU15" s="5" t="e">
        <f t="shared" si="710"/>
        <v>#N/A</v>
      </c>
      <c r="EV15" s="5" t="e">
        <f t="shared" si="711"/>
        <v>#N/A</v>
      </c>
      <c r="EW15" s="5" t="e">
        <f t="shared" si="712"/>
        <v>#N/A</v>
      </c>
      <c r="EX15" s="5" t="e">
        <f t="shared" si="713"/>
        <v>#N/A</v>
      </c>
      <c r="EY15" s="5" t="e">
        <f t="shared" si="714"/>
        <v>#N/A</v>
      </c>
      <c r="EZ15" s="5" t="e">
        <f t="shared" si="715"/>
        <v>#N/A</v>
      </c>
      <c r="FA15" s="5" t="e">
        <f t="shared" si="716"/>
        <v>#N/A</v>
      </c>
      <c r="FB15" s="5" t="e">
        <f t="shared" si="717"/>
        <v>#N/A</v>
      </c>
      <c r="FC15" s="5" t="e">
        <f t="shared" si="718"/>
        <v>#N/A</v>
      </c>
      <c r="FD15" s="5" t="e">
        <f t="shared" si="719"/>
        <v>#N/A</v>
      </c>
      <c r="FE15" s="5" t="e">
        <f t="shared" si="720"/>
        <v>#N/A</v>
      </c>
      <c r="FF15" s="5" t="e">
        <f t="shared" si="721"/>
        <v>#N/A</v>
      </c>
      <c r="FG15" s="5" t="e">
        <f t="shared" si="722"/>
        <v>#N/A</v>
      </c>
      <c r="FH15" s="5" t="e">
        <f t="shared" si="723"/>
        <v>#N/A</v>
      </c>
      <c r="FI15" s="5" t="e">
        <f t="shared" si="724"/>
        <v>#N/A</v>
      </c>
      <c r="FJ15" s="5" t="e">
        <f t="shared" si="725"/>
        <v>#N/A</v>
      </c>
      <c r="FK15" s="5" t="e">
        <f t="shared" si="726"/>
        <v>#N/A</v>
      </c>
      <c r="FL15" s="5" t="e">
        <f t="shared" si="727"/>
        <v>#N/A</v>
      </c>
      <c r="FM15" s="5" t="e">
        <f t="shared" si="728"/>
        <v>#N/A</v>
      </c>
      <c r="FN15" s="5" t="e">
        <f t="shared" si="729"/>
        <v>#N/A</v>
      </c>
      <c r="FO15" s="5" t="e">
        <f t="shared" si="730"/>
        <v>#N/A</v>
      </c>
      <c r="FP15" s="5" t="e">
        <f t="shared" si="731"/>
        <v>#N/A</v>
      </c>
      <c r="FQ15" s="5" t="e">
        <f t="shared" si="732"/>
        <v>#N/A</v>
      </c>
      <c r="FR15" s="5" t="e">
        <f t="shared" si="733"/>
        <v>#N/A</v>
      </c>
      <c r="FS15" s="5" t="e">
        <f t="shared" si="734"/>
        <v>#N/A</v>
      </c>
      <c r="FT15" s="5" t="e">
        <f t="shared" si="735"/>
        <v>#N/A</v>
      </c>
      <c r="FU15" s="5" t="e">
        <f t="shared" si="736"/>
        <v>#N/A</v>
      </c>
      <c r="FV15" s="5" t="e">
        <f t="shared" si="737"/>
        <v>#N/A</v>
      </c>
      <c r="FW15" s="5" t="e">
        <f t="shared" si="738"/>
        <v>#N/A</v>
      </c>
      <c r="FX15" s="5" t="e">
        <f t="shared" si="739"/>
        <v>#N/A</v>
      </c>
      <c r="FY15" s="5" t="e">
        <f t="shared" si="740"/>
        <v>#N/A</v>
      </c>
      <c r="FZ15" s="5" t="e">
        <f t="shared" si="741"/>
        <v>#N/A</v>
      </c>
      <c r="GA15" s="5" t="e">
        <f t="shared" si="742"/>
        <v>#N/A</v>
      </c>
      <c r="GB15" s="5" t="e">
        <f t="shared" si="743"/>
        <v>#N/A</v>
      </c>
      <c r="GC15" s="5" t="e">
        <f t="shared" si="744"/>
        <v>#N/A</v>
      </c>
      <c r="GD15" s="5" t="e">
        <f t="shared" si="745"/>
        <v>#N/A</v>
      </c>
      <c r="GE15" s="5" t="e">
        <f t="shared" si="746"/>
        <v>#N/A</v>
      </c>
      <c r="GF15" s="5" t="e">
        <f t="shared" si="747"/>
        <v>#N/A</v>
      </c>
      <c r="GG15" s="5" t="e">
        <f t="shared" si="748"/>
        <v>#N/A</v>
      </c>
      <c r="GH15" s="5" t="e">
        <f t="shared" si="749"/>
        <v>#N/A</v>
      </c>
      <c r="GI15" s="5" t="e">
        <f t="shared" si="750"/>
        <v>#N/A</v>
      </c>
      <c r="GJ15" s="5" t="e">
        <f t="shared" si="751"/>
        <v>#N/A</v>
      </c>
      <c r="GK15" s="5" t="e">
        <f t="shared" si="752"/>
        <v>#N/A</v>
      </c>
      <c r="GL15" s="5" t="e">
        <f t="shared" si="753"/>
        <v>#N/A</v>
      </c>
      <c r="GM15" s="5" t="e">
        <f t="shared" si="754"/>
        <v>#N/A</v>
      </c>
      <c r="GN15" s="5" t="e">
        <f t="shared" si="755"/>
        <v>#N/A</v>
      </c>
      <c r="GO15" s="5" t="e">
        <f t="shared" si="756"/>
        <v>#N/A</v>
      </c>
      <c r="GP15" s="5" t="e">
        <f t="shared" si="757"/>
        <v>#N/A</v>
      </c>
      <c r="GQ15" s="5" t="e">
        <f t="shared" si="758"/>
        <v>#N/A</v>
      </c>
      <c r="GR15" s="5" t="e">
        <f t="shared" si="759"/>
        <v>#N/A</v>
      </c>
      <c r="GS15" s="5" t="e">
        <f t="shared" si="760"/>
        <v>#N/A</v>
      </c>
      <c r="GT15" s="5" t="e">
        <f t="shared" si="761"/>
        <v>#N/A</v>
      </c>
      <c r="GU15" s="5" t="e">
        <f t="shared" si="762"/>
        <v>#N/A</v>
      </c>
      <c r="GV15" s="5" t="e">
        <f t="shared" si="763"/>
        <v>#N/A</v>
      </c>
      <c r="GW15" s="5" t="e">
        <f t="shared" si="764"/>
        <v>#N/A</v>
      </c>
      <c r="GX15" s="5" t="e">
        <f t="shared" si="765"/>
        <v>#N/A</v>
      </c>
      <c r="GY15" s="5" t="e">
        <f t="shared" si="766"/>
        <v>#N/A</v>
      </c>
      <c r="GZ15" s="5" t="e">
        <f t="shared" si="767"/>
        <v>#N/A</v>
      </c>
      <c r="HA15" s="5" t="e">
        <f t="shared" si="768"/>
        <v>#N/A</v>
      </c>
      <c r="HC15" s="6" t="e">
        <f t="shared" si="769"/>
        <v>#N/A</v>
      </c>
      <c r="HD15" s="5" t="e">
        <f t="shared" si="770"/>
        <v>#N/A</v>
      </c>
      <c r="HE15" s="5" t="e">
        <f t="shared" si="771"/>
        <v>#N/A</v>
      </c>
      <c r="HF15" s="5" t="e">
        <f t="shared" si="772"/>
        <v>#N/A</v>
      </c>
      <c r="HG15" s="5" t="e">
        <f t="shared" si="773"/>
        <v>#N/A</v>
      </c>
      <c r="HH15" s="5" t="e">
        <f t="shared" si="774"/>
        <v>#N/A</v>
      </c>
      <c r="HI15" s="5" t="e">
        <f t="shared" si="775"/>
        <v>#N/A</v>
      </c>
      <c r="HJ15" s="5" t="e">
        <f t="shared" si="776"/>
        <v>#N/A</v>
      </c>
      <c r="HK15" s="5" t="e">
        <f t="shared" si="777"/>
        <v>#N/A</v>
      </c>
      <c r="HL15" s="5" t="e">
        <f t="shared" si="778"/>
        <v>#N/A</v>
      </c>
      <c r="HM15" s="5" t="e">
        <f t="shared" si="779"/>
        <v>#N/A</v>
      </c>
      <c r="HN15" s="5" t="e">
        <f t="shared" si="780"/>
        <v>#N/A</v>
      </c>
      <c r="HO15" s="5" t="e">
        <f t="shared" si="781"/>
        <v>#N/A</v>
      </c>
      <c r="HP15" s="5" t="e">
        <f t="shared" si="782"/>
        <v>#N/A</v>
      </c>
      <c r="HQ15" s="5" t="e">
        <f t="shared" si="783"/>
        <v>#N/A</v>
      </c>
      <c r="HR15" s="5" t="e">
        <f t="shared" si="784"/>
        <v>#N/A</v>
      </c>
      <c r="HS15" s="5" t="e">
        <f t="shared" si="785"/>
        <v>#N/A</v>
      </c>
      <c r="HT15" s="5" t="e">
        <f t="shared" si="786"/>
        <v>#N/A</v>
      </c>
      <c r="HU15" s="5" t="e">
        <f t="shared" si="787"/>
        <v>#N/A</v>
      </c>
      <c r="HV15" s="5" t="e">
        <f t="shared" si="788"/>
        <v>#N/A</v>
      </c>
      <c r="HW15" s="5" t="e">
        <f t="shared" si="789"/>
        <v>#N/A</v>
      </c>
      <c r="HX15" s="5" t="e">
        <f t="shared" si="790"/>
        <v>#N/A</v>
      </c>
      <c r="HY15" s="5" t="e">
        <f t="shared" si="791"/>
        <v>#N/A</v>
      </c>
      <c r="HZ15" s="5" t="e">
        <f t="shared" si="792"/>
        <v>#N/A</v>
      </c>
      <c r="IA15" s="5" t="e">
        <f t="shared" si="793"/>
        <v>#N/A</v>
      </c>
      <c r="IB15" s="5" t="e">
        <f t="shared" si="794"/>
        <v>#N/A</v>
      </c>
      <c r="IC15" s="5" t="e">
        <f t="shared" si="795"/>
        <v>#N/A</v>
      </c>
      <c r="ID15" s="5" t="e">
        <f t="shared" si="796"/>
        <v>#N/A</v>
      </c>
      <c r="IE15" s="5" t="e">
        <f t="shared" si="797"/>
        <v>#N/A</v>
      </c>
      <c r="IF15" s="5" t="e">
        <f t="shared" si="798"/>
        <v>#N/A</v>
      </c>
      <c r="IG15" s="5" t="e">
        <f t="shared" si="799"/>
        <v>#N/A</v>
      </c>
      <c r="IH15" s="5" t="e">
        <f t="shared" si="800"/>
        <v>#N/A</v>
      </c>
      <c r="II15" s="5" t="e">
        <f t="shared" si="801"/>
        <v>#N/A</v>
      </c>
      <c r="IJ15" s="5" t="e">
        <f t="shared" si="802"/>
        <v>#N/A</v>
      </c>
      <c r="IK15" s="5" t="e">
        <f t="shared" si="803"/>
        <v>#N/A</v>
      </c>
      <c r="IL15" s="5" t="e">
        <f t="shared" si="804"/>
        <v>#N/A</v>
      </c>
      <c r="IM15" s="5" t="e">
        <f t="shared" si="805"/>
        <v>#N/A</v>
      </c>
      <c r="IN15" s="5" t="e">
        <f t="shared" si="806"/>
        <v>#N/A</v>
      </c>
      <c r="IO15" s="5" t="e">
        <f t="shared" si="807"/>
        <v>#N/A</v>
      </c>
      <c r="IP15" s="5" t="e">
        <f t="shared" si="808"/>
        <v>#N/A</v>
      </c>
      <c r="IQ15" s="5" t="e">
        <f t="shared" si="809"/>
        <v>#N/A</v>
      </c>
      <c r="IR15" s="5" t="e">
        <f t="shared" si="810"/>
        <v>#N/A</v>
      </c>
      <c r="IS15" s="5" t="e">
        <f t="shared" si="811"/>
        <v>#N/A</v>
      </c>
      <c r="IT15" s="5" t="e">
        <f t="shared" si="812"/>
        <v>#N/A</v>
      </c>
      <c r="IU15" s="5" t="e">
        <f t="shared" si="813"/>
        <v>#N/A</v>
      </c>
      <c r="IV15" s="5" t="e">
        <f t="shared" si="814"/>
        <v>#N/A</v>
      </c>
      <c r="IW15" s="5" t="e">
        <f t="shared" si="815"/>
        <v>#N/A</v>
      </c>
      <c r="IX15" s="5" t="e">
        <f t="shared" si="816"/>
        <v>#N/A</v>
      </c>
      <c r="IY15" s="5" t="e">
        <f t="shared" si="817"/>
        <v>#N/A</v>
      </c>
      <c r="IZ15" s="5" t="e">
        <f t="shared" si="818"/>
        <v>#N/A</v>
      </c>
      <c r="JA15" s="5" t="e">
        <f t="shared" si="819"/>
        <v>#N/A</v>
      </c>
      <c r="JB15" s="5" t="e">
        <f t="shared" si="820"/>
        <v>#N/A</v>
      </c>
      <c r="JC15" s="5" t="e">
        <f t="shared" si="821"/>
        <v>#N/A</v>
      </c>
      <c r="JD15" s="5" t="e">
        <f t="shared" si="822"/>
        <v>#N/A</v>
      </c>
      <c r="JE15" s="5" t="e">
        <f t="shared" si="823"/>
        <v>#N/A</v>
      </c>
      <c r="JF15" s="5" t="e">
        <f t="shared" si="824"/>
        <v>#N/A</v>
      </c>
      <c r="JG15" s="5" t="e">
        <f t="shared" si="825"/>
        <v>#N/A</v>
      </c>
      <c r="JH15" s="5" t="e">
        <f t="shared" si="826"/>
        <v>#N/A</v>
      </c>
      <c r="JI15" s="5" t="e">
        <f t="shared" si="827"/>
        <v>#N/A</v>
      </c>
      <c r="JJ15" s="5" t="e">
        <f t="shared" si="828"/>
        <v>#N/A</v>
      </c>
      <c r="JK15" s="5" t="e">
        <f t="shared" si="829"/>
        <v>#N/A</v>
      </c>
      <c r="JM15" s="19" t="e">
        <f t="shared" si="830"/>
        <v>#N/A</v>
      </c>
      <c r="JN15" s="1">
        <v>13</v>
      </c>
      <c r="JO15" s="5" t="e">
        <f>HLOOKUP(JM15,HC$2:JK15,2+JN14,0)-IF(KE15&gt;0,KE15,0)</f>
        <v>#N/A</v>
      </c>
      <c r="JP15" s="5" t="e">
        <f t="shared" si="831"/>
        <v>#N/A</v>
      </c>
      <c r="JQ15" s="17"/>
      <c r="JR15" s="17"/>
      <c r="JS15" s="6">
        <f t="shared" si="832"/>
        <v>0</v>
      </c>
      <c r="JT15" s="5" t="e">
        <f t="shared" si="833"/>
        <v>#N/A</v>
      </c>
      <c r="JU15" s="13">
        <f t="shared" ca="1" si="22"/>
        <v>46161</v>
      </c>
      <c r="JV15" s="6" t="e">
        <f t="shared" si="834"/>
        <v>#N/A</v>
      </c>
      <c r="JW15" s="6"/>
      <c r="JX15" s="6"/>
      <c r="JY15" s="6">
        <f t="shared" si="835"/>
        <v>0</v>
      </c>
      <c r="JZ15" s="10" t="e">
        <f t="shared" si="836"/>
        <v>#N/A</v>
      </c>
      <c r="KA15" s="10" t="e">
        <f t="shared" si="837"/>
        <v>#N/A</v>
      </c>
      <c r="KB15" s="10" t="e">
        <f t="shared" si="838"/>
        <v>#N/A</v>
      </c>
      <c r="KC15" s="10" t="e">
        <f t="shared" si="839"/>
        <v>#N/A</v>
      </c>
      <c r="KD15" s="5" t="e">
        <f t="shared" si="840"/>
        <v>#N/A</v>
      </c>
      <c r="KE15" s="6" t="e">
        <f t="shared" si="841"/>
        <v>#N/A</v>
      </c>
    </row>
    <row r="16" spans="1:297" ht="14.4" customHeight="1" x14ac:dyDescent="0.3">
      <c r="C16" s="1" t="e">
        <f>VLOOKUP(B16,DD!A:B,2,0)</f>
        <v>#N/A</v>
      </c>
      <c r="D16" s="1" t="e">
        <f>VLOOKUP(B16,DD!A:K,11,0)</f>
        <v>#N/A</v>
      </c>
      <c r="E16" s="1" t="e">
        <f>VLOOKUP(B16,DD!A:L,12,0)</f>
        <v>#N/A</v>
      </c>
      <c r="F16" s="17" t="e">
        <f>VLOOKUP(B16,DD!A:D,4,0)</f>
        <v>#N/A</v>
      </c>
      <c r="G16" s="9">
        <v>1</v>
      </c>
      <c r="H16" s="3" t="e">
        <f>VLOOKUP(B16,DD!A:E,5,0)</f>
        <v>#N/A</v>
      </c>
      <c r="I16" s="3" t="e">
        <f t="shared" si="638"/>
        <v>#N/A</v>
      </c>
      <c r="J16" s="3" t="e">
        <f>VLOOKUP(B16,DD!A:F,6,0)</f>
        <v>#N/A</v>
      </c>
      <c r="K16" s="3" t="e">
        <f>VLOOKUP(B16,DD!A:H,8,0)</f>
        <v>#N/A</v>
      </c>
      <c r="L16" s="3" t="e">
        <f>VLOOKUP(B16,DD!A:I,9,0)</f>
        <v>#N/A</v>
      </c>
      <c r="M16" s="3" t="e">
        <f>VLOOKUP(B16,DD!A:J,10,0)</f>
        <v>#N/A</v>
      </c>
      <c r="N16" s="3" t="s">
        <v>8</v>
      </c>
      <c r="O16" s="3" t="s">
        <v>9</v>
      </c>
      <c r="P16" s="4" t="e">
        <f>VLOOKUP(B16,DD!A:C,3,0)</f>
        <v>#N/A</v>
      </c>
      <c r="Q16" s="5" t="e">
        <f t="shared" si="639"/>
        <v>#N/A</v>
      </c>
      <c r="R16" s="5" t="e">
        <f t="shared" si="640"/>
        <v>#N/A</v>
      </c>
      <c r="S16" s="5" t="e">
        <f t="shared" si="641"/>
        <v>#N/A</v>
      </c>
      <c r="T16" s="6" t="e">
        <f t="shared" si="642"/>
        <v>#N/A</v>
      </c>
      <c r="U16" s="5" t="e">
        <f t="shared" si="643"/>
        <v>#N/A</v>
      </c>
      <c r="V16" s="6" t="e">
        <f t="shared" si="644"/>
        <v>#N/A</v>
      </c>
      <c r="W16" s="7" t="e">
        <f t="shared" si="645"/>
        <v>#N/A</v>
      </c>
      <c r="X16" s="8" t="e">
        <f t="shared" si="8"/>
        <v>#VALUE!</v>
      </c>
      <c r="Y16" s="6" t="e">
        <f t="shared" si="646"/>
        <v>#N/A</v>
      </c>
      <c r="Z16" s="7" t="e">
        <f t="shared" si="227"/>
        <v>#N/A</v>
      </c>
      <c r="AA16" s="7" t="e">
        <f t="shared" si="227"/>
        <v>#N/A</v>
      </c>
      <c r="AB16" s="7" t="e">
        <f t="shared" si="227"/>
        <v>#N/A</v>
      </c>
      <c r="AC16" s="7" t="e">
        <f t="shared" si="227"/>
        <v>#N/A</v>
      </c>
      <c r="AD16" s="7" t="e">
        <f t="shared" si="227"/>
        <v>#N/A</v>
      </c>
      <c r="AE16" s="7" t="e">
        <f t="shared" si="227"/>
        <v>#N/A</v>
      </c>
      <c r="AF16" s="7" t="e">
        <f t="shared" si="227"/>
        <v>#N/A</v>
      </c>
      <c r="AG16" s="7" t="e">
        <f t="shared" si="227"/>
        <v>#N/A</v>
      </c>
      <c r="AH16" s="7" t="e">
        <f t="shared" si="227"/>
        <v>#N/A</v>
      </c>
      <c r="AI16" s="7" t="e">
        <f t="shared" si="227"/>
        <v>#N/A</v>
      </c>
      <c r="AJ16" s="7" t="e">
        <f t="shared" si="227"/>
        <v>#N/A</v>
      </c>
      <c r="AK16" s="7" t="e">
        <f t="shared" si="227"/>
        <v>#N/A</v>
      </c>
      <c r="AL16" s="7" t="e">
        <f t="shared" si="227"/>
        <v>#N/A</v>
      </c>
      <c r="AM16" s="7" t="e">
        <f t="shared" si="227"/>
        <v>#N/A</v>
      </c>
      <c r="AN16" s="7" t="e">
        <f t="shared" si="227"/>
        <v>#N/A</v>
      </c>
      <c r="AO16" s="7" t="e">
        <f t="shared" si="227"/>
        <v>#N/A</v>
      </c>
      <c r="AP16" s="7" t="e">
        <f t="shared" si="227"/>
        <v>#N/A</v>
      </c>
      <c r="AQ16" s="7" t="e">
        <f t="shared" si="227"/>
        <v>#N/A</v>
      </c>
      <c r="AR16" s="7" t="e">
        <f t="shared" si="227"/>
        <v>#N/A</v>
      </c>
      <c r="AS16" s="7" t="e">
        <f t="shared" si="227"/>
        <v>#N/A</v>
      </c>
      <c r="AT16" s="7" t="e">
        <f t="shared" si="227"/>
        <v>#N/A</v>
      </c>
      <c r="AU16" s="7" t="e">
        <f t="shared" si="227"/>
        <v>#N/A</v>
      </c>
      <c r="AV16" s="7" t="e">
        <f t="shared" si="227"/>
        <v>#N/A</v>
      </c>
      <c r="AW16" s="7" t="e">
        <f t="shared" si="227"/>
        <v>#N/A</v>
      </c>
      <c r="AX16" s="7" t="e">
        <f t="shared" si="227"/>
        <v>#N/A</v>
      </c>
      <c r="AY16" s="7" t="e">
        <f t="shared" si="227"/>
        <v>#N/A</v>
      </c>
      <c r="AZ16" s="7" t="e">
        <f t="shared" si="227"/>
        <v>#N/A</v>
      </c>
      <c r="BA16" s="7" t="e">
        <f t="shared" si="227"/>
        <v>#N/A</v>
      </c>
      <c r="BB16" s="7" t="e">
        <f t="shared" si="227"/>
        <v>#N/A</v>
      </c>
      <c r="BC16" s="7" t="e">
        <f t="shared" si="227"/>
        <v>#N/A</v>
      </c>
      <c r="BD16" s="7" t="e">
        <f t="shared" si="227"/>
        <v>#N/A</v>
      </c>
      <c r="BE16" s="7" t="e">
        <f t="shared" si="227"/>
        <v>#N/A</v>
      </c>
      <c r="BF16" s="7" t="e">
        <f t="shared" si="442"/>
        <v>#N/A</v>
      </c>
      <c r="BG16" s="7" t="e">
        <f t="shared" si="442"/>
        <v>#N/A</v>
      </c>
      <c r="BH16" s="7" t="e">
        <f t="shared" si="442"/>
        <v>#N/A</v>
      </c>
      <c r="BI16" s="7" t="e">
        <f t="shared" si="237"/>
        <v>#N/A</v>
      </c>
      <c r="BJ16" s="7" t="e">
        <f t="shared" si="237"/>
        <v>#N/A</v>
      </c>
      <c r="BK16" s="7" t="e">
        <f t="shared" si="237"/>
        <v>#N/A</v>
      </c>
      <c r="BL16" s="7" t="e">
        <f t="shared" si="237"/>
        <v>#N/A</v>
      </c>
      <c r="BM16" s="7" t="e">
        <f t="shared" si="237"/>
        <v>#N/A</v>
      </c>
      <c r="BN16" s="7" t="e">
        <f t="shared" si="237"/>
        <v>#N/A</v>
      </c>
      <c r="BO16" s="7" t="e">
        <f t="shared" si="237"/>
        <v>#N/A</v>
      </c>
      <c r="BP16" s="7" t="e">
        <f t="shared" si="237"/>
        <v>#N/A</v>
      </c>
      <c r="BQ16" s="7" t="e">
        <f t="shared" si="237"/>
        <v>#N/A</v>
      </c>
      <c r="BR16" s="7" t="e">
        <f t="shared" si="237"/>
        <v>#N/A</v>
      </c>
      <c r="BS16" s="7" t="e">
        <f t="shared" si="237"/>
        <v>#N/A</v>
      </c>
      <c r="BT16" s="7" t="e">
        <f t="shared" si="237"/>
        <v>#N/A</v>
      </c>
      <c r="BU16" s="7" t="e">
        <f t="shared" si="237"/>
        <v>#N/A</v>
      </c>
      <c r="BV16" s="7" t="e">
        <f t="shared" si="237"/>
        <v>#N/A</v>
      </c>
      <c r="BW16" s="7" t="e">
        <f t="shared" si="237"/>
        <v>#N/A</v>
      </c>
      <c r="BX16" s="7" t="e">
        <f t="shared" si="237"/>
        <v>#N/A</v>
      </c>
      <c r="BY16" s="7" t="e">
        <f t="shared" si="237"/>
        <v>#N/A</v>
      </c>
      <c r="BZ16" s="7" t="e">
        <f t="shared" si="237"/>
        <v>#N/A</v>
      </c>
      <c r="CA16" s="7" t="e">
        <f t="shared" si="237"/>
        <v>#N/A</v>
      </c>
      <c r="CB16" s="7" t="e">
        <f t="shared" si="237"/>
        <v>#N/A</v>
      </c>
      <c r="CC16" s="7" t="e">
        <f t="shared" si="237"/>
        <v>#N/A</v>
      </c>
      <c r="CD16" s="7" t="e">
        <f t="shared" si="237"/>
        <v>#N/A</v>
      </c>
      <c r="CE16" s="7" t="e">
        <f t="shared" si="237"/>
        <v>#N/A</v>
      </c>
      <c r="CF16" s="7" t="e">
        <f t="shared" si="237"/>
        <v>#N/A</v>
      </c>
      <c r="CG16" s="7" t="e">
        <f t="shared" si="237"/>
        <v>#N/A</v>
      </c>
      <c r="CH16" s="6" t="e">
        <f t="shared" si="647"/>
        <v>#N/A</v>
      </c>
      <c r="CI16" s="5" t="e">
        <f t="shared" si="648"/>
        <v>#N/A</v>
      </c>
      <c r="CK16" s="5" t="e">
        <f t="shared" si="649"/>
        <v>#N/A</v>
      </c>
      <c r="CL16" s="5" t="e">
        <f t="shared" si="650"/>
        <v>#N/A</v>
      </c>
      <c r="CM16" s="5" t="e">
        <f t="shared" si="651"/>
        <v>#N/A</v>
      </c>
      <c r="CN16" s="5" t="e">
        <f t="shared" si="652"/>
        <v>#N/A</v>
      </c>
      <c r="CO16" s="5" t="e">
        <f t="shared" si="653"/>
        <v>#N/A</v>
      </c>
      <c r="CP16" s="5" t="e">
        <f t="shared" si="654"/>
        <v>#N/A</v>
      </c>
      <c r="CQ16" s="5" t="e">
        <f t="shared" si="655"/>
        <v>#N/A</v>
      </c>
      <c r="CR16" s="5" t="e">
        <f t="shared" si="656"/>
        <v>#N/A</v>
      </c>
      <c r="CS16" s="5" t="e">
        <f t="shared" si="657"/>
        <v>#N/A</v>
      </c>
      <c r="CT16" s="5" t="e">
        <f t="shared" si="658"/>
        <v>#N/A</v>
      </c>
      <c r="CU16" s="5" t="e">
        <f t="shared" si="659"/>
        <v>#N/A</v>
      </c>
      <c r="CV16" s="5" t="e">
        <f t="shared" si="660"/>
        <v>#N/A</v>
      </c>
      <c r="CW16" s="5" t="e">
        <f t="shared" si="661"/>
        <v>#N/A</v>
      </c>
      <c r="CX16" s="5" t="e">
        <f t="shared" si="662"/>
        <v>#N/A</v>
      </c>
      <c r="CY16" s="5" t="e">
        <f t="shared" si="663"/>
        <v>#N/A</v>
      </c>
      <c r="CZ16" s="5" t="e">
        <f t="shared" si="664"/>
        <v>#N/A</v>
      </c>
      <c r="DA16" s="5" t="e">
        <f t="shared" si="665"/>
        <v>#N/A</v>
      </c>
      <c r="DB16" s="5" t="e">
        <f t="shared" si="666"/>
        <v>#N/A</v>
      </c>
      <c r="DC16" s="5" t="e">
        <f t="shared" si="667"/>
        <v>#N/A</v>
      </c>
      <c r="DD16" s="5" t="e">
        <f t="shared" si="668"/>
        <v>#N/A</v>
      </c>
      <c r="DE16" s="5" t="e">
        <f t="shared" si="669"/>
        <v>#N/A</v>
      </c>
      <c r="DF16" s="5" t="e">
        <f t="shared" si="670"/>
        <v>#N/A</v>
      </c>
      <c r="DG16" s="5" t="e">
        <f t="shared" si="671"/>
        <v>#N/A</v>
      </c>
      <c r="DH16" s="5" t="e">
        <f t="shared" si="672"/>
        <v>#N/A</v>
      </c>
      <c r="DI16" s="5" t="e">
        <f t="shared" si="673"/>
        <v>#N/A</v>
      </c>
      <c r="DJ16" s="5" t="e">
        <f t="shared" si="674"/>
        <v>#N/A</v>
      </c>
      <c r="DK16" s="5" t="e">
        <f t="shared" si="675"/>
        <v>#N/A</v>
      </c>
      <c r="DL16" s="5" t="e">
        <f t="shared" si="676"/>
        <v>#N/A</v>
      </c>
      <c r="DM16" s="5" t="e">
        <f t="shared" si="677"/>
        <v>#N/A</v>
      </c>
      <c r="DN16" s="5" t="e">
        <f t="shared" si="678"/>
        <v>#N/A</v>
      </c>
      <c r="DO16" s="5" t="e">
        <f t="shared" si="679"/>
        <v>#N/A</v>
      </c>
      <c r="DP16" s="5" t="e">
        <f t="shared" si="680"/>
        <v>#N/A</v>
      </c>
      <c r="DQ16" s="5" t="e">
        <f t="shared" si="681"/>
        <v>#N/A</v>
      </c>
      <c r="DR16" s="5" t="e">
        <f t="shared" si="682"/>
        <v>#N/A</v>
      </c>
      <c r="DS16" s="5" t="e">
        <f t="shared" si="683"/>
        <v>#N/A</v>
      </c>
      <c r="DT16" s="5" t="e">
        <f t="shared" si="684"/>
        <v>#N/A</v>
      </c>
      <c r="DU16" s="5" t="e">
        <f t="shared" si="685"/>
        <v>#N/A</v>
      </c>
      <c r="DV16" s="5" t="e">
        <f t="shared" si="686"/>
        <v>#N/A</v>
      </c>
      <c r="DW16" s="5" t="e">
        <f t="shared" si="687"/>
        <v>#N/A</v>
      </c>
      <c r="DX16" s="5" t="e">
        <f t="shared" si="688"/>
        <v>#N/A</v>
      </c>
      <c r="DY16" s="5" t="e">
        <f t="shared" si="689"/>
        <v>#N/A</v>
      </c>
      <c r="DZ16" s="5" t="e">
        <f t="shared" si="690"/>
        <v>#N/A</v>
      </c>
      <c r="EA16" s="5" t="e">
        <f t="shared" si="691"/>
        <v>#N/A</v>
      </c>
      <c r="EB16" s="5" t="e">
        <f t="shared" si="692"/>
        <v>#N/A</v>
      </c>
      <c r="EC16" s="5" t="e">
        <f t="shared" si="693"/>
        <v>#N/A</v>
      </c>
      <c r="ED16" s="5" t="e">
        <f t="shared" si="694"/>
        <v>#N/A</v>
      </c>
      <c r="EE16" s="5" t="e">
        <f t="shared" si="695"/>
        <v>#N/A</v>
      </c>
      <c r="EF16" s="5" t="e">
        <f t="shared" si="696"/>
        <v>#N/A</v>
      </c>
      <c r="EG16" s="5" t="e">
        <f t="shared" si="697"/>
        <v>#N/A</v>
      </c>
      <c r="EH16" s="5" t="e">
        <f t="shared" si="698"/>
        <v>#N/A</v>
      </c>
      <c r="EI16" s="5" t="e">
        <f t="shared" si="699"/>
        <v>#N/A</v>
      </c>
      <c r="EJ16" s="5" t="e">
        <f t="shared" si="700"/>
        <v>#N/A</v>
      </c>
      <c r="EK16" s="5" t="e">
        <f t="shared" si="701"/>
        <v>#N/A</v>
      </c>
      <c r="EL16" s="5" t="e">
        <f t="shared" si="702"/>
        <v>#N/A</v>
      </c>
      <c r="EM16" s="5" t="e">
        <f t="shared" si="703"/>
        <v>#N/A</v>
      </c>
      <c r="EN16" s="5" t="e">
        <f t="shared" si="704"/>
        <v>#N/A</v>
      </c>
      <c r="EO16" s="5" t="e">
        <f t="shared" si="705"/>
        <v>#N/A</v>
      </c>
      <c r="EP16" s="5" t="e">
        <f t="shared" si="706"/>
        <v>#N/A</v>
      </c>
      <c r="EQ16" s="5" t="e">
        <f t="shared" si="707"/>
        <v>#N/A</v>
      </c>
      <c r="ER16" s="5" t="e">
        <f t="shared" si="708"/>
        <v>#N/A</v>
      </c>
      <c r="ET16" s="5" t="e">
        <f t="shared" si="709"/>
        <v>#N/A</v>
      </c>
      <c r="EU16" s="5" t="e">
        <f t="shared" si="710"/>
        <v>#N/A</v>
      </c>
      <c r="EV16" s="5" t="e">
        <f t="shared" si="711"/>
        <v>#N/A</v>
      </c>
      <c r="EW16" s="5" t="e">
        <f t="shared" si="712"/>
        <v>#N/A</v>
      </c>
      <c r="EX16" s="5" t="e">
        <f t="shared" si="713"/>
        <v>#N/A</v>
      </c>
      <c r="EY16" s="5" t="e">
        <f t="shared" si="714"/>
        <v>#N/A</v>
      </c>
      <c r="EZ16" s="5" t="e">
        <f t="shared" si="715"/>
        <v>#N/A</v>
      </c>
      <c r="FA16" s="5" t="e">
        <f t="shared" si="716"/>
        <v>#N/A</v>
      </c>
      <c r="FB16" s="5" t="e">
        <f t="shared" si="717"/>
        <v>#N/A</v>
      </c>
      <c r="FC16" s="5" t="e">
        <f t="shared" si="718"/>
        <v>#N/A</v>
      </c>
      <c r="FD16" s="5" t="e">
        <f t="shared" si="719"/>
        <v>#N/A</v>
      </c>
      <c r="FE16" s="5" t="e">
        <f t="shared" si="720"/>
        <v>#N/A</v>
      </c>
      <c r="FF16" s="5" t="e">
        <f t="shared" si="721"/>
        <v>#N/A</v>
      </c>
      <c r="FG16" s="5" t="e">
        <f t="shared" si="722"/>
        <v>#N/A</v>
      </c>
      <c r="FH16" s="5" t="e">
        <f t="shared" si="723"/>
        <v>#N/A</v>
      </c>
      <c r="FI16" s="5" t="e">
        <f t="shared" si="724"/>
        <v>#N/A</v>
      </c>
      <c r="FJ16" s="5" t="e">
        <f t="shared" si="725"/>
        <v>#N/A</v>
      </c>
      <c r="FK16" s="5" t="e">
        <f t="shared" si="726"/>
        <v>#N/A</v>
      </c>
      <c r="FL16" s="5" t="e">
        <f t="shared" si="727"/>
        <v>#N/A</v>
      </c>
      <c r="FM16" s="5" t="e">
        <f t="shared" si="728"/>
        <v>#N/A</v>
      </c>
      <c r="FN16" s="5" t="e">
        <f t="shared" si="729"/>
        <v>#N/A</v>
      </c>
      <c r="FO16" s="5" t="e">
        <f t="shared" si="730"/>
        <v>#N/A</v>
      </c>
      <c r="FP16" s="5" t="e">
        <f t="shared" si="731"/>
        <v>#N/A</v>
      </c>
      <c r="FQ16" s="5" t="e">
        <f t="shared" si="732"/>
        <v>#N/A</v>
      </c>
      <c r="FR16" s="5" t="e">
        <f t="shared" si="733"/>
        <v>#N/A</v>
      </c>
      <c r="FS16" s="5" t="e">
        <f t="shared" si="734"/>
        <v>#N/A</v>
      </c>
      <c r="FT16" s="5" t="e">
        <f t="shared" si="735"/>
        <v>#N/A</v>
      </c>
      <c r="FU16" s="5" t="e">
        <f t="shared" si="736"/>
        <v>#N/A</v>
      </c>
      <c r="FV16" s="5" t="e">
        <f t="shared" si="737"/>
        <v>#N/A</v>
      </c>
      <c r="FW16" s="5" t="e">
        <f t="shared" si="738"/>
        <v>#N/A</v>
      </c>
      <c r="FX16" s="5" t="e">
        <f t="shared" si="739"/>
        <v>#N/A</v>
      </c>
      <c r="FY16" s="5" t="e">
        <f t="shared" si="740"/>
        <v>#N/A</v>
      </c>
      <c r="FZ16" s="5" t="e">
        <f t="shared" si="741"/>
        <v>#N/A</v>
      </c>
      <c r="GA16" s="5" t="e">
        <f t="shared" si="742"/>
        <v>#N/A</v>
      </c>
      <c r="GB16" s="5" t="e">
        <f t="shared" si="743"/>
        <v>#N/A</v>
      </c>
      <c r="GC16" s="5" t="e">
        <f t="shared" si="744"/>
        <v>#N/A</v>
      </c>
      <c r="GD16" s="5" t="e">
        <f t="shared" si="745"/>
        <v>#N/A</v>
      </c>
      <c r="GE16" s="5" t="e">
        <f t="shared" si="746"/>
        <v>#N/A</v>
      </c>
      <c r="GF16" s="5" t="e">
        <f t="shared" si="747"/>
        <v>#N/A</v>
      </c>
      <c r="GG16" s="5" t="e">
        <f t="shared" si="748"/>
        <v>#N/A</v>
      </c>
      <c r="GH16" s="5" t="e">
        <f t="shared" si="749"/>
        <v>#N/A</v>
      </c>
      <c r="GI16" s="5" t="e">
        <f t="shared" si="750"/>
        <v>#N/A</v>
      </c>
      <c r="GJ16" s="5" t="e">
        <f t="shared" si="751"/>
        <v>#N/A</v>
      </c>
      <c r="GK16" s="5" t="e">
        <f t="shared" si="752"/>
        <v>#N/A</v>
      </c>
      <c r="GL16" s="5" t="e">
        <f t="shared" si="753"/>
        <v>#N/A</v>
      </c>
      <c r="GM16" s="5" t="e">
        <f t="shared" si="754"/>
        <v>#N/A</v>
      </c>
      <c r="GN16" s="5" t="e">
        <f t="shared" si="755"/>
        <v>#N/A</v>
      </c>
      <c r="GO16" s="5" t="e">
        <f t="shared" si="756"/>
        <v>#N/A</v>
      </c>
      <c r="GP16" s="5" t="e">
        <f t="shared" si="757"/>
        <v>#N/A</v>
      </c>
      <c r="GQ16" s="5" t="e">
        <f t="shared" si="758"/>
        <v>#N/A</v>
      </c>
      <c r="GR16" s="5" t="e">
        <f t="shared" si="759"/>
        <v>#N/A</v>
      </c>
      <c r="GS16" s="5" t="e">
        <f t="shared" si="760"/>
        <v>#N/A</v>
      </c>
      <c r="GT16" s="5" t="e">
        <f t="shared" si="761"/>
        <v>#N/A</v>
      </c>
      <c r="GU16" s="5" t="e">
        <f t="shared" si="762"/>
        <v>#N/A</v>
      </c>
      <c r="GV16" s="5" t="e">
        <f t="shared" si="763"/>
        <v>#N/A</v>
      </c>
      <c r="GW16" s="5" t="e">
        <f t="shared" si="764"/>
        <v>#N/A</v>
      </c>
      <c r="GX16" s="5" t="e">
        <f t="shared" si="765"/>
        <v>#N/A</v>
      </c>
      <c r="GY16" s="5" t="e">
        <f t="shared" si="766"/>
        <v>#N/A</v>
      </c>
      <c r="GZ16" s="5" t="e">
        <f t="shared" si="767"/>
        <v>#N/A</v>
      </c>
      <c r="HA16" s="5" t="e">
        <f t="shared" si="768"/>
        <v>#N/A</v>
      </c>
      <c r="HC16" s="6" t="e">
        <f t="shared" si="769"/>
        <v>#N/A</v>
      </c>
      <c r="HD16" s="5" t="e">
        <f t="shared" si="770"/>
        <v>#N/A</v>
      </c>
      <c r="HE16" s="5" t="e">
        <f t="shared" si="771"/>
        <v>#N/A</v>
      </c>
      <c r="HF16" s="5" t="e">
        <f t="shared" si="772"/>
        <v>#N/A</v>
      </c>
      <c r="HG16" s="5" t="e">
        <f t="shared" si="773"/>
        <v>#N/A</v>
      </c>
      <c r="HH16" s="5" t="e">
        <f t="shared" si="774"/>
        <v>#N/A</v>
      </c>
      <c r="HI16" s="5" t="e">
        <f t="shared" si="775"/>
        <v>#N/A</v>
      </c>
      <c r="HJ16" s="5" t="e">
        <f t="shared" si="776"/>
        <v>#N/A</v>
      </c>
      <c r="HK16" s="5" t="e">
        <f t="shared" si="777"/>
        <v>#N/A</v>
      </c>
      <c r="HL16" s="5" t="e">
        <f t="shared" si="778"/>
        <v>#N/A</v>
      </c>
      <c r="HM16" s="5" t="e">
        <f t="shared" si="779"/>
        <v>#N/A</v>
      </c>
      <c r="HN16" s="5" t="e">
        <f t="shared" si="780"/>
        <v>#N/A</v>
      </c>
      <c r="HO16" s="5" t="e">
        <f t="shared" si="781"/>
        <v>#N/A</v>
      </c>
      <c r="HP16" s="5" t="e">
        <f t="shared" si="782"/>
        <v>#N/A</v>
      </c>
      <c r="HQ16" s="5" t="e">
        <f t="shared" si="783"/>
        <v>#N/A</v>
      </c>
      <c r="HR16" s="5" t="e">
        <f t="shared" si="784"/>
        <v>#N/A</v>
      </c>
      <c r="HS16" s="5" t="e">
        <f t="shared" si="785"/>
        <v>#N/A</v>
      </c>
      <c r="HT16" s="5" t="e">
        <f t="shared" si="786"/>
        <v>#N/A</v>
      </c>
      <c r="HU16" s="5" t="e">
        <f t="shared" si="787"/>
        <v>#N/A</v>
      </c>
      <c r="HV16" s="5" t="e">
        <f t="shared" si="788"/>
        <v>#N/A</v>
      </c>
      <c r="HW16" s="5" t="e">
        <f t="shared" si="789"/>
        <v>#N/A</v>
      </c>
      <c r="HX16" s="5" t="e">
        <f t="shared" si="790"/>
        <v>#N/A</v>
      </c>
      <c r="HY16" s="5" t="e">
        <f t="shared" si="791"/>
        <v>#N/A</v>
      </c>
      <c r="HZ16" s="5" t="e">
        <f t="shared" si="792"/>
        <v>#N/A</v>
      </c>
      <c r="IA16" s="5" t="e">
        <f t="shared" si="793"/>
        <v>#N/A</v>
      </c>
      <c r="IB16" s="5" t="e">
        <f t="shared" si="794"/>
        <v>#N/A</v>
      </c>
      <c r="IC16" s="5" t="e">
        <f t="shared" si="795"/>
        <v>#N/A</v>
      </c>
      <c r="ID16" s="5" t="e">
        <f t="shared" si="796"/>
        <v>#N/A</v>
      </c>
      <c r="IE16" s="5" t="e">
        <f t="shared" si="797"/>
        <v>#N/A</v>
      </c>
      <c r="IF16" s="5" t="e">
        <f t="shared" si="798"/>
        <v>#N/A</v>
      </c>
      <c r="IG16" s="5" t="e">
        <f t="shared" si="799"/>
        <v>#N/A</v>
      </c>
      <c r="IH16" s="5" t="e">
        <f t="shared" si="800"/>
        <v>#N/A</v>
      </c>
      <c r="II16" s="5" t="e">
        <f t="shared" si="801"/>
        <v>#N/A</v>
      </c>
      <c r="IJ16" s="5" t="e">
        <f t="shared" si="802"/>
        <v>#N/A</v>
      </c>
      <c r="IK16" s="5" t="e">
        <f t="shared" si="803"/>
        <v>#N/A</v>
      </c>
      <c r="IL16" s="5" t="e">
        <f t="shared" si="804"/>
        <v>#N/A</v>
      </c>
      <c r="IM16" s="5" t="e">
        <f t="shared" si="805"/>
        <v>#N/A</v>
      </c>
      <c r="IN16" s="5" t="e">
        <f t="shared" si="806"/>
        <v>#N/A</v>
      </c>
      <c r="IO16" s="5" t="e">
        <f t="shared" si="807"/>
        <v>#N/A</v>
      </c>
      <c r="IP16" s="5" t="e">
        <f t="shared" si="808"/>
        <v>#N/A</v>
      </c>
      <c r="IQ16" s="5" t="e">
        <f t="shared" si="809"/>
        <v>#N/A</v>
      </c>
      <c r="IR16" s="5" t="e">
        <f t="shared" si="810"/>
        <v>#N/A</v>
      </c>
      <c r="IS16" s="5" t="e">
        <f t="shared" si="811"/>
        <v>#N/A</v>
      </c>
      <c r="IT16" s="5" t="e">
        <f t="shared" si="812"/>
        <v>#N/A</v>
      </c>
      <c r="IU16" s="5" t="e">
        <f t="shared" si="813"/>
        <v>#N/A</v>
      </c>
      <c r="IV16" s="5" t="e">
        <f t="shared" si="814"/>
        <v>#N/A</v>
      </c>
      <c r="IW16" s="5" t="e">
        <f t="shared" si="815"/>
        <v>#N/A</v>
      </c>
      <c r="IX16" s="5" t="e">
        <f t="shared" si="816"/>
        <v>#N/A</v>
      </c>
      <c r="IY16" s="5" t="e">
        <f t="shared" si="817"/>
        <v>#N/A</v>
      </c>
      <c r="IZ16" s="5" t="e">
        <f t="shared" si="818"/>
        <v>#N/A</v>
      </c>
      <c r="JA16" s="5" t="e">
        <f t="shared" si="819"/>
        <v>#N/A</v>
      </c>
      <c r="JB16" s="5" t="e">
        <f t="shared" si="820"/>
        <v>#N/A</v>
      </c>
      <c r="JC16" s="5" t="e">
        <f t="shared" si="821"/>
        <v>#N/A</v>
      </c>
      <c r="JD16" s="5" t="e">
        <f t="shared" si="822"/>
        <v>#N/A</v>
      </c>
      <c r="JE16" s="5" t="e">
        <f t="shared" si="823"/>
        <v>#N/A</v>
      </c>
      <c r="JF16" s="5" t="e">
        <f t="shared" si="824"/>
        <v>#N/A</v>
      </c>
      <c r="JG16" s="5" t="e">
        <f t="shared" si="825"/>
        <v>#N/A</v>
      </c>
      <c r="JH16" s="5" t="e">
        <f t="shared" si="826"/>
        <v>#N/A</v>
      </c>
      <c r="JI16" s="5" t="e">
        <f t="shared" si="827"/>
        <v>#N/A</v>
      </c>
      <c r="JJ16" s="5" t="e">
        <f t="shared" si="828"/>
        <v>#N/A</v>
      </c>
      <c r="JK16" s="5" t="e">
        <f t="shared" si="829"/>
        <v>#N/A</v>
      </c>
      <c r="JM16" s="19" t="e">
        <f t="shared" si="830"/>
        <v>#N/A</v>
      </c>
      <c r="JN16" s="1">
        <v>14</v>
      </c>
      <c r="JO16" s="5" t="e">
        <f>HLOOKUP(JM16,HC$2:JK16,2+JN15,0)-IF(KE16&gt;0,KE16,0)</f>
        <v>#N/A</v>
      </c>
      <c r="JP16" s="5" t="e">
        <f t="shared" si="831"/>
        <v>#N/A</v>
      </c>
      <c r="JQ16" s="17"/>
      <c r="JR16" s="17"/>
      <c r="JS16" s="6">
        <f t="shared" si="832"/>
        <v>0</v>
      </c>
      <c r="JT16" s="5" t="e">
        <f t="shared" si="833"/>
        <v>#N/A</v>
      </c>
      <c r="JU16" s="13">
        <f t="shared" ca="1" si="22"/>
        <v>46161</v>
      </c>
      <c r="JV16" s="6" t="e">
        <f t="shared" si="834"/>
        <v>#N/A</v>
      </c>
      <c r="JW16" s="6"/>
      <c r="JX16" s="6"/>
      <c r="JY16" s="6">
        <f t="shared" si="835"/>
        <v>0</v>
      </c>
      <c r="JZ16" s="10" t="e">
        <f t="shared" si="836"/>
        <v>#N/A</v>
      </c>
      <c r="KA16" s="10" t="e">
        <f t="shared" si="837"/>
        <v>#N/A</v>
      </c>
      <c r="KB16" s="10" t="e">
        <f t="shared" si="838"/>
        <v>#N/A</v>
      </c>
      <c r="KC16" s="10" t="e">
        <f t="shared" si="839"/>
        <v>#N/A</v>
      </c>
      <c r="KD16" s="5" t="e">
        <f t="shared" si="840"/>
        <v>#N/A</v>
      </c>
      <c r="KE16" s="6" t="e">
        <f t="shared" si="841"/>
        <v>#N/A</v>
      </c>
    </row>
    <row r="17" spans="3:291" x14ac:dyDescent="0.3">
      <c r="C17" s="1" t="e">
        <f>VLOOKUP(B17,DD!A:B,2,0)</f>
        <v>#N/A</v>
      </c>
      <c r="D17" s="1" t="e">
        <f>VLOOKUP(B17,DD!A:K,11,0)</f>
        <v>#N/A</v>
      </c>
      <c r="E17" s="1" t="e">
        <f>VLOOKUP(B17,DD!A:L,12,0)</f>
        <v>#N/A</v>
      </c>
      <c r="F17" s="17" t="e">
        <f>VLOOKUP(B17,DD!A:D,4,0)</f>
        <v>#N/A</v>
      </c>
      <c r="G17" s="9">
        <v>1</v>
      </c>
      <c r="H17" s="3" t="e">
        <f>VLOOKUP(B17,DD!A:E,5,0)</f>
        <v>#N/A</v>
      </c>
      <c r="I17" s="3" t="e">
        <f t="shared" si="638"/>
        <v>#N/A</v>
      </c>
      <c r="J17" s="3" t="e">
        <f>VLOOKUP(B17,DD!A:F,6,0)</f>
        <v>#N/A</v>
      </c>
      <c r="K17" s="3" t="e">
        <f>VLOOKUP(B17,DD!A:H,8,0)</f>
        <v>#N/A</v>
      </c>
      <c r="L17" s="3" t="e">
        <f>VLOOKUP(B17,DD!A:I,9,0)</f>
        <v>#N/A</v>
      </c>
      <c r="M17" s="3" t="e">
        <f>VLOOKUP(B17,DD!A:J,10,0)</f>
        <v>#N/A</v>
      </c>
      <c r="N17" s="3" t="s">
        <v>8</v>
      </c>
      <c r="O17" s="3" t="s">
        <v>9</v>
      </c>
      <c r="P17" s="4" t="e">
        <f>VLOOKUP(B17,DD!A:C,3,0)</f>
        <v>#N/A</v>
      </c>
      <c r="Q17" s="5" t="e">
        <f t="shared" si="639"/>
        <v>#N/A</v>
      </c>
      <c r="R17" s="5" t="e">
        <f t="shared" si="640"/>
        <v>#N/A</v>
      </c>
      <c r="S17" s="5" t="e">
        <f t="shared" si="641"/>
        <v>#N/A</v>
      </c>
      <c r="T17" s="6" t="e">
        <f t="shared" si="642"/>
        <v>#N/A</v>
      </c>
      <c r="U17" s="5" t="e">
        <f t="shared" si="643"/>
        <v>#N/A</v>
      </c>
      <c r="V17" s="6" t="e">
        <f t="shared" si="644"/>
        <v>#N/A</v>
      </c>
      <c r="W17" s="7" t="e">
        <f t="shared" si="645"/>
        <v>#N/A</v>
      </c>
      <c r="X17" s="8" t="e">
        <f t="shared" si="8"/>
        <v>#VALUE!</v>
      </c>
      <c r="Y17" s="6" t="e">
        <f t="shared" si="646"/>
        <v>#N/A</v>
      </c>
      <c r="Z17" s="7" t="e">
        <f t="shared" si="227"/>
        <v>#N/A</v>
      </c>
      <c r="AA17" s="7" t="e">
        <f t="shared" si="227"/>
        <v>#N/A</v>
      </c>
      <c r="AB17" s="7" t="e">
        <f t="shared" si="227"/>
        <v>#N/A</v>
      </c>
      <c r="AC17" s="7" t="e">
        <f t="shared" si="227"/>
        <v>#N/A</v>
      </c>
      <c r="AD17" s="7" t="e">
        <f t="shared" si="227"/>
        <v>#N/A</v>
      </c>
      <c r="AE17" s="7" t="e">
        <f t="shared" si="227"/>
        <v>#N/A</v>
      </c>
      <c r="AF17" s="7" t="e">
        <f t="shared" si="227"/>
        <v>#N/A</v>
      </c>
      <c r="AG17" s="7" t="e">
        <f t="shared" si="227"/>
        <v>#N/A</v>
      </c>
      <c r="AH17" s="7" t="e">
        <f t="shared" si="227"/>
        <v>#N/A</v>
      </c>
      <c r="AI17" s="7" t="e">
        <f t="shared" si="227"/>
        <v>#N/A</v>
      </c>
      <c r="AJ17" s="7" t="e">
        <f t="shared" si="227"/>
        <v>#N/A</v>
      </c>
      <c r="AK17" s="7" t="e">
        <f t="shared" si="227"/>
        <v>#N/A</v>
      </c>
      <c r="AL17" s="7" t="e">
        <f t="shared" si="227"/>
        <v>#N/A</v>
      </c>
      <c r="AM17" s="7" t="e">
        <f t="shared" si="227"/>
        <v>#N/A</v>
      </c>
      <c r="AN17" s="7" t="e">
        <f t="shared" si="227"/>
        <v>#N/A</v>
      </c>
      <c r="AO17" s="7" t="e">
        <f t="shared" si="227"/>
        <v>#N/A</v>
      </c>
      <c r="AP17" s="7" t="e">
        <f t="shared" si="227"/>
        <v>#N/A</v>
      </c>
      <c r="AQ17" s="7" t="e">
        <f t="shared" si="227"/>
        <v>#N/A</v>
      </c>
      <c r="AR17" s="7" t="e">
        <f t="shared" si="227"/>
        <v>#N/A</v>
      </c>
      <c r="AS17" s="7" t="e">
        <f t="shared" si="227"/>
        <v>#N/A</v>
      </c>
      <c r="AT17" s="7" t="e">
        <f t="shared" si="227"/>
        <v>#N/A</v>
      </c>
      <c r="AU17" s="7" t="e">
        <f t="shared" si="227"/>
        <v>#N/A</v>
      </c>
      <c r="AV17" s="7" t="e">
        <f t="shared" si="227"/>
        <v>#N/A</v>
      </c>
      <c r="AW17" s="7" t="e">
        <f t="shared" si="227"/>
        <v>#N/A</v>
      </c>
      <c r="AX17" s="7" t="e">
        <f t="shared" si="227"/>
        <v>#N/A</v>
      </c>
      <c r="AY17" s="7" t="e">
        <f t="shared" si="227"/>
        <v>#N/A</v>
      </c>
      <c r="AZ17" s="7" t="e">
        <f t="shared" si="227"/>
        <v>#N/A</v>
      </c>
      <c r="BA17" s="7" t="e">
        <f t="shared" si="227"/>
        <v>#N/A</v>
      </c>
      <c r="BB17" s="7" t="e">
        <f t="shared" si="227"/>
        <v>#N/A</v>
      </c>
      <c r="BC17" s="7" t="e">
        <f t="shared" si="227"/>
        <v>#N/A</v>
      </c>
      <c r="BD17" s="7" t="e">
        <f t="shared" si="227"/>
        <v>#N/A</v>
      </c>
      <c r="BE17" s="7" t="e">
        <f t="shared" si="227"/>
        <v>#N/A</v>
      </c>
      <c r="BF17" s="7" t="e">
        <f t="shared" si="442"/>
        <v>#N/A</v>
      </c>
      <c r="BG17" s="7" t="e">
        <f t="shared" si="442"/>
        <v>#N/A</v>
      </c>
      <c r="BH17" s="7" t="e">
        <f t="shared" si="442"/>
        <v>#N/A</v>
      </c>
      <c r="BI17" s="7" t="e">
        <f t="shared" si="237"/>
        <v>#N/A</v>
      </c>
      <c r="BJ17" s="7" t="e">
        <f t="shared" si="237"/>
        <v>#N/A</v>
      </c>
      <c r="BK17" s="7" t="e">
        <f t="shared" si="237"/>
        <v>#N/A</v>
      </c>
      <c r="BL17" s="7" t="e">
        <f t="shared" si="237"/>
        <v>#N/A</v>
      </c>
      <c r="BM17" s="7" t="e">
        <f t="shared" si="237"/>
        <v>#N/A</v>
      </c>
      <c r="BN17" s="7" t="e">
        <f t="shared" si="237"/>
        <v>#N/A</v>
      </c>
      <c r="BO17" s="7" t="e">
        <f t="shared" si="237"/>
        <v>#N/A</v>
      </c>
      <c r="BP17" s="7" t="e">
        <f t="shared" si="237"/>
        <v>#N/A</v>
      </c>
      <c r="BQ17" s="7" t="e">
        <f t="shared" si="237"/>
        <v>#N/A</v>
      </c>
      <c r="BR17" s="7" t="e">
        <f t="shared" si="237"/>
        <v>#N/A</v>
      </c>
      <c r="BS17" s="7" t="e">
        <f t="shared" si="237"/>
        <v>#N/A</v>
      </c>
      <c r="BT17" s="7" t="e">
        <f t="shared" si="237"/>
        <v>#N/A</v>
      </c>
      <c r="BU17" s="7" t="e">
        <f t="shared" si="237"/>
        <v>#N/A</v>
      </c>
      <c r="BV17" s="7" t="e">
        <f t="shared" si="237"/>
        <v>#N/A</v>
      </c>
      <c r="BW17" s="7" t="e">
        <f t="shared" si="237"/>
        <v>#N/A</v>
      </c>
      <c r="BX17" s="7" t="e">
        <f t="shared" si="237"/>
        <v>#N/A</v>
      </c>
      <c r="BY17" s="7" t="e">
        <f t="shared" si="237"/>
        <v>#N/A</v>
      </c>
      <c r="BZ17" s="7" t="e">
        <f t="shared" si="237"/>
        <v>#N/A</v>
      </c>
      <c r="CA17" s="7" t="e">
        <f t="shared" si="237"/>
        <v>#N/A</v>
      </c>
      <c r="CB17" s="7" t="e">
        <f t="shared" si="237"/>
        <v>#N/A</v>
      </c>
      <c r="CC17" s="7" t="e">
        <f t="shared" si="237"/>
        <v>#N/A</v>
      </c>
      <c r="CD17" s="7" t="e">
        <f t="shared" si="237"/>
        <v>#N/A</v>
      </c>
      <c r="CE17" s="7" t="e">
        <f t="shared" si="237"/>
        <v>#N/A</v>
      </c>
      <c r="CF17" s="7" t="e">
        <f t="shared" si="237"/>
        <v>#N/A</v>
      </c>
      <c r="CG17" s="7" t="e">
        <f t="shared" si="237"/>
        <v>#N/A</v>
      </c>
      <c r="CH17" s="6" t="e">
        <f t="shared" si="647"/>
        <v>#N/A</v>
      </c>
      <c r="CI17" s="5" t="e">
        <f t="shared" si="648"/>
        <v>#N/A</v>
      </c>
      <c r="CK17" s="5" t="e">
        <f t="shared" si="649"/>
        <v>#N/A</v>
      </c>
      <c r="CL17" s="5" t="e">
        <f t="shared" si="650"/>
        <v>#N/A</v>
      </c>
      <c r="CM17" s="5" t="e">
        <f t="shared" si="651"/>
        <v>#N/A</v>
      </c>
      <c r="CN17" s="5" t="e">
        <f t="shared" si="652"/>
        <v>#N/A</v>
      </c>
      <c r="CO17" s="5" t="e">
        <f t="shared" si="653"/>
        <v>#N/A</v>
      </c>
      <c r="CP17" s="5" t="e">
        <f t="shared" si="654"/>
        <v>#N/A</v>
      </c>
      <c r="CQ17" s="5" t="e">
        <f t="shared" si="655"/>
        <v>#N/A</v>
      </c>
      <c r="CR17" s="5" t="e">
        <f t="shared" si="656"/>
        <v>#N/A</v>
      </c>
      <c r="CS17" s="5" t="e">
        <f t="shared" si="657"/>
        <v>#N/A</v>
      </c>
      <c r="CT17" s="5" t="e">
        <f t="shared" si="658"/>
        <v>#N/A</v>
      </c>
      <c r="CU17" s="5" t="e">
        <f t="shared" si="659"/>
        <v>#N/A</v>
      </c>
      <c r="CV17" s="5" t="e">
        <f t="shared" si="660"/>
        <v>#N/A</v>
      </c>
      <c r="CW17" s="5" t="e">
        <f t="shared" si="661"/>
        <v>#N/A</v>
      </c>
      <c r="CX17" s="5" t="e">
        <f t="shared" si="662"/>
        <v>#N/A</v>
      </c>
      <c r="CY17" s="5" t="e">
        <f t="shared" si="663"/>
        <v>#N/A</v>
      </c>
      <c r="CZ17" s="5" t="e">
        <f t="shared" si="664"/>
        <v>#N/A</v>
      </c>
      <c r="DA17" s="5" t="e">
        <f t="shared" si="665"/>
        <v>#N/A</v>
      </c>
      <c r="DB17" s="5" t="e">
        <f t="shared" si="666"/>
        <v>#N/A</v>
      </c>
      <c r="DC17" s="5" t="e">
        <f t="shared" si="667"/>
        <v>#N/A</v>
      </c>
      <c r="DD17" s="5" t="e">
        <f t="shared" si="668"/>
        <v>#N/A</v>
      </c>
      <c r="DE17" s="5" t="e">
        <f t="shared" si="669"/>
        <v>#N/A</v>
      </c>
      <c r="DF17" s="5" t="e">
        <f t="shared" si="670"/>
        <v>#N/A</v>
      </c>
      <c r="DG17" s="5" t="e">
        <f t="shared" si="671"/>
        <v>#N/A</v>
      </c>
      <c r="DH17" s="5" t="e">
        <f t="shared" si="672"/>
        <v>#N/A</v>
      </c>
      <c r="DI17" s="5" t="e">
        <f t="shared" si="673"/>
        <v>#N/A</v>
      </c>
      <c r="DJ17" s="5" t="e">
        <f t="shared" si="674"/>
        <v>#N/A</v>
      </c>
      <c r="DK17" s="5" t="e">
        <f t="shared" si="675"/>
        <v>#N/A</v>
      </c>
      <c r="DL17" s="5" t="e">
        <f t="shared" si="676"/>
        <v>#N/A</v>
      </c>
      <c r="DM17" s="5" t="e">
        <f t="shared" si="677"/>
        <v>#N/A</v>
      </c>
      <c r="DN17" s="5" t="e">
        <f t="shared" si="678"/>
        <v>#N/A</v>
      </c>
      <c r="DO17" s="5" t="e">
        <f t="shared" si="679"/>
        <v>#N/A</v>
      </c>
      <c r="DP17" s="5" t="e">
        <f t="shared" si="680"/>
        <v>#N/A</v>
      </c>
      <c r="DQ17" s="5" t="e">
        <f t="shared" si="681"/>
        <v>#N/A</v>
      </c>
      <c r="DR17" s="5" t="e">
        <f t="shared" si="682"/>
        <v>#N/A</v>
      </c>
      <c r="DS17" s="5" t="e">
        <f t="shared" si="683"/>
        <v>#N/A</v>
      </c>
      <c r="DT17" s="5" t="e">
        <f t="shared" si="684"/>
        <v>#N/A</v>
      </c>
      <c r="DU17" s="5" t="e">
        <f t="shared" si="685"/>
        <v>#N/A</v>
      </c>
      <c r="DV17" s="5" t="e">
        <f t="shared" si="686"/>
        <v>#N/A</v>
      </c>
      <c r="DW17" s="5" t="e">
        <f t="shared" si="687"/>
        <v>#N/A</v>
      </c>
      <c r="DX17" s="5" t="e">
        <f t="shared" si="688"/>
        <v>#N/A</v>
      </c>
      <c r="DY17" s="5" t="e">
        <f t="shared" si="689"/>
        <v>#N/A</v>
      </c>
      <c r="DZ17" s="5" t="e">
        <f t="shared" si="690"/>
        <v>#N/A</v>
      </c>
      <c r="EA17" s="5" t="e">
        <f t="shared" si="691"/>
        <v>#N/A</v>
      </c>
      <c r="EB17" s="5" t="e">
        <f t="shared" si="692"/>
        <v>#N/A</v>
      </c>
      <c r="EC17" s="5" t="e">
        <f t="shared" si="693"/>
        <v>#N/A</v>
      </c>
      <c r="ED17" s="5" t="e">
        <f t="shared" si="694"/>
        <v>#N/A</v>
      </c>
      <c r="EE17" s="5" t="e">
        <f t="shared" si="695"/>
        <v>#N/A</v>
      </c>
      <c r="EF17" s="5" t="e">
        <f t="shared" si="696"/>
        <v>#N/A</v>
      </c>
      <c r="EG17" s="5" t="e">
        <f t="shared" si="697"/>
        <v>#N/A</v>
      </c>
      <c r="EH17" s="5" t="e">
        <f t="shared" si="698"/>
        <v>#N/A</v>
      </c>
      <c r="EI17" s="5" t="e">
        <f t="shared" si="699"/>
        <v>#N/A</v>
      </c>
      <c r="EJ17" s="5" t="e">
        <f t="shared" si="700"/>
        <v>#N/A</v>
      </c>
      <c r="EK17" s="5" t="e">
        <f t="shared" si="701"/>
        <v>#N/A</v>
      </c>
      <c r="EL17" s="5" t="e">
        <f t="shared" si="702"/>
        <v>#N/A</v>
      </c>
      <c r="EM17" s="5" t="e">
        <f t="shared" si="703"/>
        <v>#N/A</v>
      </c>
      <c r="EN17" s="5" t="e">
        <f t="shared" si="704"/>
        <v>#N/A</v>
      </c>
      <c r="EO17" s="5" t="e">
        <f t="shared" si="705"/>
        <v>#N/A</v>
      </c>
      <c r="EP17" s="5" t="e">
        <f t="shared" si="706"/>
        <v>#N/A</v>
      </c>
      <c r="EQ17" s="5" t="e">
        <f t="shared" si="707"/>
        <v>#N/A</v>
      </c>
      <c r="ER17" s="5" t="e">
        <f t="shared" si="708"/>
        <v>#N/A</v>
      </c>
      <c r="ET17" s="5" t="e">
        <f t="shared" si="709"/>
        <v>#N/A</v>
      </c>
      <c r="EU17" s="5" t="e">
        <f t="shared" si="710"/>
        <v>#N/A</v>
      </c>
      <c r="EV17" s="5" t="e">
        <f t="shared" si="711"/>
        <v>#N/A</v>
      </c>
      <c r="EW17" s="5" t="e">
        <f t="shared" si="712"/>
        <v>#N/A</v>
      </c>
      <c r="EX17" s="5" t="e">
        <f t="shared" si="713"/>
        <v>#N/A</v>
      </c>
      <c r="EY17" s="5" t="e">
        <f t="shared" si="714"/>
        <v>#N/A</v>
      </c>
      <c r="EZ17" s="5" t="e">
        <f t="shared" si="715"/>
        <v>#N/A</v>
      </c>
      <c r="FA17" s="5" t="e">
        <f t="shared" si="716"/>
        <v>#N/A</v>
      </c>
      <c r="FB17" s="5" t="e">
        <f t="shared" si="717"/>
        <v>#N/A</v>
      </c>
      <c r="FC17" s="5" t="e">
        <f t="shared" si="718"/>
        <v>#N/A</v>
      </c>
      <c r="FD17" s="5" t="e">
        <f t="shared" si="719"/>
        <v>#N/A</v>
      </c>
      <c r="FE17" s="5" t="e">
        <f t="shared" si="720"/>
        <v>#N/A</v>
      </c>
      <c r="FF17" s="5" t="e">
        <f t="shared" si="721"/>
        <v>#N/A</v>
      </c>
      <c r="FG17" s="5" t="e">
        <f t="shared" si="722"/>
        <v>#N/A</v>
      </c>
      <c r="FH17" s="5" t="e">
        <f t="shared" si="723"/>
        <v>#N/A</v>
      </c>
      <c r="FI17" s="5" t="e">
        <f t="shared" si="724"/>
        <v>#N/A</v>
      </c>
      <c r="FJ17" s="5" t="e">
        <f t="shared" si="725"/>
        <v>#N/A</v>
      </c>
      <c r="FK17" s="5" t="e">
        <f t="shared" si="726"/>
        <v>#N/A</v>
      </c>
      <c r="FL17" s="5" t="e">
        <f t="shared" si="727"/>
        <v>#N/A</v>
      </c>
      <c r="FM17" s="5" t="e">
        <f t="shared" si="728"/>
        <v>#N/A</v>
      </c>
      <c r="FN17" s="5" t="e">
        <f t="shared" si="729"/>
        <v>#N/A</v>
      </c>
      <c r="FO17" s="5" t="e">
        <f t="shared" si="730"/>
        <v>#N/A</v>
      </c>
      <c r="FP17" s="5" t="e">
        <f t="shared" si="731"/>
        <v>#N/A</v>
      </c>
      <c r="FQ17" s="5" t="e">
        <f t="shared" si="732"/>
        <v>#N/A</v>
      </c>
      <c r="FR17" s="5" t="e">
        <f t="shared" si="733"/>
        <v>#N/A</v>
      </c>
      <c r="FS17" s="5" t="e">
        <f t="shared" si="734"/>
        <v>#N/A</v>
      </c>
      <c r="FT17" s="5" t="e">
        <f t="shared" si="735"/>
        <v>#N/A</v>
      </c>
      <c r="FU17" s="5" t="e">
        <f t="shared" si="736"/>
        <v>#N/A</v>
      </c>
      <c r="FV17" s="5" t="e">
        <f t="shared" si="737"/>
        <v>#N/A</v>
      </c>
      <c r="FW17" s="5" t="e">
        <f t="shared" si="738"/>
        <v>#N/A</v>
      </c>
      <c r="FX17" s="5" t="e">
        <f t="shared" si="739"/>
        <v>#N/A</v>
      </c>
      <c r="FY17" s="5" t="e">
        <f t="shared" si="740"/>
        <v>#N/A</v>
      </c>
      <c r="FZ17" s="5" t="e">
        <f t="shared" si="741"/>
        <v>#N/A</v>
      </c>
      <c r="GA17" s="5" t="e">
        <f t="shared" si="742"/>
        <v>#N/A</v>
      </c>
      <c r="GB17" s="5" t="e">
        <f t="shared" si="743"/>
        <v>#N/A</v>
      </c>
      <c r="GC17" s="5" t="e">
        <f t="shared" si="744"/>
        <v>#N/A</v>
      </c>
      <c r="GD17" s="5" t="e">
        <f t="shared" si="745"/>
        <v>#N/A</v>
      </c>
      <c r="GE17" s="5" t="e">
        <f t="shared" si="746"/>
        <v>#N/A</v>
      </c>
      <c r="GF17" s="5" t="e">
        <f t="shared" si="747"/>
        <v>#N/A</v>
      </c>
      <c r="GG17" s="5" t="e">
        <f t="shared" si="748"/>
        <v>#N/A</v>
      </c>
      <c r="GH17" s="5" t="e">
        <f t="shared" si="749"/>
        <v>#N/A</v>
      </c>
      <c r="GI17" s="5" t="e">
        <f t="shared" si="750"/>
        <v>#N/A</v>
      </c>
      <c r="GJ17" s="5" t="e">
        <f t="shared" si="751"/>
        <v>#N/A</v>
      </c>
      <c r="GK17" s="5" t="e">
        <f t="shared" si="752"/>
        <v>#N/A</v>
      </c>
      <c r="GL17" s="5" t="e">
        <f t="shared" si="753"/>
        <v>#N/A</v>
      </c>
      <c r="GM17" s="5" t="e">
        <f t="shared" si="754"/>
        <v>#N/A</v>
      </c>
      <c r="GN17" s="5" t="e">
        <f t="shared" si="755"/>
        <v>#N/A</v>
      </c>
      <c r="GO17" s="5" t="e">
        <f t="shared" si="756"/>
        <v>#N/A</v>
      </c>
      <c r="GP17" s="5" t="e">
        <f t="shared" si="757"/>
        <v>#N/A</v>
      </c>
      <c r="GQ17" s="5" t="e">
        <f t="shared" si="758"/>
        <v>#N/A</v>
      </c>
      <c r="GR17" s="5" t="e">
        <f t="shared" si="759"/>
        <v>#N/A</v>
      </c>
      <c r="GS17" s="5" t="e">
        <f t="shared" si="760"/>
        <v>#N/A</v>
      </c>
      <c r="GT17" s="5" t="e">
        <f t="shared" si="761"/>
        <v>#N/A</v>
      </c>
      <c r="GU17" s="5" t="e">
        <f t="shared" si="762"/>
        <v>#N/A</v>
      </c>
      <c r="GV17" s="5" t="e">
        <f t="shared" si="763"/>
        <v>#N/A</v>
      </c>
      <c r="GW17" s="5" t="e">
        <f t="shared" si="764"/>
        <v>#N/A</v>
      </c>
      <c r="GX17" s="5" t="e">
        <f t="shared" si="765"/>
        <v>#N/A</v>
      </c>
      <c r="GY17" s="5" t="e">
        <f t="shared" si="766"/>
        <v>#N/A</v>
      </c>
      <c r="GZ17" s="5" t="e">
        <f t="shared" si="767"/>
        <v>#N/A</v>
      </c>
      <c r="HA17" s="5" t="e">
        <f t="shared" si="768"/>
        <v>#N/A</v>
      </c>
      <c r="HC17" s="6" t="e">
        <f t="shared" si="769"/>
        <v>#N/A</v>
      </c>
      <c r="HD17" s="5" t="e">
        <f t="shared" si="770"/>
        <v>#N/A</v>
      </c>
      <c r="HE17" s="5" t="e">
        <f t="shared" si="771"/>
        <v>#N/A</v>
      </c>
      <c r="HF17" s="5" t="e">
        <f t="shared" si="772"/>
        <v>#N/A</v>
      </c>
      <c r="HG17" s="5" t="e">
        <f t="shared" si="773"/>
        <v>#N/A</v>
      </c>
      <c r="HH17" s="5" t="e">
        <f t="shared" si="774"/>
        <v>#N/A</v>
      </c>
      <c r="HI17" s="5" t="e">
        <f t="shared" si="775"/>
        <v>#N/A</v>
      </c>
      <c r="HJ17" s="5" t="e">
        <f t="shared" si="776"/>
        <v>#N/A</v>
      </c>
      <c r="HK17" s="5" t="e">
        <f t="shared" si="777"/>
        <v>#N/A</v>
      </c>
      <c r="HL17" s="5" t="e">
        <f t="shared" si="778"/>
        <v>#N/A</v>
      </c>
      <c r="HM17" s="5" t="e">
        <f t="shared" si="779"/>
        <v>#N/A</v>
      </c>
      <c r="HN17" s="5" t="e">
        <f t="shared" si="780"/>
        <v>#N/A</v>
      </c>
      <c r="HO17" s="5" t="e">
        <f t="shared" si="781"/>
        <v>#N/A</v>
      </c>
      <c r="HP17" s="5" t="e">
        <f t="shared" si="782"/>
        <v>#N/A</v>
      </c>
      <c r="HQ17" s="5" t="e">
        <f t="shared" si="783"/>
        <v>#N/A</v>
      </c>
      <c r="HR17" s="5" t="e">
        <f t="shared" si="784"/>
        <v>#N/A</v>
      </c>
      <c r="HS17" s="5" t="e">
        <f t="shared" si="785"/>
        <v>#N/A</v>
      </c>
      <c r="HT17" s="5" t="e">
        <f t="shared" si="786"/>
        <v>#N/A</v>
      </c>
      <c r="HU17" s="5" t="e">
        <f t="shared" si="787"/>
        <v>#N/A</v>
      </c>
      <c r="HV17" s="5" t="e">
        <f t="shared" si="788"/>
        <v>#N/A</v>
      </c>
      <c r="HW17" s="5" t="e">
        <f t="shared" si="789"/>
        <v>#N/A</v>
      </c>
      <c r="HX17" s="5" t="e">
        <f t="shared" si="790"/>
        <v>#N/A</v>
      </c>
      <c r="HY17" s="5" t="e">
        <f t="shared" si="791"/>
        <v>#N/A</v>
      </c>
      <c r="HZ17" s="5" t="e">
        <f t="shared" si="792"/>
        <v>#N/A</v>
      </c>
      <c r="IA17" s="5" t="e">
        <f t="shared" si="793"/>
        <v>#N/A</v>
      </c>
      <c r="IB17" s="5" t="e">
        <f t="shared" si="794"/>
        <v>#N/A</v>
      </c>
      <c r="IC17" s="5" t="e">
        <f t="shared" si="795"/>
        <v>#N/A</v>
      </c>
      <c r="ID17" s="5" t="e">
        <f t="shared" si="796"/>
        <v>#N/A</v>
      </c>
      <c r="IE17" s="5" t="e">
        <f t="shared" si="797"/>
        <v>#N/A</v>
      </c>
      <c r="IF17" s="5" t="e">
        <f t="shared" si="798"/>
        <v>#N/A</v>
      </c>
      <c r="IG17" s="5" t="e">
        <f t="shared" si="799"/>
        <v>#N/A</v>
      </c>
      <c r="IH17" s="5" t="e">
        <f t="shared" si="800"/>
        <v>#N/A</v>
      </c>
      <c r="II17" s="5" t="e">
        <f t="shared" si="801"/>
        <v>#N/A</v>
      </c>
      <c r="IJ17" s="5" t="e">
        <f t="shared" si="802"/>
        <v>#N/A</v>
      </c>
      <c r="IK17" s="5" t="e">
        <f t="shared" si="803"/>
        <v>#N/A</v>
      </c>
      <c r="IL17" s="5" t="e">
        <f t="shared" si="804"/>
        <v>#N/A</v>
      </c>
      <c r="IM17" s="5" t="e">
        <f t="shared" si="805"/>
        <v>#N/A</v>
      </c>
      <c r="IN17" s="5" t="e">
        <f t="shared" si="806"/>
        <v>#N/A</v>
      </c>
      <c r="IO17" s="5" t="e">
        <f t="shared" si="807"/>
        <v>#N/A</v>
      </c>
      <c r="IP17" s="5" t="e">
        <f t="shared" si="808"/>
        <v>#N/A</v>
      </c>
      <c r="IQ17" s="5" t="e">
        <f t="shared" si="809"/>
        <v>#N/A</v>
      </c>
      <c r="IR17" s="5" t="e">
        <f t="shared" si="810"/>
        <v>#N/A</v>
      </c>
      <c r="IS17" s="5" t="e">
        <f t="shared" si="811"/>
        <v>#N/A</v>
      </c>
      <c r="IT17" s="5" t="e">
        <f t="shared" si="812"/>
        <v>#N/A</v>
      </c>
      <c r="IU17" s="5" t="e">
        <f t="shared" si="813"/>
        <v>#N/A</v>
      </c>
      <c r="IV17" s="5" t="e">
        <f t="shared" si="814"/>
        <v>#N/A</v>
      </c>
      <c r="IW17" s="5" t="e">
        <f t="shared" si="815"/>
        <v>#N/A</v>
      </c>
      <c r="IX17" s="5" t="e">
        <f t="shared" si="816"/>
        <v>#N/A</v>
      </c>
      <c r="IY17" s="5" t="e">
        <f t="shared" si="817"/>
        <v>#N/A</v>
      </c>
      <c r="IZ17" s="5" t="e">
        <f t="shared" si="818"/>
        <v>#N/A</v>
      </c>
      <c r="JA17" s="5" t="e">
        <f t="shared" si="819"/>
        <v>#N/A</v>
      </c>
      <c r="JB17" s="5" t="e">
        <f t="shared" si="820"/>
        <v>#N/A</v>
      </c>
      <c r="JC17" s="5" t="e">
        <f t="shared" si="821"/>
        <v>#N/A</v>
      </c>
      <c r="JD17" s="5" t="e">
        <f t="shared" si="822"/>
        <v>#N/A</v>
      </c>
      <c r="JE17" s="5" t="e">
        <f t="shared" si="823"/>
        <v>#N/A</v>
      </c>
      <c r="JF17" s="5" t="e">
        <f t="shared" si="824"/>
        <v>#N/A</v>
      </c>
      <c r="JG17" s="5" t="e">
        <f t="shared" si="825"/>
        <v>#N/A</v>
      </c>
      <c r="JH17" s="5" t="e">
        <f t="shared" si="826"/>
        <v>#N/A</v>
      </c>
      <c r="JI17" s="5" t="e">
        <f t="shared" si="827"/>
        <v>#N/A</v>
      </c>
      <c r="JJ17" s="5" t="e">
        <f t="shared" si="828"/>
        <v>#N/A</v>
      </c>
      <c r="JK17" s="5" t="e">
        <f t="shared" si="829"/>
        <v>#N/A</v>
      </c>
      <c r="JM17" s="19" t="e">
        <f t="shared" si="830"/>
        <v>#N/A</v>
      </c>
      <c r="JN17" s="1">
        <v>15</v>
      </c>
      <c r="JO17" s="5" t="e">
        <f>HLOOKUP(JM17,HC$2:JK17,2+JN16,0)-IF(KE17&gt;0,KE17,0)</f>
        <v>#N/A</v>
      </c>
      <c r="JP17" s="5" t="e">
        <f t="shared" si="831"/>
        <v>#N/A</v>
      </c>
      <c r="JQ17" s="17"/>
      <c r="JR17" s="17"/>
      <c r="JS17" s="6">
        <f t="shared" si="832"/>
        <v>0</v>
      </c>
      <c r="JT17" s="5" t="e">
        <f t="shared" si="833"/>
        <v>#N/A</v>
      </c>
      <c r="JU17" s="13">
        <f t="shared" ca="1" si="22"/>
        <v>46161</v>
      </c>
      <c r="JV17" s="6" t="e">
        <f t="shared" si="834"/>
        <v>#N/A</v>
      </c>
      <c r="JW17" s="6"/>
      <c r="JX17" s="6"/>
      <c r="JY17" s="6">
        <f t="shared" si="835"/>
        <v>0</v>
      </c>
      <c r="JZ17" s="10" t="e">
        <f t="shared" si="836"/>
        <v>#N/A</v>
      </c>
      <c r="KA17" s="10" t="e">
        <f t="shared" si="837"/>
        <v>#N/A</v>
      </c>
      <c r="KB17" s="10" t="e">
        <f t="shared" si="838"/>
        <v>#N/A</v>
      </c>
      <c r="KC17" s="10" t="e">
        <f t="shared" si="839"/>
        <v>#N/A</v>
      </c>
      <c r="KD17" s="5" t="e">
        <f t="shared" si="840"/>
        <v>#N/A</v>
      </c>
      <c r="KE17" s="6" t="e">
        <f t="shared" si="841"/>
        <v>#N/A</v>
      </c>
    </row>
    <row r="18" spans="3:291" ht="14.4" customHeight="1" x14ac:dyDescent="0.3">
      <c r="C18" s="1" t="e">
        <f>VLOOKUP(B18,DD!A:B,2,0)</f>
        <v>#N/A</v>
      </c>
      <c r="D18" s="1" t="e">
        <f>VLOOKUP(B18,DD!A:K,11,0)</f>
        <v>#N/A</v>
      </c>
      <c r="E18" s="1" t="e">
        <f>VLOOKUP(B18,DD!A:L,12,0)</f>
        <v>#N/A</v>
      </c>
      <c r="F18" s="17" t="e">
        <f>VLOOKUP(B18,DD!A:D,4,0)</f>
        <v>#N/A</v>
      </c>
      <c r="G18" s="9">
        <v>1</v>
      </c>
      <c r="H18" s="3" t="e">
        <f>VLOOKUP(B18,DD!A:E,5,0)</f>
        <v>#N/A</v>
      </c>
      <c r="I18" s="3" t="e">
        <f t="shared" si="638"/>
        <v>#N/A</v>
      </c>
      <c r="J18" s="3" t="e">
        <f>VLOOKUP(B18,DD!A:F,6,0)</f>
        <v>#N/A</v>
      </c>
      <c r="K18" s="3" t="e">
        <f>VLOOKUP(B18,DD!A:H,8,0)</f>
        <v>#N/A</v>
      </c>
      <c r="L18" s="3" t="e">
        <f>VLOOKUP(B18,DD!A:I,9,0)</f>
        <v>#N/A</v>
      </c>
      <c r="M18" s="3" t="e">
        <f>VLOOKUP(B18,DD!A:J,10,0)</f>
        <v>#N/A</v>
      </c>
      <c r="N18" s="3" t="s">
        <v>8</v>
      </c>
      <c r="O18" s="3" t="s">
        <v>9</v>
      </c>
      <c r="P18" s="4" t="e">
        <f>VLOOKUP(B18,DD!A:C,3,0)</f>
        <v>#N/A</v>
      </c>
      <c r="Q18" s="5" t="e">
        <f t="shared" si="639"/>
        <v>#N/A</v>
      </c>
      <c r="R18" s="5" t="e">
        <f t="shared" si="640"/>
        <v>#N/A</v>
      </c>
      <c r="S18" s="5" t="e">
        <f t="shared" si="641"/>
        <v>#N/A</v>
      </c>
      <c r="T18" s="6" t="e">
        <f t="shared" si="642"/>
        <v>#N/A</v>
      </c>
      <c r="U18" s="5" t="e">
        <f t="shared" si="643"/>
        <v>#N/A</v>
      </c>
      <c r="V18" s="6" t="e">
        <f t="shared" si="644"/>
        <v>#N/A</v>
      </c>
      <c r="W18" s="7" t="e">
        <f t="shared" si="645"/>
        <v>#N/A</v>
      </c>
      <c r="X18" s="8" t="e">
        <f t="shared" si="8"/>
        <v>#VALUE!</v>
      </c>
      <c r="Y18" s="6" t="e">
        <f t="shared" si="646"/>
        <v>#N/A</v>
      </c>
      <c r="Z18" s="7" t="e">
        <f t="shared" si="227"/>
        <v>#N/A</v>
      </c>
      <c r="AA18" s="7" t="e">
        <f t="shared" si="227"/>
        <v>#N/A</v>
      </c>
      <c r="AB18" s="7" t="e">
        <f t="shared" si="227"/>
        <v>#N/A</v>
      </c>
      <c r="AC18" s="7" t="e">
        <f t="shared" si="227"/>
        <v>#N/A</v>
      </c>
      <c r="AD18" s="7" t="e">
        <f t="shared" si="227"/>
        <v>#N/A</v>
      </c>
      <c r="AE18" s="7" t="e">
        <f t="shared" si="227"/>
        <v>#N/A</v>
      </c>
      <c r="AF18" s="7" t="e">
        <f t="shared" si="227"/>
        <v>#N/A</v>
      </c>
      <c r="AG18" s="7" t="e">
        <f t="shared" si="227"/>
        <v>#N/A</v>
      </c>
      <c r="AH18" s="7" t="e">
        <f t="shared" si="227"/>
        <v>#N/A</v>
      </c>
      <c r="AI18" s="7" t="e">
        <f t="shared" si="227"/>
        <v>#N/A</v>
      </c>
      <c r="AJ18" s="7" t="e">
        <f t="shared" si="227"/>
        <v>#N/A</v>
      </c>
      <c r="AK18" s="7" t="e">
        <f t="shared" si="227"/>
        <v>#N/A</v>
      </c>
      <c r="AL18" s="7" t="e">
        <f t="shared" si="227"/>
        <v>#N/A</v>
      </c>
      <c r="AM18" s="7" t="e">
        <f t="shared" si="227"/>
        <v>#N/A</v>
      </c>
      <c r="AN18" s="7" t="e">
        <f t="shared" si="227"/>
        <v>#N/A</v>
      </c>
      <c r="AO18" s="7" t="e">
        <f t="shared" si="227"/>
        <v>#N/A</v>
      </c>
      <c r="AP18" s="7" t="e">
        <f t="shared" si="227"/>
        <v>#N/A</v>
      </c>
      <c r="AQ18" s="7" t="e">
        <f t="shared" si="227"/>
        <v>#N/A</v>
      </c>
      <c r="AR18" s="7" t="e">
        <f t="shared" si="227"/>
        <v>#N/A</v>
      </c>
      <c r="AS18" s="7" t="e">
        <f t="shared" si="227"/>
        <v>#N/A</v>
      </c>
      <c r="AT18" s="7" t="e">
        <f t="shared" si="227"/>
        <v>#N/A</v>
      </c>
      <c r="AU18" s="7" t="e">
        <f t="shared" si="227"/>
        <v>#N/A</v>
      </c>
      <c r="AV18" s="7" t="e">
        <f t="shared" si="227"/>
        <v>#N/A</v>
      </c>
      <c r="AW18" s="7" t="e">
        <f t="shared" si="227"/>
        <v>#N/A</v>
      </c>
      <c r="AX18" s="7" t="e">
        <f t="shared" si="227"/>
        <v>#N/A</v>
      </c>
      <c r="AY18" s="7" t="e">
        <f t="shared" si="227"/>
        <v>#N/A</v>
      </c>
      <c r="AZ18" s="7" t="e">
        <f t="shared" si="227"/>
        <v>#N/A</v>
      </c>
      <c r="BA18" s="7" t="e">
        <f t="shared" si="227"/>
        <v>#N/A</v>
      </c>
      <c r="BB18" s="7" t="e">
        <f t="shared" si="227"/>
        <v>#N/A</v>
      </c>
      <c r="BC18" s="7" t="e">
        <f t="shared" si="227"/>
        <v>#N/A</v>
      </c>
      <c r="BD18" s="7" t="e">
        <f t="shared" ref="BD18:BE18" si="842">IF($I18&gt;=BD$2,$U18,0)-IF($I18=BD$2,$S18)-IF($S18&gt;1,$S18,0)+$S18</f>
        <v>#N/A</v>
      </c>
      <c r="BE18" s="7" t="e">
        <f t="shared" si="842"/>
        <v>#N/A</v>
      </c>
      <c r="BF18" s="7" t="e">
        <f t="shared" si="442"/>
        <v>#N/A</v>
      </c>
      <c r="BG18" s="7" t="e">
        <f t="shared" si="442"/>
        <v>#N/A</v>
      </c>
      <c r="BH18" s="7" t="e">
        <f t="shared" si="442"/>
        <v>#N/A</v>
      </c>
      <c r="BI18" s="7" t="e">
        <f t="shared" si="237"/>
        <v>#N/A</v>
      </c>
      <c r="BJ18" s="7" t="e">
        <f t="shared" si="237"/>
        <v>#N/A</v>
      </c>
      <c r="BK18" s="7" t="e">
        <f t="shared" si="237"/>
        <v>#N/A</v>
      </c>
      <c r="BL18" s="7" t="e">
        <f t="shared" si="237"/>
        <v>#N/A</v>
      </c>
      <c r="BM18" s="7" t="e">
        <f t="shared" si="237"/>
        <v>#N/A</v>
      </c>
      <c r="BN18" s="7" t="e">
        <f t="shared" si="237"/>
        <v>#N/A</v>
      </c>
      <c r="BO18" s="7" t="e">
        <f t="shared" si="237"/>
        <v>#N/A</v>
      </c>
      <c r="BP18" s="7" t="e">
        <f t="shared" si="237"/>
        <v>#N/A</v>
      </c>
      <c r="BQ18" s="7" t="e">
        <f t="shared" si="237"/>
        <v>#N/A</v>
      </c>
      <c r="BR18" s="7" t="e">
        <f t="shared" si="237"/>
        <v>#N/A</v>
      </c>
      <c r="BS18" s="7" t="e">
        <f t="shared" si="237"/>
        <v>#N/A</v>
      </c>
      <c r="BT18" s="7" t="e">
        <f t="shared" si="237"/>
        <v>#N/A</v>
      </c>
      <c r="BU18" s="7" t="e">
        <f t="shared" si="237"/>
        <v>#N/A</v>
      </c>
      <c r="BV18" s="7" t="e">
        <f t="shared" si="237"/>
        <v>#N/A</v>
      </c>
      <c r="BW18" s="7" t="e">
        <f t="shared" si="237"/>
        <v>#N/A</v>
      </c>
      <c r="BX18" s="7" t="e">
        <f t="shared" si="237"/>
        <v>#N/A</v>
      </c>
      <c r="BY18" s="7" t="e">
        <f t="shared" si="237"/>
        <v>#N/A</v>
      </c>
      <c r="BZ18" s="7" t="e">
        <f t="shared" si="237"/>
        <v>#N/A</v>
      </c>
      <c r="CA18" s="7" t="e">
        <f t="shared" si="237"/>
        <v>#N/A</v>
      </c>
      <c r="CB18" s="7" t="e">
        <f t="shared" si="237"/>
        <v>#N/A</v>
      </c>
      <c r="CC18" s="7" t="e">
        <f t="shared" si="237"/>
        <v>#N/A</v>
      </c>
      <c r="CD18" s="7" t="e">
        <f t="shared" si="237"/>
        <v>#N/A</v>
      </c>
      <c r="CE18" s="7" t="e">
        <f t="shared" si="237"/>
        <v>#N/A</v>
      </c>
      <c r="CF18" s="7" t="e">
        <f t="shared" si="237"/>
        <v>#N/A</v>
      </c>
      <c r="CG18" s="7" t="e">
        <f t="shared" si="237"/>
        <v>#N/A</v>
      </c>
      <c r="CH18" s="6" t="e">
        <f t="shared" si="647"/>
        <v>#N/A</v>
      </c>
      <c r="CI18" s="5" t="e">
        <f t="shared" si="648"/>
        <v>#N/A</v>
      </c>
      <c r="CK18" s="5" t="e">
        <f t="shared" si="649"/>
        <v>#N/A</v>
      </c>
      <c r="CL18" s="5" t="e">
        <f t="shared" si="650"/>
        <v>#N/A</v>
      </c>
      <c r="CM18" s="5" t="e">
        <f t="shared" si="651"/>
        <v>#N/A</v>
      </c>
      <c r="CN18" s="5" t="e">
        <f t="shared" si="652"/>
        <v>#N/A</v>
      </c>
      <c r="CO18" s="5" t="e">
        <f t="shared" si="653"/>
        <v>#N/A</v>
      </c>
      <c r="CP18" s="5" t="e">
        <f t="shared" si="654"/>
        <v>#N/A</v>
      </c>
      <c r="CQ18" s="5" t="e">
        <f t="shared" si="655"/>
        <v>#N/A</v>
      </c>
      <c r="CR18" s="5" t="e">
        <f t="shared" si="656"/>
        <v>#N/A</v>
      </c>
      <c r="CS18" s="5" t="e">
        <f t="shared" si="657"/>
        <v>#N/A</v>
      </c>
      <c r="CT18" s="5" t="e">
        <f t="shared" si="658"/>
        <v>#N/A</v>
      </c>
      <c r="CU18" s="5" t="e">
        <f t="shared" si="659"/>
        <v>#N/A</v>
      </c>
      <c r="CV18" s="5" t="e">
        <f t="shared" si="660"/>
        <v>#N/A</v>
      </c>
      <c r="CW18" s="5" t="e">
        <f t="shared" si="661"/>
        <v>#N/A</v>
      </c>
      <c r="CX18" s="5" t="e">
        <f t="shared" si="662"/>
        <v>#N/A</v>
      </c>
      <c r="CY18" s="5" t="e">
        <f t="shared" si="663"/>
        <v>#N/A</v>
      </c>
      <c r="CZ18" s="5" t="e">
        <f t="shared" si="664"/>
        <v>#N/A</v>
      </c>
      <c r="DA18" s="5" t="e">
        <f t="shared" si="665"/>
        <v>#N/A</v>
      </c>
      <c r="DB18" s="5" t="e">
        <f t="shared" si="666"/>
        <v>#N/A</v>
      </c>
      <c r="DC18" s="5" t="e">
        <f t="shared" si="667"/>
        <v>#N/A</v>
      </c>
      <c r="DD18" s="5" t="e">
        <f t="shared" si="668"/>
        <v>#N/A</v>
      </c>
      <c r="DE18" s="5" t="e">
        <f t="shared" si="669"/>
        <v>#N/A</v>
      </c>
      <c r="DF18" s="5" t="e">
        <f t="shared" si="670"/>
        <v>#N/A</v>
      </c>
      <c r="DG18" s="5" t="e">
        <f t="shared" si="671"/>
        <v>#N/A</v>
      </c>
      <c r="DH18" s="5" t="e">
        <f t="shared" si="672"/>
        <v>#N/A</v>
      </c>
      <c r="DI18" s="5" t="e">
        <f t="shared" si="673"/>
        <v>#N/A</v>
      </c>
      <c r="DJ18" s="5" t="e">
        <f t="shared" si="674"/>
        <v>#N/A</v>
      </c>
      <c r="DK18" s="5" t="e">
        <f t="shared" si="675"/>
        <v>#N/A</v>
      </c>
      <c r="DL18" s="5" t="e">
        <f t="shared" si="676"/>
        <v>#N/A</v>
      </c>
      <c r="DM18" s="5" t="e">
        <f t="shared" si="677"/>
        <v>#N/A</v>
      </c>
      <c r="DN18" s="5" t="e">
        <f t="shared" si="678"/>
        <v>#N/A</v>
      </c>
      <c r="DO18" s="5" t="e">
        <f t="shared" si="679"/>
        <v>#N/A</v>
      </c>
      <c r="DP18" s="5" t="e">
        <f t="shared" si="680"/>
        <v>#N/A</v>
      </c>
      <c r="DQ18" s="5" t="e">
        <f t="shared" si="681"/>
        <v>#N/A</v>
      </c>
      <c r="DR18" s="5" t="e">
        <f t="shared" si="682"/>
        <v>#N/A</v>
      </c>
      <c r="DS18" s="5" t="e">
        <f t="shared" si="683"/>
        <v>#N/A</v>
      </c>
      <c r="DT18" s="5" t="e">
        <f t="shared" si="684"/>
        <v>#N/A</v>
      </c>
      <c r="DU18" s="5" t="e">
        <f t="shared" si="685"/>
        <v>#N/A</v>
      </c>
      <c r="DV18" s="5" t="e">
        <f t="shared" si="686"/>
        <v>#N/A</v>
      </c>
      <c r="DW18" s="5" t="e">
        <f t="shared" si="687"/>
        <v>#N/A</v>
      </c>
      <c r="DX18" s="5" t="e">
        <f t="shared" si="688"/>
        <v>#N/A</v>
      </c>
      <c r="DY18" s="5" t="e">
        <f t="shared" si="689"/>
        <v>#N/A</v>
      </c>
      <c r="DZ18" s="5" t="e">
        <f t="shared" si="690"/>
        <v>#N/A</v>
      </c>
      <c r="EA18" s="5" t="e">
        <f t="shared" si="691"/>
        <v>#N/A</v>
      </c>
      <c r="EB18" s="5" t="e">
        <f t="shared" si="692"/>
        <v>#N/A</v>
      </c>
      <c r="EC18" s="5" t="e">
        <f t="shared" si="693"/>
        <v>#N/A</v>
      </c>
      <c r="ED18" s="5" t="e">
        <f t="shared" si="694"/>
        <v>#N/A</v>
      </c>
      <c r="EE18" s="5" t="e">
        <f t="shared" si="695"/>
        <v>#N/A</v>
      </c>
      <c r="EF18" s="5" t="e">
        <f t="shared" si="696"/>
        <v>#N/A</v>
      </c>
      <c r="EG18" s="5" t="e">
        <f t="shared" si="697"/>
        <v>#N/A</v>
      </c>
      <c r="EH18" s="5" t="e">
        <f t="shared" si="698"/>
        <v>#N/A</v>
      </c>
      <c r="EI18" s="5" t="e">
        <f t="shared" si="699"/>
        <v>#N/A</v>
      </c>
      <c r="EJ18" s="5" t="e">
        <f t="shared" si="700"/>
        <v>#N/A</v>
      </c>
      <c r="EK18" s="5" t="e">
        <f t="shared" si="701"/>
        <v>#N/A</v>
      </c>
      <c r="EL18" s="5" t="e">
        <f t="shared" si="702"/>
        <v>#N/A</v>
      </c>
      <c r="EM18" s="5" t="e">
        <f t="shared" si="703"/>
        <v>#N/A</v>
      </c>
      <c r="EN18" s="5" t="e">
        <f t="shared" si="704"/>
        <v>#N/A</v>
      </c>
      <c r="EO18" s="5" t="e">
        <f t="shared" si="705"/>
        <v>#N/A</v>
      </c>
      <c r="EP18" s="5" t="e">
        <f t="shared" si="706"/>
        <v>#N/A</v>
      </c>
      <c r="EQ18" s="5" t="e">
        <f t="shared" si="707"/>
        <v>#N/A</v>
      </c>
      <c r="ER18" s="5" t="e">
        <f t="shared" si="708"/>
        <v>#N/A</v>
      </c>
      <c r="ET18" s="5" t="e">
        <f t="shared" si="709"/>
        <v>#N/A</v>
      </c>
      <c r="EU18" s="5" t="e">
        <f t="shared" si="710"/>
        <v>#N/A</v>
      </c>
      <c r="EV18" s="5" t="e">
        <f t="shared" si="711"/>
        <v>#N/A</v>
      </c>
      <c r="EW18" s="5" t="e">
        <f t="shared" si="712"/>
        <v>#N/A</v>
      </c>
      <c r="EX18" s="5" t="e">
        <f t="shared" si="713"/>
        <v>#N/A</v>
      </c>
      <c r="EY18" s="5" t="e">
        <f t="shared" si="714"/>
        <v>#N/A</v>
      </c>
      <c r="EZ18" s="5" t="e">
        <f t="shared" si="715"/>
        <v>#N/A</v>
      </c>
      <c r="FA18" s="5" t="e">
        <f t="shared" si="716"/>
        <v>#N/A</v>
      </c>
      <c r="FB18" s="5" t="e">
        <f t="shared" si="717"/>
        <v>#N/A</v>
      </c>
      <c r="FC18" s="5" t="e">
        <f t="shared" si="718"/>
        <v>#N/A</v>
      </c>
      <c r="FD18" s="5" t="e">
        <f t="shared" si="719"/>
        <v>#N/A</v>
      </c>
      <c r="FE18" s="5" t="e">
        <f t="shared" si="720"/>
        <v>#N/A</v>
      </c>
      <c r="FF18" s="5" t="e">
        <f t="shared" si="721"/>
        <v>#N/A</v>
      </c>
      <c r="FG18" s="5" t="e">
        <f t="shared" si="722"/>
        <v>#N/A</v>
      </c>
      <c r="FH18" s="5" t="e">
        <f t="shared" si="723"/>
        <v>#N/A</v>
      </c>
      <c r="FI18" s="5" t="e">
        <f t="shared" si="724"/>
        <v>#N/A</v>
      </c>
      <c r="FJ18" s="5" t="e">
        <f t="shared" si="725"/>
        <v>#N/A</v>
      </c>
      <c r="FK18" s="5" t="e">
        <f t="shared" si="726"/>
        <v>#N/A</v>
      </c>
      <c r="FL18" s="5" t="e">
        <f t="shared" si="727"/>
        <v>#N/A</v>
      </c>
      <c r="FM18" s="5" t="e">
        <f t="shared" si="728"/>
        <v>#N/A</v>
      </c>
      <c r="FN18" s="5" t="e">
        <f t="shared" si="729"/>
        <v>#N/A</v>
      </c>
      <c r="FO18" s="5" t="e">
        <f t="shared" si="730"/>
        <v>#N/A</v>
      </c>
      <c r="FP18" s="5" t="e">
        <f t="shared" si="731"/>
        <v>#N/A</v>
      </c>
      <c r="FQ18" s="5" t="e">
        <f t="shared" si="732"/>
        <v>#N/A</v>
      </c>
      <c r="FR18" s="5" t="e">
        <f t="shared" si="733"/>
        <v>#N/A</v>
      </c>
      <c r="FS18" s="5" t="e">
        <f t="shared" si="734"/>
        <v>#N/A</v>
      </c>
      <c r="FT18" s="5" t="e">
        <f t="shared" si="735"/>
        <v>#N/A</v>
      </c>
      <c r="FU18" s="5" t="e">
        <f t="shared" si="736"/>
        <v>#N/A</v>
      </c>
      <c r="FV18" s="5" t="e">
        <f t="shared" si="737"/>
        <v>#N/A</v>
      </c>
      <c r="FW18" s="5" t="e">
        <f t="shared" si="738"/>
        <v>#N/A</v>
      </c>
      <c r="FX18" s="5" t="e">
        <f t="shared" si="739"/>
        <v>#N/A</v>
      </c>
      <c r="FY18" s="5" t="e">
        <f t="shared" si="740"/>
        <v>#N/A</v>
      </c>
      <c r="FZ18" s="5" t="e">
        <f t="shared" si="741"/>
        <v>#N/A</v>
      </c>
      <c r="GA18" s="5" t="e">
        <f t="shared" si="742"/>
        <v>#N/A</v>
      </c>
      <c r="GB18" s="5" t="e">
        <f t="shared" si="743"/>
        <v>#N/A</v>
      </c>
      <c r="GC18" s="5" t="e">
        <f t="shared" si="744"/>
        <v>#N/A</v>
      </c>
      <c r="GD18" s="5" t="e">
        <f t="shared" si="745"/>
        <v>#N/A</v>
      </c>
      <c r="GE18" s="5" t="e">
        <f t="shared" si="746"/>
        <v>#N/A</v>
      </c>
      <c r="GF18" s="5" t="e">
        <f t="shared" si="747"/>
        <v>#N/A</v>
      </c>
      <c r="GG18" s="5" t="e">
        <f t="shared" si="748"/>
        <v>#N/A</v>
      </c>
      <c r="GH18" s="5" t="e">
        <f t="shared" si="749"/>
        <v>#N/A</v>
      </c>
      <c r="GI18" s="5" t="e">
        <f t="shared" si="750"/>
        <v>#N/A</v>
      </c>
      <c r="GJ18" s="5" t="e">
        <f t="shared" si="751"/>
        <v>#N/A</v>
      </c>
      <c r="GK18" s="5" t="e">
        <f t="shared" si="752"/>
        <v>#N/A</v>
      </c>
      <c r="GL18" s="5" t="e">
        <f t="shared" si="753"/>
        <v>#N/A</v>
      </c>
      <c r="GM18" s="5" t="e">
        <f t="shared" si="754"/>
        <v>#N/A</v>
      </c>
      <c r="GN18" s="5" t="e">
        <f t="shared" si="755"/>
        <v>#N/A</v>
      </c>
      <c r="GO18" s="5" t="e">
        <f t="shared" si="756"/>
        <v>#N/A</v>
      </c>
      <c r="GP18" s="5" t="e">
        <f t="shared" si="757"/>
        <v>#N/A</v>
      </c>
      <c r="GQ18" s="5" t="e">
        <f t="shared" si="758"/>
        <v>#N/A</v>
      </c>
      <c r="GR18" s="5" t="e">
        <f t="shared" si="759"/>
        <v>#N/A</v>
      </c>
      <c r="GS18" s="5" t="e">
        <f t="shared" si="760"/>
        <v>#N/A</v>
      </c>
      <c r="GT18" s="5" t="e">
        <f t="shared" si="761"/>
        <v>#N/A</v>
      </c>
      <c r="GU18" s="5" t="e">
        <f t="shared" si="762"/>
        <v>#N/A</v>
      </c>
      <c r="GV18" s="5" t="e">
        <f t="shared" si="763"/>
        <v>#N/A</v>
      </c>
      <c r="GW18" s="5" t="e">
        <f t="shared" si="764"/>
        <v>#N/A</v>
      </c>
      <c r="GX18" s="5" t="e">
        <f t="shared" si="765"/>
        <v>#N/A</v>
      </c>
      <c r="GY18" s="5" t="e">
        <f t="shared" si="766"/>
        <v>#N/A</v>
      </c>
      <c r="GZ18" s="5" t="e">
        <f t="shared" si="767"/>
        <v>#N/A</v>
      </c>
      <c r="HA18" s="5" t="e">
        <f t="shared" si="768"/>
        <v>#N/A</v>
      </c>
      <c r="HC18" s="6" t="e">
        <f t="shared" si="769"/>
        <v>#N/A</v>
      </c>
      <c r="HD18" s="5" t="e">
        <f t="shared" si="770"/>
        <v>#N/A</v>
      </c>
      <c r="HE18" s="5" t="e">
        <f t="shared" si="771"/>
        <v>#N/A</v>
      </c>
      <c r="HF18" s="5" t="e">
        <f t="shared" si="772"/>
        <v>#N/A</v>
      </c>
      <c r="HG18" s="5" t="e">
        <f t="shared" si="773"/>
        <v>#N/A</v>
      </c>
      <c r="HH18" s="5" t="e">
        <f t="shared" si="774"/>
        <v>#N/A</v>
      </c>
      <c r="HI18" s="5" t="e">
        <f t="shared" si="775"/>
        <v>#N/A</v>
      </c>
      <c r="HJ18" s="5" t="e">
        <f t="shared" si="776"/>
        <v>#N/A</v>
      </c>
      <c r="HK18" s="5" t="e">
        <f t="shared" si="777"/>
        <v>#N/A</v>
      </c>
      <c r="HL18" s="5" t="e">
        <f t="shared" si="778"/>
        <v>#N/A</v>
      </c>
      <c r="HM18" s="5" t="e">
        <f t="shared" si="779"/>
        <v>#N/A</v>
      </c>
      <c r="HN18" s="5" t="e">
        <f t="shared" si="780"/>
        <v>#N/A</v>
      </c>
      <c r="HO18" s="5" t="e">
        <f t="shared" si="781"/>
        <v>#N/A</v>
      </c>
      <c r="HP18" s="5" t="e">
        <f t="shared" si="782"/>
        <v>#N/A</v>
      </c>
      <c r="HQ18" s="5" t="e">
        <f t="shared" si="783"/>
        <v>#N/A</v>
      </c>
      <c r="HR18" s="5" t="e">
        <f t="shared" si="784"/>
        <v>#N/A</v>
      </c>
      <c r="HS18" s="5" t="e">
        <f t="shared" si="785"/>
        <v>#N/A</v>
      </c>
      <c r="HT18" s="5" t="e">
        <f t="shared" si="786"/>
        <v>#N/A</v>
      </c>
      <c r="HU18" s="5" t="e">
        <f t="shared" si="787"/>
        <v>#N/A</v>
      </c>
      <c r="HV18" s="5" t="e">
        <f t="shared" si="788"/>
        <v>#N/A</v>
      </c>
      <c r="HW18" s="5" t="e">
        <f t="shared" si="789"/>
        <v>#N/A</v>
      </c>
      <c r="HX18" s="5" t="e">
        <f t="shared" si="790"/>
        <v>#N/A</v>
      </c>
      <c r="HY18" s="5" t="e">
        <f t="shared" si="791"/>
        <v>#N/A</v>
      </c>
      <c r="HZ18" s="5" t="e">
        <f t="shared" si="792"/>
        <v>#N/A</v>
      </c>
      <c r="IA18" s="5" t="e">
        <f t="shared" si="793"/>
        <v>#N/A</v>
      </c>
      <c r="IB18" s="5" t="e">
        <f t="shared" si="794"/>
        <v>#N/A</v>
      </c>
      <c r="IC18" s="5" t="e">
        <f t="shared" si="795"/>
        <v>#N/A</v>
      </c>
      <c r="ID18" s="5" t="e">
        <f t="shared" si="796"/>
        <v>#N/A</v>
      </c>
      <c r="IE18" s="5" t="e">
        <f t="shared" si="797"/>
        <v>#N/A</v>
      </c>
      <c r="IF18" s="5" t="e">
        <f t="shared" si="798"/>
        <v>#N/A</v>
      </c>
      <c r="IG18" s="5" t="e">
        <f t="shared" si="799"/>
        <v>#N/A</v>
      </c>
      <c r="IH18" s="5" t="e">
        <f t="shared" si="800"/>
        <v>#N/A</v>
      </c>
      <c r="II18" s="5" t="e">
        <f t="shared" si="801"/>
        <v>#N/A</v>
      </c>
      <c r="IJ18" s="5" t="e">
        <f t="shared" si="802"/>
        <v>#N/A</v>
      </c>
      <c r="IK18" s="5" t="e">
        <f t="shared" si="803"/>
        <v>#N/A</v>
      </c>
      <c r="IL18" s="5" t="e">
        <f t="shared" si="804"/>
        <v>#N/A</v>
      </c>
      <c r="IM18" s="5" t="e">
        <f t="shared" si="805"/>
        <v>#N/A</v>
      </c>
      <c r="IN18" s="5" t="e">
        <f t="shared" si="806"/>
        <v>#N/A</v>
      </c>
      <c r="IO18" s="5" t="e">
        <f t="shared" si="807"/>
        <v>#N/A</v>
      </c>
      <c r="IP18" s="5" t="e">
        <f t="shared" si="808"/>
        <v>#N/A</v>
      </c>
      <c r="IQ18" s="5" t="e">
        <f t="shared" si="809"/>
        <v>#N/A</v>
      </c>
      <c r="IR18" s="5" t="e">
        <f t="shared" si="810"/>
        <v>#N/A</v>
      </c>
      <c r="IS18" s="5" t="e">
        <f t="shared" si="811"/>
        <v>#N/A</v>
      </c>
      <c r="IT18" s="5" t="e">
        <f t="shared" si="812"/>
        <v>#N/A</v>
      </c>
      <c r="IU18" s="5" t="e">
        <f t="shared" si="813"/>
        <v>#N/A</v>
      </c>
      <c r="IV18" s="5" t="e">
        <f t="shared" si="814"/>
        <v>#N/A</v>
      </c>
      <c r="IW18" s="5" t="e">
        <f t="shared" si="815"/>
        <v>#N/A</v>
      </c>
      <c r="IX18" s="5" t="e">
        <f t="shared" si="816"/>
        <v>#N/A</v>
      </c>
      <c r="IY18" s="5" t="e">
        <f t="shared" si="817"/>
        <v>#N/A</v>
      </c>
      <c r="IZ18" s="5" t="e">
        <f t="shared" si="818"/>
        <v>#N/A</v>
      </c>
      <c r="JA18" s="5" t="e">
        <f t="shared" si="819"/>
        <v>#N/A</v>
      </c>
      <c r="JB18" s="5" t="e">
        <f t="shared" si="820"/>
        <v>#N/A</v>
      </c>
      <c r="JC18" s="5" t="e">
        <f t="shared" si="821"/>
        <v>#N/A</v>
      </c>
      <c r="JD18" s="5" t="e">
        <f t="shared" si="822"/>
        <v>#N/A</v>
      </c>
      <c r="JE18" s="5" t="e">
        <f t="shared" si="823"/>
        <v>#N/A</v>
      </c>
      <c r="JF18" s="5" t="e">
        <f t="shared" si="824"/>
        <v>#N/A</v>
      </c>
      <c r="JG18" s="5" t="e">
        <f t="shared" si="825"/>
        <v>#N/A</v>
      </c>
      <c r="JH18" s="5" t="e">
        <f t="shared" si="826"/>
        <v>#N/A</v>
      </c>
      <c r="JI18" s="5" t="e">
        <f t="shared" si="827"/>
        <v>#N/A</v>
      </c>
      <c r="JJ18" s="5" t="e">
        <f t="shared" si="828"/>
        <v>#N/A</v>
      </c>
      <c r="JK18" s="5" t="e">
        <f t="shared" si="829"/>
        <v>#N/A</v>
      </c>
      <c r="JM18" s="19" t="e">
        <f t="shared" si="830"/>
        <v>#N/A</v>
      </c>
      <c r="JN18" s="1">
        <v>16</v>
      </c>
      <c r="JO18" s="5" t="e">
        <f>HLOOKUP(JM18,HC$2:JK18,2+JN17,0)-IF(KE18&gt;0,KE18,0)</f>
        <v>#N/A</v>
      </c>
      <c r="JP18" s="5" t="e">
        <f t="shared" si="831"/>
        <v>#N/A</v>
      </c>
      <c r="JQ18" s="17"/>
      <c r="JR18" s="17"/>
      <c r="JS18" s="6">
        <f t="shared" si="832"/>
        <v>0</v>
      </c>
      <c r="JT18" s="5" t="e">
        <f t="shared" si="833"/>
        <v>#N/A</v>
      </c>
      <c r="JU18" s="13">
        <f t="shared" ca="1" si="22"/>
        <v>46161</v>
      </c>
      <c r="JV18" s="6" t="e">
        <f t="shared" si="834"/>
        <v>#N/A</v>
      </c>
      <c r="JW18" s="6"/>
      <c r="JX18" s="6"/>
      <c r="JY18" s="6">
        <f t="shared" si="835"/>
        <v>0</v>
      </c>
      <c r="JZ18" s="10" t="e">
        <f t="shared" si="836"/>
        <v>#N/A</v>
      </c>
      <c r="KA18" s="10" t="e">
        <f t="shared" si="837"/>
        <v>#N/A</v>
      </c>
      <c r="KB18" s="10" t="e">
        <f t="shared" si="838"/>
        <v>#N/A</v>
      </c>
      <c r="KC18" s="10" t="e">
        <f t="shared" si="839"/>
        <v>#N/A</v>
      </c>
      <c r="KD18" s="5" t="e">
        <f t="shared" si="840"/>
        <v>#N/A</v>
      </c>
      <c r="KE18" s="6" t="e">
        <f t="shared" si="841"/>
        <v>#N/A</v>
      </c>
    </row>
    <row r="19" spans="3:291" x14ac:dyDescent="0.3">
      <c r="C19" s="1" t="e">
        <f>VLOOKUP(B19,DD!A:B,2,0)</f>
        <v>#N/A</v>
      </c>
      <c r="D19" s="1" t="e">
        <f>VLOOKUP(B19,DD!A:K,11,0)</f>
        <v>#N/A</v>
      </c>
      <c r="E19" s="1" t="e">
        <f>VLOOKUP(B19,DD!A:L,12,0)</f>
        <v>#N/A</v>
      </c>
      <c r="F19" s="17" t="e">
        <f>VLOOKUP(B19,DD!A:D,4,0)</f>
        <v>#N/A</v>
      </c>
      <c r="G19" s="9">
        <v>1</v>
      </c>
      <c r="H19" s="3" t="e">
        <f>VLOOKUP(B19,DD!A:E,5,0)</f>
        <v>#N/A</v>
      </c>
      <c r="I19" s="3" t="e">
        <f t="shared" si="638"/>
        <v>#N/A</v>
      </c>
      <c r="J19" s="3" t="e">
        <f>VLOOKUP(B19,DD!A:F,6,0)</f>
        <v>#N/A</v>
      </c>
      <c r="K19" s="3" t="e">
        <f>VLOOKUP(B19,DD!A:H,8,0)</f>
        <v>#N/A</v>
      </c>
      <c r="L19" s="3" t="e">
        <f>VLOOKUP(B19,DD!A:I,9,0)</f>
        <v>#N/A</v>
      </c>
      <c r="M19" s="3" t="e">
        <f>VLOOKUP(B19,DD!A:J,10,0)</f>
        <v>#N/A</v>
      </c>
      <c r="N19" s="3" t="s">
        <v>8</v>
      </c>
      <c r="O19" s="3" t="s">
        <v>9</v>
      </c>
      <c r="P19" s="4" t="e">
        <f>VLOOKUP(B19,DD!A:C,3,0)</f>
        <v>#N/A</v>
      </c>
      <c r="Q19" s="5" t="e">
        <f t="shared" si="639"/>
        <v>#N/A</v>
      </c>
      <c r="R19" s="5" t="e">
        <f t="shared" si="640"/>
        <v>#N/A</v>
      </c>
      <c r="S19" s="5" t="e">
        <f t="shared" si="641"/>
        <v>#N/A</v>
      </c>
      <c r="T19" s="6" t="e">
        <f t="shared" si="642"/>
        <v>#N/A</v>
      </c>
      <c r="U19" s="5" t="e">
        <f t="shared" si="643"/>
        <v>#N/A</v>
      </c>
      <c r="V19" s="6" t="e">
        <f t="shared" si="644"/>
        <v>#N/A</v>
      </c>
      <c r="W19" s="7" t="e">
        <f t="shared" si="645"/>
        <v>#N/A</v>
      </c>
      <c r="X19" s="8" t="e">
        <f t="shared" si="8"/>
        <v>#VALUE!</v>
      </c>
      <c r="Y19" s="6" t="e">
        <f t="shared" si="646"/>
        <v>#N/A</v>
      </c>
      <c r="Z19" s="7" t="e">
        <f t="shared" ref="Z19:AO22" si="843">IF($I19&gt;=Z$2,$U19,0)-IF($I19=Z$2,$S19)-IF($S19&gt;1,$S19,0)+$S19</f>
        <v>#N/A</v>
      </c>
      <c r="AA19" s="7" t="e">
        <f t="shared" si="843"/>
        <v>#N/A</v>
      </c>
      <c r="AB19" s="7" t="e">
        <f t="shared" si="843"/>
        <v>#N/A</v>
      </c>
      <c r="AC19" s="7" t="e">
        <f t="shared" si="843"/>
        <v>#N/A</v>
      </c>
      <c r="AD19" s="7" t="e">
        <f t="shared" si="843"/>
        <v>#N/A</v>
      </c>
      <c r="AE19" s="7" t="e">
        <f t="shared" si="843"/>
        <v>#N/A</v>
      </c>
      <c r="AF19" s="7" t="e">
        <f t="shared" si="843"/>
        <v>#N/A</v>
      </c>
      <c r="AG19" s="7" t="e">
        <f t="shared" si="843"/>
        <v>#N/A</v>
      </c>
      <c r="AH19" s="7" t="e">
        <f t="shared" si="843"/>
        <v>#N/A</v>
      </c>
      <c r="AI19" s="7" t="e">
        <f t="shared" si="843"/>
        <v>#N/A</v>
      </c>
      <c r="AJ19" s="7" t="e">
        <f t="shared" si="843"/>
        <v>#N/A</v>
      </c>
      <c r="AK19" s="7" t="e">
        <f t="shared" si="843"/>
        <v>#N/A</v>
      </c>
      <c r="AL19" s="7" t="e">
        <f t="shared" si="843"/>
        <v>#N/A</v>
      </c>
      <c r="AM19" s="7" t="e">
        <f t="shared" si="843"/>
        <v>#N/A</v>
      </c>
      <c r="AN19" s="7" t="e">
        <f t="shared" si="843"/>
        <v>#N/A</v>
      </c>
      <c r="AO19" s="7" t="e">
        <f t="shared" si="843"/>
        <v>#N/A</v>
      </c>
      <c r="AP19" s="7" t="e">
        <f t="shared" ref="AP19:BE22" si="844">IF($I19&gt;=AP$2,$U19,0)-IF($I19=AP$2,$S19)-IF($S19&gt;1,$S19,0)+$S19</f>
        <v>#N/A</v>
      </c>
      <c r="AQ19" s="7" t="e">
        <f t="shared" si="844"/>
        <v>#N/A</v>
      </c>
      <c r="AR19" s="7" t="e">
        <f t="shared" si="844"/>
        <v>#N/A</v>
      </c>
      <c r="AS19" s="7" t="e">
        <f t="shared" si="844"/>
        <v>#N/A</v>
      </c>
      <c r="AT19" s="7" t="e">
        <f t="shared" si="844"/>
        <v>#N/A</v>
      </c>
      <c r="AU19" s="7" t="e">
        <f t="shared" si="844"/>
        <v>#N/A</v>
      </c>
      <c r="AV19" s="7" t="e">
        <f t="shared" si="844"/>
        <v>#N/A</v>
      </c>
      <c r="AW19" s="7" t="e">
        <f t="shared" si="844"/>
        <v>#N/A</v>
      </c>
      <c r="AX19" s="7" t="e">
        <f t="shared" si="844"/>
        <v>#N/A</v>
      </c>
      <c r="AY19" s="7" t="e">
        <f t="shared" si="844"/>
        <v>#N/A</v>
      </c>
      <c r="AZ19" s="7" t="e">
        <f t="shared" si="844"/>
        <v>#N/A</v>
      </c>
      <c r="BA19" s="7" t="e">
        <f t="shared" si="844"/>
        <v>#N/A</v>
      </c>
      <c r="BB19" s="7" t="e">
        <f t="shared" si="844"/>
        <v>#N/A</v>
      </c>
      <c r="BC19" s="7" t="e">
        <f t="shared" si="844"/>
        <v>#N/A</v>
      </c>
      <c r="BD19" s="7" t="e">
        <f t="shared" si="844"/>
        <v>#N/A</v>
      </c>
      <c r="BE19" s="7" t="e">
        <f t="shared" si="844"/>
        <v>#N/A</v>
      </c>
      <c r="BF19" s="7" t="e">
        <f t="shared" si="442"/>
        <v>#N/A</v>
      </c>
      <c r="BG19" s="7" t="e">
        <f t="shared" si="442"/>
        <v>#N/A</v>
      </c>
      <c r="BH19" s="7" t="e">
        <f t="shared" si="442"/>
        <v>#N/A</v>
      </c>
      <c r="BI19" s="7" t="e">
        <f t="shared" si="237"/>
        <v>#N/A</v>
      </c>
      <c r="BJ19" s="7" t="e">
        <f t="shared" si="237"/>
        <v>#N/A</v>
      </c>
      <c r="BK19" s="7" t="e">
        <f t="shared" si="237"/>
        <v>#N/A</v>
      </c>
      <c r="BL19" s="7" t="e">
        <f t="shared" si="237"/>
        <v>#N/A</v>
      </c>
      <c r="BM19" s="7" t="e">
        <f t="shared" si="237"/>
        <v>#N/A</v>
      </c>
      <c r="BN19" s="7" t="e">
        <f t="shared" si="237"/>
        <v>#N/A</v>
      </c>
      <c r="BO19" s="7" t="e">
        <f t="shared" si="237"/>
        <v>#N/A</v>
      </c>
      <c r="BP19" s="7" t="e">
        <f t="shared" si="237"/>
        <v>#N/A</v>
      </c>
      <c r="BQ19" s="7" t="e">
        <f t="shared" si="237"/>
        <v>#N/A</v>
      </c>
      <c r="BR19" s="7" t="e">
        <f t="shared" si="237"/>
        <v>#N/A</v>
      </c>
      <c r="BS19" s="7" t="e">
        <f t="shared" si="237"/>
        <v>#N/A</v>
      </c>
      <c r="BT19" s="7" t="e">
        <f t="shared" si="237"/>
        <v>#N/A</v>
      </c>
      <c r="BU19" s="7" t="e">
        <f t="shared" si="237"/>
        <v>#N/A</v>
      </c>
      <c r="BV19" s="7" t="e">
        <f t="shared" si="237"/>
        <v>#N/A</v>
      </c>
      <c r="BW19" s="7" t="e">
        <f t="shared" si="237"/>
        <v>#N/A</v>
      </c>
      <c r="BX19" s="7" t="e">
        <f t="shared" si="237"/>
        <v>#N/A</v>
      </c>
      <c r="BY19" s="7" t="e">
        <f t="shared" si="237"/>
        <v>#N/A</v>
      </c>
      <c r="BZ19" s="7" t="e">
        <f t="shared" si="237"/>
        <v>#N/A</v>
      </c>
      <c r="CA19" s="7" t="e">
        <f t="shared" si="237"/>
        <v>#N/A</v>
      </c>
      <c r="CB19" s="7" t="e">
        <f t="shared" si="237"/>
        <v>#N/A</v>
      </c>
      <c r="CC19" s="7" t="e">
        <f t="shared" si="237"/>
        <v>#N/A</v>
      </c>
      <c r="CD19" s="7" t="e">
        <f t="shared" si="237"/>
        <v>#N/A</v>
      </c>
      <c r="CE19" s="7" t="e">
        <f t="shared" si="237"/>
        <v>#N/A</v>
      </c>
      <c r="CF19" s="7" t="e">
        <f t="shared" si="237"/>
        <v>#N/A</v>
      </c>
      <c r="CG19" s="7" t="e">
        <f t="shared" si="237"/>
        <v>#N/A</v>
      </c>
      <c r="CH19" s="6" t="e">
        <f t="shared" si="647"/>
        <v>#N/A</v>
      </c>
      <c r="CI19" s="5" t="e">
        <f t="shared" si="648"/>
        <v>#N/A</v>
      </c>
      <c r="CK19" s="5" t="e">
        <f t="shared" si="649"/>
        <v>#N/A</v>
      </c>
      <c r="CL19" s="5" t="e">
        <f t="shared" si="650"/>
        <v>#N/A</v>
      </c>
      <c r="CM19" s="5" t="e">
        <f t="shared" si="651"/>
        <v>#N/A</v>
      </c>
      <c r="CN19" s="5" t="e">
        <f t="shared" si="652"/>
        <v>#N/A</v>
      </c>
      <c r="CO19" s="5" t="e">
        <f t="shared" si="653"/>
        <v>#N/A</v>
      </c>
      <c r="CP19" s="5" t="e">
        <f t="shared" si="654"/>
        <v>#N/A</v>
      </c>
      <c r="CQ19" s="5" t="e">
        <f t="shared" si="655"/>
        <v>#N/A</v>
      </c>
      <c r="CR19" s="5" t="e">
        <f t="shared" si="656"/>
        <v>#N/A</v>
      </c>
      <c r="CS19" s="5" t="e">
        <f t="shared" si="657"/>
        <v>#N/A</v>
      </c>
      <c r="CT19" s="5" t="e">
        <f t="shared" si="658"/>
        <v>#N/A</v>
      </c>
      <c r="CU19" s="5" t="e">
        <f t="shared" si="659"/>
        <v>#N/A</v>
      </c>
      <c r="CV19" s="5" t="e">
        <f t="shared" si="660"/>
        <v>#N/A</v>
      </c>
      <c r="CW19" s="5" t="e">
        <f t="shared" si="661"/>
        <v>#N/A</v>
      </c>
      <c r="CX19" s="5" t="e">
        <f t="shared" si="662"/>
        <v>#N/A</v>
      </c>
      <c r="CY19" s="5" t="e">
        <f t="shared" si="663"/>
        <v>#N/A</v>
      </c>
      <c r="CZ19" s="5" t="e">
        <f t="shared" si="664"/>
        <v>#N/A</v>
      </c>
      <c r="DA19" s="5" t="e">
        <f t="shared" si="665"/>
        <v>#N/A</v>
      </c>
      <c r="DB19" s="5" t="e">
        <f t="shared" si="666"/>
        <v>#N/A</v>
      </c>
      <c r="DC19" s="5" t="e">
        <f t="shared" si="667"/>
        <v>#N/A</v>
      </c>
      <c r="DD19" s="5" t="e">
        <f t="shared" si="668"/>
        <v>#N/A</v>
      </c>
      <c r="DE19" s="5" t="e">
        <f t="shared" si="669"/>
        <v>#N/A</v>
      </c>
      <c r="DF19" s="5" t="e">
        <f t="shared" si="670"/>
        <v>#N/A</v>
      </c>
      <c r="DG19" s="5" t="e">
        <f t="shared" si="671"/>
        <v>#N/A</v>
      </c>
      <c r="DH19" s="5" t="e">
        <f t="shared" si="672"/>
        <v>#N/A</v>
      </c>
      <c r="DI19" s="5" t="e">
        <f t="shared" si="673"/>
        <v>#N/A</v>
      </c>
      <c r="DJ19" s="5" t="e">
        <f t="shared" si="674"/>
        <v>#N/A</v>
      </c>
      <c r="DK19" s="5" t="e">
        <f t="shared" si="675"/>
        <v>#N/A</v>
      </c>
      <c r="DL19" s="5" t="e">
        <f t="shared" si="676"/>
        <v>#N/A</v>
      </c>
      <c r="DM19" s="5" t="e">
        <f t="shared" si="677"/>
        <v>#N/A</v>
      </c>
      <c r="DN19" s="5" t="e">
        <f t="shared" si="678"/>
        <v>#N/A</v>
      </c>
      <c r="DO19" s="5" t="e">
        <f t="shared" si="679"/>
        <v>#N/A</v>
      </c>
      <c r="DP19" s="5" t="e">
        <f t="shared" si="680"/>
        <v>#N/A</v>
      </c>
      <c r="DQ19" s="5" t="e">
        <f t="shared" si="681"/>
        <v>#N/A</v>
      </c>
      <c r="DR19" s="5" t="e">
        <f t="shared" si="682"/>
        <v>#N/A</v>
      </c>
      <c r="DS19" s="5" t="e">
        <f t="shared" si="683"/>
        <v>#N/A</v>
      </c>
      <c r="DT19" s="5" t="e">
        <f t="shared" si="684"/>
        <v>#N/A</v>
      </c>
      <c r="DU19" s="5" t="e">
        <f t="shared" si="685"/>
        <v>#N/A</v>
      </c>
      <c r="DV19" s="5" t="e">
        <f t="shared" si="686"/>
        <v>#N/A</v>
      </c>
      <c r="DW19" s="5" t="e">
        <f t="shared" si="687"/>
        <v>#N/A</v>
      </c>
      <c r="DX19" s="5" t="e">
        <f t="shared" si="688"/>
        <v>#N/A</v>
      </c>
      <c r="DY19" s="5" t="e">
        <f t="shared" si="689"/>
        <v>#N/A</v>
      </c>
      <c r="DZ19" s="5" t="e">
        <f t="shared" si="690"/>
        <v>#N/A</v>
      </c>
      <c r="EA19" s="5" t="e">
        <f t="shared" si="691"/>
        <v>#N/A</v>
      </c>
      <c r="EB19" s="5" t="e">
        <f t="shared" si="692"/>
        <v>#N/A</v>
      </c>
      <c r="EC19" s="5" t="e">
        <f t="shared" si="693"/>
        <v>#N/A</v>
      </c>
      <c r="ED19" s="5" t="e">
        <f t="shared" si="694"/>
        <v>#N/A</v>
      </c>
      <c r="EE19" s="5" t="e">
        <f t="shared" si="695"/>
        <v>#N/A</v>
      </c>
      <c r="EF19" s="5" t="e">
        <f t="shared" si="696"/>
        <v>#N/A</v>
      </c>
      <c r="EG19" s="5" t="e">
        <f t="shared" si="697"/>
        <v>#N/A</v>
      </c>
      <c r="EH19" s="5" t="e">
        <f t="shared" si="698"/>
        <v>#N/A</v>
      </c>
      <c r="EI19" s="5" t="e">
        <f t="shared" si="699"/>
        <v>#N/A</v>
      </c>
      <c r="EJ19" s="5" t="e">
        <f t="shared" si="700"/>
        <v>#N/A</v>
      </c>
      <c r="EK19" s="5" t="e">
        <f t="shared" si="701"/>
        <v>#N/A</v>
      </c>
      <c r="EL19" s="5" t="e">
        <f t="shared" si="702"/>
        <v>#N/A</v>
      </c>
      <c r="EM19" s="5" t="e">
        <f t="shared" si="703"/>
        <v>#N/A</v>
      </c>
      <c r="EN19" s="5" t="e">
        <f t="shared" si="704"/>
        <v>#N/A</v>
      </c>
      <c r="EO19" s="5" t="e">
        <f t="shared" si="705"/>
        <v>#N/A</v>
      </c>
      <c r="EP19" s="5" t="e">
        <f t="shared" si="706"/>
        <v>#N/A</v>
      </c>
      <c r="EQ19" s="5" t="e">
        <f t="shared" si="707"/>
        <v>#N/A</v>
      </c>
      <c r="ER19" s="5" t="e">
        <f t="shared" si="708"/>
        <v>#N/A</v>
      </c>
      <c r="ET19" s="5" t="e">
        <f t="shared" si="709"/>
        <v>#N/A</v>
      </c>
      <c r="EU19" s="5" t="e">
        <f t="shared" si="710"/>
        <v>#N/A</v>
      </c>
      <c r="EV19" s="5" t="e">
        <f t="shared" si="711"/>
        <v>#N/A</v>
      </c>
      <c r="EW19" s="5" t="e">
        <f t="shared" si="712"/>
        <v>#N/A</v>
      </c>
      <c r="EX19" s="5" t="e">
        <f t="shared" si="713"/>
        <v>#N/A</v>
      </c>
      <c r="EY19" s="5" t="e">
        <f t="shared" si="714"/>
        <v>#N/A</v>
      </c>
      <c r="EZ19" s="5" t="e">
        <f t="shared" si="715"/>
        <v>#N/A</v>
      </c>
      <c r="FA19" s="5" t="e">
        <f t="shared" si="716"/>
        <v>#N/A</v>
      </c>
      <c r="FB19" s="5" t="e">
        <f t="shared" si="717"/>
        <v>#N/A</v>
      </c>
      <c r="FC19" s="5" t="e">
        <f t="shared" si="718"/>
        <v>#N/A</v>
      </c>
      <c r="FD19" s="5" t="e">
        <f t="shared" si="719"/>
        <v>#N/A</v>
      </c>
      <c r="FE19" s="5" t="e">
        <f t="shared" si="720"/>
        <v>#N/A</v>
      </c>
      <c r="FF19" s="5" t="e">
        <f t="shared" si="721"/>
        <v>#N/A</v>
      </c>
      <c r="FG19" s="5" t="e">
        <f t="shared" si="722"/>
        <v>#N/A</v>
      </c>
      <c r="FH19" s="5" t="e">
        <f t="shared" si="723"/>
        <v>#N/A</v>
      </c>
      <c r="FI19" s="5" t="e">
        <f t="shared" si="724"/>
        <v>#N/A</v>
      </c>
      <c r="FJ19" s="5" t="e">
        <f t="shared" si="725"/>
        <v>#N/A</v>
      </c>
      <c r="FK19" s="5" t="e">
        <f t="shared" si="726"/>
        <v>#N/A</v>
      </c>
      <c r="FL19" s="5" t="e">
        <f t="shared" si="727"/>
        <v>#N/A</v>
      </c>
      <c r="FM19" s="5" t="e">
        <f t="shared" si="728"/>
        <v>#N/A</v>
      </c>
      <c r="FN19" s="5" t="e">
        <f t="shared" si="729"/>
        <v>#N/A</v>
      </c>
      <c r="FO19" s="5" t="e">
        <f t="shared" si="730"/>
        <v>#N/A</v>
      </c>
      <c r="FP19" s="5" t="e">
        <f t="shared" si="731"/>
        <v>#N/A</v>
      </c>
      <c r="FQ19" s="5" t="e">
        <f t="shared" si="732"/>
        <v>#N/A</v>
      </c>
      <c r="FR19" s="5" t="e">
        <f t="shared" si="733"/>
        <v>#N/A</v>
      </c>
      <c r="FS19" s="5" t="e">
        <f t="shared" si="734"/>
        <v>#N/A</v>
      </c>
      <c r="FT19" s="5" t="e">
        <f t="shared" si="735"/>
        <v>#N/A</v>
      </c>
      <c r="FU19" s="5" t="e">
        <f t="shared" si="736"/>
        <v>#N/A</v>
      </c>
      <c r="FV19" s="5" t="e">
        <f t="shared" si="737"/>
        <v>#N/A</v>
      </c>
      <c r="FW19" s="5" t="e">
        <f t="shared" si="738"/>
        <v>#N/A</v>
      </c>
      <c r="FX19" s="5" t="e">
        <f t="shared" si="739"/>
        <v>#N/A</v>
      </c>
      <c r="FY19" s="5" t="e">
        <f t="shared" si="740"/>
        <v>#N/A</v>
      </c>
      <c r="FZ19" s="5" t="e">
        <f t="shared" si="741"/>
        <v>#N/A</v>
      </c>
      <c r="GA19" s="5" t="e">
        <f t="shared" si="742"/>
        <v>#N/A</v>
      </c>
      <c r="GB19" s="5" t="e">
        <f t="shared" si="743"/>
        <v>#N/A</v>
      </c>
      <c r="GC19" s="5" t="e">
        <f t="shared" si="744"/>
        <v>#N/A</v>
      </c>
      <c r="GD19" s="5" t="e">
        <f t="shared" si="745"/>
        <v>#N/A</v>
      </c>
      <c r="GE19" s="5" t="e">
        <f t="shared" si="746"/>
        <v>#N/A</v>
      </c>
      <c r="GF19" s="5" t="e">
        <f t="shared" si="747"/>
        <v>#N/A</v>
      </c>
      <c r="GG19" s="5" t="e">
        <f t="shared" si="748"/>
        <v>#N/A</v>
      </c>
      <c r="GH19" s="5" t="e">
        <f t="shared" si="749"/>
        <v>#N/A</v>
      </c>
      <c r="GI19" s="5" t="e">
        <f t="shared" si="750"/>
        <v>#N/A</v>
      </c>
      <c r="GJ19" s="5" t="e">
        <f t="shared" si="751"/>
        <v>#N/A</v>
      </c>
      <c r="GK19" s="5" t="e">
        <f t="shared" si="752"/>
        <v>#N/A</v>
      </c>
      <c r="GL19" s="5" t="e">
        <f t="shared" si="753"/>
        <v>#N/A</v>
      </c>
      <c r="GM19" s="5" t="e">
        <f t="shared" si="754"/>
        <v>#N/A</v>
      </c>
      <c r="GN19" s="5" t="e">
        <f t="shared" si="755"/>
        <v>#N/A</v>
      </c>
      <c r="GO19" s="5" t="e">
        <f t="shared" si="756"/>
        <v>#N/A</v>
      </c>
      <c r="GP19" s="5" t="e">
        <f t="shared" si="757"/>
        <v>#N/A</v>
      </c>
      <c r="GQ19" s="5" t="e">
        <f t="shared" si="758"/>
        <v>#N/A</v>
      </c>
      <c r="GR19" s="5" t="e">
        <f t="shared" si="759"/>
        <v>#N/A</v>
      </c>
      <c r="GS19" s="5" t="e">
        <f t="shared" si="760"/>
        <v>#N/A</v>
      </c>
      <c r="GT19" s="5" t="e">
        <f t="shared" si="761"/>
        <v>#N/A</v>
      </c>
      <c r="GU19" s="5" t="e">
        <f t="shared" si="762"/>
        <v>#N/A</v>
      </c>
      <c r="GV19" s="5" t="e">
        <f t="shared" si="763"/>
        <v>#N/A</v>
      </c>
      <c r="GW19" s="5" t="e">
        <f t="shared" si="764"/>
        <v>#N/A</v>
      </c>
      <c r="GX19" s="5" t="e">
        <f t="shared" si="765"/>
        <v>#N/A</v>
      </c>
      <c r="GY19" s="5" t="e">
        <f t="shared" si="766"/>
        <v>#N/A</v>
      </c>
      <c r="GZ19" s="5" t="e">
        <f t="shared" si="767"/>
        <v>#N/A</v>
      </c>
      <c r="HA19" s="5" t="e">
        <f t="shared" si="768"/>
        <v>#N/A</v>
      </c>
      <c r="HC19" s="6" t="e">
        <f t="shared" si="769"/>
        <v>#N/A</v>
      </c>
      <c r="HD19" s="5" t="e">
        <f t="shared" si="770"/>
        <v>#N/A</v>
      </c>
      <c r="HE19" s="5" t="e">
        <f t="shared" si="771"/>
        <v>#N/A</v>
      </c>
      <c r="HF19" s="5" t="e">
        <f t="shared" si="772"/>
        <v>#N/A</v>
      </c>
      <c r="HG19" s="5" t="e">
        <f t="shared" si="773"/>
        <v>#N/A</v>
      </c>
      <c r="HH19" s="5" t="e">
        <f t="shared" si="774"/>
        <v>#N/A</v>
      </c>
      <c r="HI19" s="5" t="e">
        <f t="shared" si="775"/>
        <v>#N/A</v>
      </c>
      <c r="HJ19" s="5" t="e">
        <f t="shared" si="776"/>
        <v>#N/A</v>
      </c>
      <c r="HK19" s="5" t="e">
        <f t="shared" si="777"/>
        <v>#N/A</v>
      </c>
      <c r="HL19" s="5" t="e">
        <f t="shared" si="778"/>
        <v>#N/A</v>
      </c>
      <c r="HM19" s="5" t="e">
        <f t="shared" si="779"/>
        <v>#N/A</v>
      </c>
      <c r="HN19" s="5" t="e">
        <f t="shared" si="780"/>
        <v>#N/A</v>
      </c>
      <c r="HO19" s="5" t="e">
        <f t="shared" si="781"/>
        <v>#N/A</v>
      </c>
      <c r="HP19" s="5" t="e">
        <f t="shared" si="782"/>
        <v>#N/A</v>
      </c>
      <c r="HQ19" s="5" t="e">
        <f t="shared" si="783"/>
        <v>#N/A</v>
      </c>
      <c r="HR19" s="5" t="e">
        <f t="shared" si="784"/>
        <v>#N/A</v>
      </c>
      <c r="HS19" s="5" t="e">
        <f t="shared" si="785"/>
        <v>#N/A</v>
      </c>
      <c r="HT19" s="5" t="e">
        <f t="shared" si="786"/>
        <v>#N/A</v>
      </c>
      <c r="HU19" s="5" t="e">
        <f t="shared" si="787"/>
        <v>#N/A</v>
      </c>
      <c r="HV19" s="5" t="e">
        <f t="shared" si="788"/>
        <v>#N/A</v>
      </c>
      <c r="HW19" s="5" t="e">
        <f t="shared" si="789"/>
        <v>#N/A</v>
      </c>
      <c r="HX19" s="5" t="e">
        <f t="shared" si="790"/>
        <v>#N/A</v>
      </c>
      <c r="HY19" s="5" t="e">
        <f t="shared" si="791"/>
        <v>#N/A</v>
      </c>
      <c r="HZ19" s="5" t="e">
        <f t="shared" si="792"/>
        <v>#N/A</v>
      </c>
      <c r="IA19" s="5" t="e">
        <f t="shared" si="793"/>
        <v>#N/A</v>
      </c>
      <c r="IB19" s="5" t="e">
        <f t="shared" si="794"/>
        <v>#N/A</v>
      </c>
      <c r="IC19" s="5" t="e">
        <f t="shared" si="795"/>
        <v>#N/A</v>
      </c>
      <c r="ID19" s="5" t="e">
        <f t="shared" si="796"/>
        <v>#N/A</v>
      </c>
      <c r="IE19" s="5" t="e">
        <f t="shared" si="797"/>
        <v>#N/A</v>
      </c>
      <c r="IF19" s="5" t="e">
        <f t="shared" si="798"/>
        <v>#N/A</v>
      </c>
      <c r="IG19" s="5" t="e">
        <f t="shared" si="799"/>
        <v>#N/A</v>
      </c>
      <c r="IH19" s="5" t="e">
        <f t="shared" si="800"/>
        <v>#N/A</v>
      </c>
      <c r="II19" s="5" t="e">
        <f t="shared" si="801"/>
        <v>#N/A</v>
      </c>
      <c r="IJ19" s="5" t="e">
        <f t="shared" si="802"/>
        <v>#N/A</v>
      </c>
      <c r="IK19" s="5" t="e">
        <f t="shared" si="803"/>
        <v>#N/A</v>
      </c>
      <c r="IL19" s="5" t="e">
        <f t="shared" si="804"/>
        <v>#N/A</v>
      </c>
      <c r="IM19" s="5" t="e">
        <f t="shared" si="805"/>
        <v>#N/A</v>
      </c>
      <c r="IN19" s="5" t="e">
        <f t="shared" si="806"/>
        <v>#N/A</v>
      </c>
      <c r="IO19" s="5" t="e">
        <f t="shared" si="807"/>
        <v>#N/A</v>
      </c>
      <c r="IP19" s="5" t="e">
        <f t="shared" si="808"/>
        <v>#N/A</v>
      </c>
      <c r="IQ19" s="5" t="e">
        <f t="shared" si="809"/>
        <v>#N/A</v>
      </c>
      <c r="IR19" s="5" t="e">
        <f t="shared" si="810"/>
        <v>#N/A</v>
      </c>
      <c r="IS19" s="5" t="e">
        <f t="shared" si="811"/>
        <v>#N/A</v>
      </c>
      <c r="IT19" s="5" t="e">
        <f t="shared" si="812"/>
        <v>#N/A</v>
      </c>
      <c r="IU19" s="5" t="e">
        <f t="shared" si="813"/>
        <v>#N/A</v>
      </c>
      <c r="IV19" s="5" t="e">
        <f t="shared" si="814"/>
        <v>#N/A</v>
      </c>
      <c r="IW19" s="5" t="e">
        <f t="shared" si="815"/>
        <v>#N/A</v>
      </c>
      <c r="IX19" s="5" t="e">
        <f t="shared" si="816"/>
        <v>#N/A</v>
      </c>
      <c r="IY19" s="5" t="e">
        <f t="shared" si="817"/>
        <v>#N/A</v>
      </c>
      <c r="IZ19" s="5" t="e">
        <f t="shared" si="818"/>
        <v>#N/A</v>
      </c>
      <c r="JA19" s="5" t="e">
        <f t="shared" si="819"/>
        <v>#N/A</v>
      </c>
      <c r="JB19" s="5" t="e">
        <f t="shared" si="820"/>
        <v>#N/A</v>
      </c>
      <c r="JC19" s="5" t="e">
        <f t="shared" si="821"/>
        <v>#N/A</v>
      </c>
      <c r="JD19" s="5" t="e">
        <f t="shared" si="822"/>
        <v>#N/A</v>
      </c>
      <c r="JE19" s="5" t="e">
        <f t="shared" si="823"/>
        <v>#N/A</v>
      </c>
      <c r="JF19" s="5" t="e">
        <f t="shared" si="824"/>
        <v>#N/A</v>
      </c>
      <c r="JG19" s="5" t="e">
        <f t="shared" si="825"/>
        <v>#N/A</v>
      </c>
      <c r="JH19" s="5" t="e">
        <f t="shared" si="826"/>
        <v>#N/A</v>
      </c>
      <c r="JI19" s="5" t="e">
        <f t="shared" si="827"/>
        <v>#N/A</v>
      </c>
      <c r="JJ19" s="5" t="e">
        <f t="shared" si="828"/>
        <v>#N/A</v>
      </c>
      <c r="JK19" s="5" t="e">
        <f t="shared" si="829"/>
        <v>#N/A</v>
      </c>
      <c r="JM19" s="19" t="e">
        <f t="shared" si="830"/>
        <v>#N/A</v>
      </c>
      <c r="JN19" s="1">
        <v>17</v>
      </c>
      <c r="JO19" s="5" t="e">
        <f>HLOOKUP(JM19,HC$2:JK19,2+JN18,0)-IF(KE19&gt;0,KE19,0)</f>
        <v>#N/A</v>
      </c>
      <c r="JP19" s="5" t="e">
        <f t="shared" si="831"/>
        <v>#N/A</v>
      </c>
      <c r="JQ19" s="17"/>
      <c r="JR19" s="17"/>
      <c r="JS19" s="6">
        <f t="shared" si="832"/>
        <v>0</v>
      </c>
      <c r="JT19" s="5" t="e">
        <f t="shared" si="833"/>
        <v>#N/A</v>
      </c>
      <c r="JU19" s="13">
        <f t="shared" ca="1" si="22"/>
        <v>46161</v>
      </c>
      <c r="JV19" s="6" t="e">
        <f t="shared" si="834"/>
        <v>#N/A</v>
      </c>
      <c r="JW19" s="6"/>
      <c r="JX19" s="6"/>
      <c r="JY19" s="6">
        <f t="shared" si="835"/>
        <v>0</v>
      </c>
      <c r="JZ19" s="10" t="e">
        <f t="shared" si="836"/>
        <v>#N/A</v>
      </c>
      <c r="KA19" s="10" t="e">
        <f t="shared" si="837"/>
        <v>#N/A</v>
      </c>
      <c r="KB19" s="10" t="e">
        <f t="shared" si="838"/>
        <v>#N/A</v>
      </c>
      <c r="KC19" s="10" t="e">
        <f t="shared" si="839"/>
        <v>#N/A</v>
      </c>
      <c r="KD19" s="5" t="e">
        <f t="shared" si="840"/>
        <v>#N/A</v>
      </c>
      <c r="KE19" s="6" t="e">
        <f t="shared" si="841"/>
        <v>#N/A</v>
      </c>
    </row>
    <row r="20" spans="3:291" ht="14.4" customHeight="1" x14ac:dyDescent="0.3">
      <c r="C20" s="1" t="e">
        <f>VLOOKUP(B20,DD!A:B,2,0)</f>
        <v>#N/A</v>
      </c>
      <c r="D20" s="1" t="e">
        <f>VLOOKUP(B20,DD!A:K,11,0)</f>
        <v>#N/A</v>
      </c>
      <c r="E20" s="1" t="e">
        <f>VLOOKUP(B20,DD!A:L,12,0)</f>
        <v>#N/A</v>
      </c>
      <c r="F20" s="17" t="e">
        <f>VLOOKUP(B20,DD!A:D,4,0)</f>
        <v>#N/A</v>
      </c>
      <c r="G20" s="9">
        <v>1</v>
      </c>
      <c r="H20" s="3" t="e">
        <f>VLOOKUP(B20,DD!A:E,5,0)</f>
        <v>#N/A</v>
      </c>
      <c r="I20" s="3" t="e">
        <f t="shared" si="638"/>
        <v>#N/A</v>
      </c>
      <c r="J20" s="3" t="e">
        <f>VLOOKUP(B20,DD!A:F,6,0)</f>
        <v>#N/A</v>
      </c>
      <c r="K20" s="3" t="e">
        <f>VLOOKUP(B20,DD!A:H,8,0)</f>
        <v>#N/A</v>
      </c>
      <c r="L20" s="3" t="e">
        <f>VLOOKUP(B20,DD!A:I,9,0)</f>
        <v>#N/A</v>
      </c>
      <c r="M20" s="3" t="e">
        <f>VLOOKUP(B20,DD!A:J,10,0)</f>
        <v>#N/A</v>
      </c>
      <c r="N20" s="3" t="s">
        <v>8</v>
      </c>
      <c r="O20" s="3" t="s">
        <v>9</v>
      </c>
      <c r="P20" s="4" t="e">
        <f>VLOOKUP(B20,DD!A:C,3,0)</f>
        <v>#N/A</v>
      </c>
      <c r="Q20" s="5" t="e">
        <f t="shared" si="639"/>
        <v>#N/A</v>
      </c>
      <c r="R20" s="5" t="e">
        <f t="shared" si="640"/>
        <v>#N/A</v>
      </c>
      <c r="S20" s="5" t="e">
        <f t="shared" si="641"/>
        <v>#N/A</v>
      </c>
      <c r="T20" s="6" t="e">
        <f t="shared" si="642"/>
        <v>#N/A</v>
      </c>
      <c r="U20" s="5" t="e">
        <f t="shared" si="643"/>
        <v>#N/A</v>
      </c>
      <c r="V20" s="6" t="e">
        <f t="shared" si="644"/>
        <v>#N/A</v>
      </c>
      <c r="W20" s="7" t="e">
        <f t="shared" si="645"/>
        <v>#N/A</v>
      </c>
      <c r="X20" s="8" t="e">
        <f t="shared" si="8"/>
        <v>#VALUE!</v>
      </c>
      <c r="Y20" s="6" t="e">
        <f t="shared" si="646"/>
        <v>#N/A</v>
      </c>
      <c r="Z20" s="7" t="e">
        <f t="shared" si="843"/>
        <v>#N/A</v>
      </c>
      <c r="AA20" s="7" t="e">
        <f t="shared" si="843"/>
        <v>#N/A</v>
      </c>
      <c r="AB20" s="7" t="e">
        <f t="shared" si="843"/>
        <v>#N/A</v>
      </c>
      <c r="AC20" s="7" t="e">
        <f t="shared" si="843"/>
        <v>#N/A</v>
      </c>
      <c r="AD20" s="7" t="e">
        <f t="shared" si="843"/>
        <v>#N/A</v>
      </c>
      <c r="AE20" s="7" t="e">
        <f t="shared" si="843"/>
        <v>#N/A</v>
      </c>
      <c r="AF20" s="7" t="e">
        <f t="shared" si="843"/>
        <v>#N/A</v>
      </c>
      <c r="AG20" s="7" t="e">
        <f t="shared" si="843"/>
        <v>#N/A</v>
      </c>
      <c r="AH20" s="7" t="e">
        <f t="shared" si="843"/>
        <v>#N/A</v>
      </c>
      <c r="AI20" s="7" t="e">
        <f t="shared" si="843"/>
        <v>#N/A</v>
      </c>
      <c r="AJ20" s="7" t="e">
        <f t="shared" si="843"/>
        <v>#N/A</v>
      </c>
      <c r="AK20" s="7" t="e">
        <f t="shared" si="843"/>
        <v>#N/A</v>
      </c>
      <c r="AL20" s="7" t="e">
        <f t="shared" si="843"/>
        <v>#N/A</v>
      </c>
      <c r="AM20" s="7" t="e">
        <f t="shared" si="843"/>
        <v>#N/A</v>
      </c>
      <c r="AN20" s="7" t="e">
        <f t="shared" si="843"/>
        <v>#N/A</v>
      </c>
      <c r="AO20" s="7" t="e">
        <f t="shared" si="843"/>
        <v>#N/A</v>
      </c>
      <c r="AP20" s="7" t="e">
        <f t="shared" si="844"/>
        <v>#N/A</v>
      </c>
      <c r="AQ20" s="7" t="e">
        <f t="shared" si="844"/>
        <v>#N/A</v>
      </c>
      <c r="AR20" s="7" t="e">
        <f t="shared" si="844"/>
        <v>#N/A</v>
      </c>
      <c r="AS20" s="7" t="e">
        <f t="shared" si="844"/>
        <v>#N/A</v>
      </c>
      <c r="AT20" s="7" t="e">
        <f t="shared" si="844"/>
        <v>#N/A</v>
      </c>
      <c r="AU20" s="7" t="e">
        <f t="shared" si="844"/>
        <v>#N/A</v>
      </c>
      <c r="AV20" s="7" t="e">
        <f t="shared" si="844"/>
        <v>#N/A</v>
      </c>
      <c r="AW20" s="7" t="e">
        <f t="shared" si="844"/>
        <v>#N/A</v>
      </c>
      <c r="AX20" s="7" t="e">
        <f t="shared" si="844"/>
        <v>#N/A</v>
      </c>
      <c r="AY20" s="7" t="e">
        <f t="shared" si="844"/>
        <v>#N/A</v>
      </c>
      <c r="AZ20" s="7" t="e">
        <f t="shared" si="844"/>
        <v>#N/A</v>
      </c>
      <c r="BA20" s="7" t="e">
        <f t="shared" si="844"/>
        <v>#N/A</v>
      </c>
      <c r="BB20" s="7" t="e">
        <f t="shared" si="844"/>
        <v>#N/A</v>
      </c>
      <c r="BC20" s="7" t="e">
        <f t="shared" si="844"/>
        <v>#N/A</v>
      </c>
      <c r="BD20" s="7" t="e">
        <f t="shared" si="844"/>
        <v>#N/A</v>
      </c>
      <c r="BE20" s="7" t="e">
        <f t="shared" si="844"/>
        <v>#N/A</v>
      </c>
      <c r="BF20" s="7" t="e">
        <f t="shared" si="442"/>
        <v>#N/A</v>
      </c>
      <c r="BG20" s="7" t="e">
        <f t="shared" si="442"/>
        <v>#N/A</v>
      </c>
      <c r="BH20" s="7" t="e">
        <f t="shared" si="442"/>
        <v>#N/A</v>
      </c>
      <c r="BI20" s="7" t="e">
        <f t="shared" si="237"/>
        <v>#N/A</v>
      </c>
      <c r="BJ20" s="7" t="e">
        <f t="shared" si="237"/>
        <v>#N/A</v>
      </c>
      <c r="BK20" s="7" t="e">
        <f t="shared" si="237"/>
        <v>#N/A</v>
      </c>
      <c r="BL20" s="7" t="e">
        <f t="shared" si="237"/>
        <v>#N/A</v>
      </c>
      <c r="BM20" s="7" t="e">
        <f t="shared" si="237"/>
        <v>#N/A</v>
      </c>
      <c r="BN20" s="7" t="e">
        <f t="shared" si="237"/>
        <v>#N/A</v>
      </c>
      <c r="BO20" s="7" t="e">
        <f t="shared" si="237"/>
        <v>#N/A</v>
      </c>
      <c r="BP20" s="7" t="e">
        <f t="shared" si="237"/>
        <v>#N/A</v>
      </c>
      <c r="BQ20" s="7" t="e">
        <f t="shared" si="237"/>
        <v>#N/A</v>
      </c>
      <c r="BR20" s="7" t="e">
        <f t="shared" si="237"/>
        <v>#N/A</v>
      </c>
      <c r="BS20" s="7" t="e">
        <f t="shared" si="237"/>
        <v>#N/A</v>
      </c>
      <c r="BT20" s="7" t="e">
        <f t="shared" si="237"/>
        <v>#N/A</v>
      </c>
      <c r="BU20" s="7" t="e">
        <f t="shared" si="237"/>
        <v>#N/A</v>
      </c>
      <c r="BV20" s="7" t="e">
        <f t="shared" si="237"/>
        <v>#N/A</v>
      </c>
      <c r="BW20" s="7" t="e">
        <f t="shared" si="237"/>
        <v>#N/A</v>
      </c>
      <c r="BX20" s="7" t="e">
        <f t="shared" si="237"/>
        <v>#N/A</v>
      </c>
      <c r="BY20" s="7" t="e">
        <f t="shared" si="237"/>
        <v>#N/A</v>
      </c>
      <c r="BZ20" s="7" t="e">
        <f t="shared" si="237"/>
        <v>#N/A</v>
      </c>
      <c r="CA20" s="7" t="e">
        <f t="shared" si="237"/>
        <v>#N/A</v>
      </c>
      <c r="CB20" s="7" t="e">
        <f t="shared" si="237"/>
        <v>#N/A</v>
      </c>
      <c r="CC20" s="7" t="e">
        <f t="shared" si="237"/>
        <v>#N/A</v>
      </c>
      <c r="CD20" s="7" t="e">
        <f t="shared" si="237"/>
        <v>#N/A</v>
      </c>
      <c r="CE20" s="7" t="e">
        <f t="shared" si="237"/>
        <v>#N/A</v>
      </c>
      <c r="CF20" s="7" t="e">
        <f t="shared" si="237"/>
        <v>#N/A</v>
      </c>
      <c r="CG20" s="7" t="e">
        <f t="shared" si="237"/>
        <v>#N/A</v>
      </c>
      <c r="CH20" s="6" t="e">
        <f t="shared" si="647"/>
        <v>#N/A</v>
      </c>
      <c r="CI20" s="5" t="e">
        <f t="shared" si="648"/>
        <v>#N/A</v>
      </c>
      <c r="CK20" s="5" t="e">
        <f t="shared" si="649"/>
        <v>#N/A</v>
      </c>
      <c r="CL20" s="5" t="e">
        <f t="shared" si="650"/>
        <v>#N/A</v>
      </c>
      <c r="CM20" s="5" t="e">
        <f t="shared" si="651"/>
        <v>#N/A</v>
      </c>
      <c r="CN20" s="5" t="e">
        <f t="shared" si="652"/>
        <v>#N/A</v>
      </c>
      <c r="CO20" s="5" t="e">
        <f t="shared" si="653"/>
        <v>#N/A</v>
      </c>
      <c r="CP20" s="5" t="e">
        <f t="shared" si="654"/>
        <v>#N/A</v>
      </c>
      <c r="CQ20" s="5" t="e">
        <f t="shared" si="655"/>
        <v>#N/A</v>
      </c>
      <c r="CR20" s="5" t="e">
        <f t="shared" si="656"/>
        <v>#N/A</v>
      </c>
      <c r="CS20" s="5" t="e">
        <f t="shared" si="657"/>
        <v>#N/A</v>
      </c>
      <c r="CT20" s="5" t="e">
        <f t="shared" si="658"/>
        <v>#N/A</v>
      </c>
      <c r="CU20" s="5" t="e">
        <f t="shared" si="659"/>
        <v>#N/A</v>
      </c>
      <c r="CV20" s="5" t="e">
        <f t="shared" si="660"/>
        <v>#N/A</v>
      </c>
      <c r="CW20" s="5" t="e">
        <f t="shared" si="661"/>
        <v>#N/A</v>
      </c>
      <c r="CX20" s="5" t="e">
        <f t="shared" si="662"/>
        <v>#N/A</v>
      </c>
      <c r="CY20" s="5" t="e">
        <f t="shared" si="663"/>
        <v>#N/A</v>
      </c>
      <c r="CZ20" s="5" t="e">
        <f t="shared" si="664"/>
        <v>#N/A</v>
      </c>
      <c r="DA20" s="5" t="e">
        <f t="shared" si="665"/>
        <v>#N/A</v>
      </c>
      <c r="DB20" s="5" t="e">
        <f t="shared" si="666"/>
        <v>#N/A</v>
      </c>
      <c r="DC20" s="5" t="e">
        <f t="shared" si="667"/>
        <v>#N/A</v>
      </c>
      <c r="DD20" s="5" t="e">
        <f t="shared" si="668"/>
        <v>#N/A</v>
      </c>
      <c r="DE20" s="5" t="e">
        <f t="shared" si="669"/>
        <v>#N/A</v>
      </c>
      <c r="DF20" s="5" t="e">
        <f t="shared" si="670"/>
        <v>#N/A</v>
      </c>
      <c r="DG20" s="5" t="e">
        <f t="shared" si="671"/>
        <v>#N/A</v>
      </c>
      <c r="DH20" s="5" t="e">
        <f t="shared" si="672"/>
        <v>#N/A</v>
      </c>
      <c r="DI20" s="5" t="e">
        <f t="shared" si="673"/>
        <v>#N/A</v>
      </c>
      <c r="DJ20" s="5" t="e">
        <f t="shared" si="674"/>
        <v>#N/A</v>
      </c>
      <c r="DK20" s="5" t="e">
        <f t="shared" si="675"/>
        <v>#N/A</v>
      </c>
      <c r="DL20" s="5" t="e">
        <f t="shared" si="676"/>
        <v>#N/A</v>
      </c>
      <c r="DM20" s="5" t="e">
        <f t="shared" si="677"/>
        <v>#N/A</v>
      </c>
      <c r="DN20" s="5" t="e">
        <f t="shared" si="678"/>
        <v>#N/A</v>
      </c>
      <c r="DO20" s="5" t="e">
        <f t="shared" si="679"/>
        <v>#N/A</v>
      </c>
      <c r="DP20" s="5" t="e">
        <f t="shared" si="680"/>
        <v>#N/A</v>
      </c>
      <c r="DQ20" s="5" t="e">
        <f t="shared" si="681"/>
        <v>#N/A</v>
      </c>
      <c r="DR20" s="5" t="e">
        <f t="shared" si="682"/>
        <v>#N/A</v>
      </c>
      <c r="DS20" s="5" t="e">
        <f t="shared" si="683"/>
        <v>#N/A</v>
      </c>
      <c r="DT20" s="5" t="e">
        <f t="shared" si="684"/>
        <v>#N/A</v>
      </c>
      <c r="DU20" s="5" t="e">
        <f t="shared" si="685"/>
        <v>#N/A</v>
      </c>
      <c r="DV20" s="5" t="e">
        <f t="shared" si="686"/>
        <v>#N/A</v>
      </c>
      <c r="DW20" s="5" t="e">
        <f t="shared" si="687"/>
        <v>#N/A</v>
      </c>
      <c r="DX20" s="5" t="e">
        <f t="shared" si="688"/>
        <v>#N/A</v>
      </c>
      <c r="DY20" s="5" t="e">
        <f t="shared" si="689"/>
        <v>#N/A</v>
      </c>
      <c r="DZ20" s="5" t="e">
        <f t="shared" si="690"/>
        <v>#N/A</v>
      </c>
      <c r="EA20" s="5" t="e">
        <f t="shared" si="691"/>
        <v>#N/A</v>
      </c>
      <c r="EB20" s="5" t="e">
        <f t="shared" si="692"/>
        <v>#N/A</v>
      </c>
      <c r="EC20" s="5" t="e">
        <f t="shared" si="693"/>
        <v>#N/A</v>
      </c>
      <c r="ED20" s="5" t="e">
        <f t="shared" si="694"/>
        <v>#N/A</v>
      </c>
      <c r="EE20" s="5" t="e">
        <f t="shared" si="695"/>
        <v>#N/A</v>
      </c>
      <c r="EF20" s="5" t="e">
        <f t="shared" si="696"/>
        <v>#N/A</v>
      </c>
      <c r="EG20" s="5" t="e">
        <f t="shared" si="697"/>
        <v>#N/A</v>
      </c>
      <c r="EH20" s="5" t="e">
        <f t="shared" si="698"/>
        <v>#N/A</v>
      </c>
      <c r="EI20" s="5" t="e">
        <f t="shared" si="699"/>
        <v>#N/A</v>
      </c>
      <c r="EJ20" s="5" t="e">
        <f t="shared" si="700"/>
        <v>#N/A</v>
      </c>
      <c r="EK20" s="5" t="e">
        <f t="shared" si="701"/>
        <v>#N/A</v>
      </c>
      <c r="EL20" s="5" t="e">
        <f t="shared" si="702"/>
        <v>#N/A</v>
      </c>
      <c r="EM20" s="5" t="e">
        <f t="shared" si="703"/>
        <v>#N/A</v>
      </c>
      <c r="EN20" s="5" t="e">
        <f t="shared" si="704"/>
        <v>#N/A</v>
      </c>
      <c r="EO20" s="5" t="e">
        <f t="shared" si="705"/>
        <v>#N/A</v>
      </c>
      <c r="EP20" s="5" t="e">
        <f t="shared" si="706"/>
        <v>#N/A</v>
      </c>
      <c r="EQ20" s="5" t="e">
        <f t="shared" si="707"/>
        <v>#N/A</v>
      </c>
      <c r="ER20" s="5" t="e">
        <f t="shared" si="708"/>
        <v>#N/A</v>
      </c>
      <c r="ET20" s="5" t="e">
        <f t="shared" si="709"/>
        <v>#N/A</v>
      </c>
      <c r="EU20" s="5" t="e">
        <f t="shared" si="710"/>
        <v>#N/A</v>
      </c>
      <c r="EV20" s="5" t="e">
        <f t="shared" si="711"/>
        <v>#N/A</v>
      </c>
      <c r="EW20" s="5" t="e">
        <f t="shared" si="712"/>
        <v>#N/A</v>
      </c>
      <c r="EX20" s="5" t="e">
        <f t="shared" si="713"/>
        <v>#N/A</v>
      </c>
      <c r="EY20" s="5" t="e">
        <f t="shared" si="714"/>
        <v>#N/A</v>
      </c>
      <c r="EZ20" s="5" t="e">
        <f t="shared" si="715"/>
        <v>#N/A</v>
      </c>
      <c r="FA20" s="5" t="e">
        <f t="shared" si="716"/>
        <v>#N/A</v>
      </c>
      <c r="FB20" s="5" t="e">
        <f t="shared" si="717"/>
        <v>#N/A</v>
      </c>
      <c r="FC20" s="5" t="e">
        <f t="shared" si="718"/>
        <v>#N/A</v>
      </c>
      <c r="FD20" s="5" t="e">
        <f t="shared" si="719"/>
        <v>#N/A</v>
      </c>
      <c r="FE20" s="5" t="e">
        <f t="shared" si="720"/>
        <v>#N/A</v>
      </c>
      <c r="FF20" s="5" t="e">
        <f t="shared" si="721"/>
        <v>#N/A</v>
      </c>
      <c r="FG20" s="5" t="e">
        <f t="shared" si="722"/>
        <v>#N/A</v>
      </c>
      <c r="FH20" s="5" t="e">
        <f t="shared" si="723"/>
        <v>#N/A</v>
      </c>
      <c r="FI20" s="5" t="e">
        <f t="shared" si="724"/>
        <v>#N/A</v>
      </c>
      <c r="FJ20" s="5" t="e">
        <f t="shared" si="725"/>
        <v>#N/A</v>
      </c>
      <c r="FK20" s="5" t="e">
        <f t="shared" si="726"/>
        <v>#N/A</v>
      </c>
      <c r="FL20" s="5" t="e">
        <f t="shared" si="727"/>
        <v>#N/A</v>
      </c>
      <c r="FM20" s="5" t="e">
        <f t="shared" si="728"/>
        <v>#N/A</v>
      </c>
      <c r="FN20" s="5" t="e">
        <f t="shared" si="729"/>
        <v>#N/A</v>
      </c>
      <c r="FO20" s="5" t="e">
        <f t="shared" si="730"/>
        <v>#N/A</v>
      </c>
      <c r="FP20" s="5" t="e">
        <f t="shared" si="731"/>
        <v>#N/A</v>
      </c>
      <c r="FQ20" s="5" t="e">
        <f t="shared" si="732"/>
        <v>#N/A</v>
      </c>
      <c r="FR20" s="5" t="e">
        <f t="shared" si="733"/>
        <v>#N/A</v>
      </c>
      <c r="FS20" s="5" t="e">
        <f t="shared" si="734"/>
        <v>#N/A</v>
      </c>
      <c r="FT20" s="5" t="e">
        <f t="shared" si="735"/>
        <v>#N/A</v>
      </c>
      <c r="FU20" s="5" t="e">
        <f t="shared" si="736"/>
        <v>#N/A</v>
      </c>
      <c r="FV20" s="5" t="e">
        <f t="shared" si="737"/>
        <v>#N/A</v>
      </c>
      <c r="FW20" s="5" t="e">
        <f t="shared" si="738"/>
        <v>#N/A</v>
      </c>
      <c r="FX20" s="5" t="e">
        <f t="shared" si="739"/>
        <v>#N/A</v>
      </c>
      <c r="FY20" s="5" t="e">
        <f t="shared" si="740"/>
        <v>#N/A</v>
      </c>
      <c r="FZ20" s="5" t="e">
        <f t="shared" si="741"/>
        <v>#N/A</v>
      </c>
      <c r="GA20" s="5" t="e">
        <f t="shared" si="742"/>
        <v>#N/A</v>
      </c>
      <c r="GB20" s="5" t="e">
        <f t="shared" si="743"/>
        <v>#N/A</v>
      </c>
      <c r="GC20" s="5" t="e">
        <f t="shared" si="744"/>
        <v>#N/A</v>
      </c>
      <c r="GD20" s="5" t="e">
        <f t="shared" si="745"/>
        <v>#N/A</v>
      </c>
      <c r="GE20" s="5" t="e">
        <f t="shared" si="746"/>
        <v>#N/A</v>
      </c>
      <c r="GF20" s="5" t="e">
        <f t="shared" si="747"/>
        <v>#N/A</v>
      </c>
      <c r="GG20" s="5" t="e">
        <f t="shared" si="748"/>
        <v>#N/A</v>
      </c>
      <c r="GH20" s="5" t="e">
        <f t="shared" si="749"/>
        <v>#N/A</v>
      </c>
      <c r="GI20" s="5" t="e">
        <f t="shared" si="750"/>
        <v>#N/A</v>
      </c>
      <c r="GJ20" s="5" t="e">
        <f t="shared" si="751"/>
        <v>#N/A</v>
      </c>
      <c r="GK20" s="5" t="e">
        <f t="shared" si="752"/>
        <v>#N/A</v>
      </c>
      <c r="GL20" s="5" t="e">
        <f t="shared" si="753"/>
        <v>#N/A</v>
      </c>
      <c r="GM20" s="5" t="e">
        <f t="shared" si="754"/>
        <v>#N/A</v>
      </c>
      <c r="GN20" s="5" t="e">
        <f t="shared" si="755"/>
        <v>#N/A</v>
      </c>
      <c r="GO20" s="5" t="e">
        <f t="shared" si="756"/>
        <v>#N/A</v>
      </c>
      <c r="GP20" s="5" t="e">
        <f t="shared" si="757"/>
        <v>#N/A</v>
      </c>
      <c r="GQ20" s="5" t="e">
        <f t="shared" si="758"/>
        <v>#N/A</v>
      </c>
      <c r="GR20" s="5" t="e">
        <f t="shared" si="759"/>
        <v>#N/A</v>
      </c>
      <c r="GS20" s="5" t="e">
        <f t="shared" si="760"/>
        <v>#N/A</v>
      </c>
      <c r="GT20" s="5" t="e">
        <f t="shared" si="761"/>
        <v>#N/A</v>
      </c>
      <c r="GU20" s="5" t="e">
        <f t="shared" si="762"/>
        <v>#N/A</v>
      </c>
      <c r="GV20" s="5" t="e">
        <f t="shared" si="763"/>
        <v>#N/A</v>
      </c>
      <c r="GW20" s="5" t="e">
        <f t="shared" si="764"/>
        <v>#N/A</v>
      </c>
      <c r="GX20" s="5" t="e">
        <f t="shared" si="765"/>
        <v>#N/A</v>
      </c>
      <c r="GY20" s="5" t="e">
        <f t="shared" si="766"/>
        <v>#N/A</v>
      </c>
      <c r="GZ20" s="5" t="e">
        <f t="shared" si="767"/>
        <v>#N/A</v>
      </c>
      <c r="HA20" s="5" t="e">
        <f t="shared" si="768"/>
        <v>#N/A</v>
      </c>
      <c r="HC20" s="6" t="e">
        <f t="shared" si="769"/>
        <v>#N/A</v>
      </c>
      <c r="HD20" s="5" t="e">
        <f t="shared" si="770"/>
        <v>#N/A</v>
      </c>
      <c r="HE20" s="5" t="e">
        <f t="shared" si="771"/>
        <v>#N/A</v>
      </c>
      <c r="HF20" s="5" t="e">
        <f t="shared" si="772"/>
        <v>#N/A</v>
      </c>
      <c r="HG20" s="5" t="e">
        <f t="shared" si="773"/>
        <v>#N/A</v>
      </c>
      <c r="HH20" s="5" t="e">
        <f t="shared" si="774"/>
        <v>#N/A</v>
      </c>
      <c r="HI20" s="5" t="e">
        <f t="shared" si="775"/>
        <v>#N/A</v>
      </c>
      <c r="HJ20" s="5" t="e">
        <f t="shared" si="776"/>
        <v>#N/A</v>
      </c>
      <c r="HK20" s="5" t="e">
        <f t="shared" si="777"/>
        <v>#N/A</v>
      </c>
      <c r="HL20" s="5" t="e">
        <f t="shared" si="778"/>
        <v>#N/A</v>
      </c>
      <c r="HM20" s="5" t="e">
        <f t="shared" si="779"/>
        <v>#N/A</v>
      </c>
      <c r="HN20" s="5" t="e">
        <f t="shared" si="780"/>
        <v>#N/A</v>
      </c>
      <c r="HO20" s="5" t="e">
        <f t="shared" si="781"/>
        <v>#N/A</v>
      </c>
      <c r="HP20" s="5" t="e">
        <f t="shared" si="782"/>
        <v>#N/A</v>
      </c>
      <c r="HQ20" s="5" t="e">
        <f t="shared" si="783"/>
        <v>#N/A</v>
      </c>
      <c r="HR20" s="5" t="e">
        <f t="shared" si="784"/>
        <v>#N/A</v>
      </c>
      <c r="HS20" s="5" t="e">
        <f t="shared" si="785"/>
        <v>#N/A</v>
      </c>
      <c r="HT20" s="5" t="e">
        <f t="shared" si="786"/>
        <v>#N/A</v>
      </c>
      <c r="HU20" s="5" t="e">
        <f t="shared" si="787"/>
        <v>#N/A</v>
      </c>
      <c r="HV20" s="5" t="e">
        <f t="shared" si="788"/>
        <v>#N/A</v>
      </c>
      <c r="HW20" s="5" t="e">
        <f t="shared" si="789"/>
        <v>#N/A</v>
      </c>
      <c r="HX20" s="5" t="e">
        <f t="shared" si="790"/>
        <v>#N/A</v>
      </c>
      <c r="HY20" s="5" t="e">
        <f t="shared" si="791"/>
        <v>#N/A</v>
      </c>
      <c r="HZ20" s="5" t="e">
        <f t="shared" si="792"/>
        <v>#N/A</v>
      </c>
      <c r="IA20" s="5" t="e">
        <f t="shared" si="793"/>
        <v>#N/A</v>
      </c>
      <c r="IB20" s="5" t="e">
        <f t="shared" si="794"/>
        <v>#N/A</v>
      </c>
      <c r="IC20" s="5" t="e">
        <f t="shared" si="795"/>
        <v>#N/A</v>
      </c>
      <c r="ID20" s="5" t="e">
        <f t="shared" si="796"/>
        <v>#N/A</v>
      </c>
      <c r="IE20" s="5" t="e">
        <f t="shared" si="797"/>
        <v>#N/A</v>
      </c>
      <c r="IF20" s="5" t="e">
        <f t="shared" si="798"/>
        <v>#N/A</v>
      </c>
      <c r="IG20" s="5" t="e">
        <f t="shared" si="799"/>
        <v>#N/A</v>
      </c>
      <c r="IH20" s="5" t="e">
        <f t="shared" si="800"/>
        <v>#N/A</v>
      </c>
      <c r="II20" s="5" t="e">
        <f t="shared" si="801"/>
        <v>#N/A</v>
      </c>
      <c r="IJ20" s="5" t="e">
        <f t="shared" si="802"/>
        <v>#N/A</v>
      </c>
      <c r="IK20" s="5" t="e">
        <f t="shared" si="803"/>
        <v>#N/A</v>
      </c>
      <c r="IL20" s="5" t="e">
        <f t="shared" si="804"/>
        <v>#N/A</v>
      </c>
      <c r="IM20" s="5" t="e">
        <f t="shared" si="805"/>
        <v>#N/A</v>
      </c>
      <c r="IN20" s="5" t="e">
        <f t="shared" si="806"/>
        <v>#N/A</v>
      </c>
      <c r="IO20" s="5" t="e">
        <f t="shared" si="807"/>
        <v>#N/A</v>
      </c>
      <c r="IP20" s="5" t="e">
        <f t="shared" si="808"/>
        <v>#N/A</v>
      </c>
      <c r="IQ20" s="5" t="e">
        <f t="shared" si="809"/>
        <v>#N/A</v>
      </c>
      <c r="IR20" s="5" t="e">
        <f t="shared" si="810"/>
        <v>#N/A</v>
      </c>
      <c r="IS20" s="5" t="e">
        <f t="shared" si="811"/>
        <v>#N/A</v>
      </c>
      <c r="IT20" s="5" t="e">
        <f t="shared" si="812"/>
        <v>#N/A</v>
      </c>
      <c r="IU20" s="5" t="e">
        <f t="shared" si="813"/>
        <v>#N/A</v>
      </c>
      <c r="IV20" s="5" t="e">
        <f t="shared" si="814"/>
        <v>#N/A</v>
      </c>
      <c r="IW20" s="5" t="e">
        <f t="shared" si="815"/>
        <v>#N/A</v>
      </c>
      <c r="IX20" s="5" t="e">
        <f t="shared" si="816"/>
        <v>#N/A</v>
      </c>
      <c r="IY20" s="5" t="e">
        <f t="shared" si="817"/>
        <v>#N/A</v>
      </c>
      <c r="IZ20" s="5" t="e">
        <f t="shared" si="818"/>
        <v>#N/A</v>
      </c>
      <c r="JA20" s="5" t="e">
        <f t="shared" si="819"/>
        <v>#N/A</v>
      </c>
      <c r="JB20" s="5" t="e">
        <f t="shared" si="820"/>
        <v>#N/A</v>
      </c>
      <c r="JC20" s="5" t="e">
        <f t="shared" si="821"/>
        <v>#N/A</v>
      </c>
      <c r="JD20" s="5" t="e">
        <f t="shared" si="822"/>
        <v>#N/A</v>
      </c>
      <c r="JE20" s="5" t="e">
        <f t="shared" si="823"/>
        <v>#N/A</v>
      </c>
      <c r="JF20" s="5" t="e">
        <f t="shared" si="824"/>
        <v>#N/A</v>
      </c>
      <c r="JG20" s="5" t="e">
        <f t="shared" si="825"/>
        <v>#N/A</v>
      </c>
      <c r="JH20" s="5" t="e">
        <f t="shared" si="826"/>
        <v>#N/A</v>
      </c>
      <c r="JI20" s="5" t="e">
        <f t="shared" si="827"/>
        <v>#N/A</v>
      </c>
      <c r="JJ20" s="5" t="e">
        <f t="shared" si="828"/>
        <v>#N/A</v>
      </c>
      <c r="JK20" s="5" t="e">
        <f t="shared" si="829"/>
        <v>#N/A</v>
      </c>
      <c r="JM20" s="19" t="e">
        <f t="shared" si="830"/>
        <v>#N/A</v>
      </c>
      <c r="JN20" s="1">
        <v>18</v>
      </c>
      <c r="JO20" s="5" t="e">
        <f>HLOOKUP(JM20,HC$2:JK20,2+JN19,0)-IF(KE20&gt;0,KE20,0)</f>
        <v>#N/A</v>
      </c>
      <c r="JP20" s="5" t="e">
        <f t="shared" si="831"/>
        <v>#N/A</v>
      </c>
      <c r="JQ20" s="17"/>
      <c r="JR20" s="17"/>
      <c r="JS20" s="6">
        <f t="shared" si="832"/>
        <v>0</v>
      </c>
      <c r="JT20" s="5" t="e">
        <f t="shared" si="833"/>
        <v>#N/A</v>
      </c>
      <c r="JU20" s="13">
        <f t="shared" ca="1" si="22"/>
        <v>46161</v>
      </c>
      <c r="JV20" s="6" t="e">
        <f t="shared" si="834"/>
        <v>#N/A</v>
      </c>
      <c r="JW20" s="6"/>
      <c r="JX20" s="6"/>
      <c r="JY20" s="6">
        <f t="shared" si="835"/>
        <v>0</v>
      </c>
      <c r="JZ20" s="10" t="e">
        <f t="shared" si="836"/>
        <v>#N/A</v>
      </c>
      <c r="KA20" s="10" t="e">
        <f t="shared" si="837"/>
        <v>#N/A</v>
      </c>
      <c r="KB20" s="10" t="e">
        <f t="shared" si="838"/>
        <v>#N/A</v>
      </c>
      <c r="KC20" s="10" t="e">
        <f t="shared" si="839"/>
        <v>#N/A</v>
      </c>
      <c r="KD20" s="5" t="e">
        <f t="shared" si="840"/>
        <v>#N/A</v>
      </c>
      <c r="KE20" s="6" t="e">
        <f t="shared" si="841"/>
        <v>#N/A</v>
      </c>
    </row>
    <row r="21" spans="3:291" ht="14.4" customHeight="1" x14ac:dyDescent="0.3">
      <c r="C21" s="1" t="e">
        <f>VLOOKUP(B21,DD!A:B,2,0)</f>
        <v>#N/A</v>
      </c>
      <c r="D21" s="1" t="e">
        <f>VLOOKUP(B21,DD!A:K,11,0)</f>
        <v>#N/A</v>
      </c>
      <c r="E21" s="1" t="e">
        <f>VLOOKUP(B21,DD!A:L,12,0)</f>
        <v>#N/A</v>
      </c>
      <c r="F21" s="17" t="e">
        <f>VLOOKUP(B21,DD!A:D,4,0)</f>
        <v>#N/A</v>
      </c>
      <c r="G21" s="9">
        <v>1</v>
      </c>
      <c r="H21" s="3" t="e">
        <f>VLOOKUP(B21,DD!A:E,5,0)</f>
        <v>#N/A</v>
      </c>
      <c r="I21" s="3" t="e">
        <f t="shared" si="638"/>
        <v>#N/A</v>
      </c>
      <c r="J21" s="3" t="e">
        <f>VLOOKUP(B21,DD!A:F,6,0)</f>
        <v>#N/A</v>
      </c>
      <c r="K21" s="3" t="e">
        <f>VLOOKUP(B21,DD!A:H,8,0)</f>
        <v>#N/A</v>
      </c>
      <c r="L21" s="3" t="e">
        <f>VLOOKUP(B21,DD!A:I,9,0)</f>
        <v>#N/A</v>
      </c>
      <c r="M21" s="3" t="e">
        <f>VLOOKUP(B21,DD!A:J,10,0)</f>
        <v>#N/A</v>
      </c>
      <c r="N21" s="3" t="s">
        <v>8</v>
      </c>
      <c r="O21" s="3" t="s">
        <v>9</v>
      </c>
      <c r="P21" s="4" t="e">
        <f>VLOOKUP(B21,DD!A:C,3,0)</f>
        <v>#N/A</v>
      </c>
      <c r="Q21" s="5" t="e">
        <f t="shared" si="639"/>
        <v>#N/A</v>
      </c>
      <c r="R21" s="5" t="e">
        <f t="shared" si="640"/>
        <v>#N/A</v>
      </c>
      <c r="S21" s="5" t="e">
        <f t="shared" si="641"/>
        <v>#N/A</v>
      </c>
      <c r="T21" s="6" t="e">
        <f t="shared" si="642"/>
        <v>#N/A</v>
      </c>
      <c r="U21" s="5" t="e">
        <f t="shared" si="643"/>
        <v>#N/A</v>
      </c>
      <c r="V21" s="6" t="e">
        <f t="shared" si="644"/>
        <v>#N/A</v>
      </c>
      <c r="W21" s="7" t="e">
        <f t="shared" si="645"/>
        <v>#N/A</v>
      </c>
      <c r="X21" s="8" t="e">
        <f t="shared" si="8"/>
        <v>#VALUE!</v>
      </c>
      <c r="Y21" s="6" t="e">
        <f t="shared" si="646"/>
        <v>#N/A</v>
      </c>
      <c r="Z21" s="7" t="e">
        <f t="shared" si="843"/>
        <v>#N/A</v>
      </c>
      <c r="AA21" s="7" t="e">
        <f t="shared" si="843"/>
        <v>#N/A</v>
      </c>
      <c r="AB21" s="7" t="e">
        <f t="shared" si="843"/>
        <v>#N/A</v>
      </c>
      <c r="AC21" s="7" t="e">
        <f t="shared" si="843"/>
        <v>#N/A</v>
      </c>
      <c r="AD21" s="7" t="e">
        <f t="shared" si="843"/>
        <v>#N/A</v>
      </c>
      <c r="AE21" s="7" t="e">
        <f t="shared" si="843"/>
        <v>#N/A</v>
      </c>
      <c r="AF21" s="7" t="e">
        <f t="shared" si="843"/>
        <v>#N/A</v>
      </c>
      <c r="AG21" s="7" t="e">
        <f t="shared" si="843"/>
        <v>#N/A</v>
      </c>
      <c r="AH21" s="7" t="e">
        <f t="shared" si="843"/>
        <v>#N/A</v>
      </c>
      <c r="AI21" s="7" t="e">
        <f t="shared" si="843"/>
        <v>#N/A</v>
      </c>
      <c r="AJ21" s="7" t="e">
        <f t="shared" si="843"/>
        <v>#N/A</v>
      </c>
      <c r="AK21" s="7" t="e">
        <f t="shared" si="843"/>
        <v>#N/A</v>
      </c>
      <c r="AL21" s="7" t="e">
        <f t="shared" si="843"/>
        <v>#N/A</v>
      </c>
      <c r="AM21" s="7" t="e">
        <f t="shared" si="843"/>
        <v>#N/A</v>
      </c>
      <c r="AN21" s="7" t="e">
        <f t="shared" si="843"/>
        <v>#N/A</v>
      </c>
      <c r="AO21" s="7" t="e">
        <f t="shared" si="843"/>
        <v>#N/A</v>
      </c>
      <c r="AP21" s="7" t="e">
        <f t="shared" si="844"/>
        <v>#N/A</v>
      </c>
      <c r="AQ21" s="7" t="e">
        <f t="shared" si="844"/>
        <v>#N/A</v>
      </c>
      <c r="AR21" s="7" t="e">
        <f t="shared" si="844"/>
        <v>#N/A</v>
      </c>
      <c r="AS21" s="7" t="e">
        <f t="shared" si="844"/>
        <v>#N/A</v>
      </c>
      <c r="AT21" s="7" t="e">
        <f t="shared" si="844"/>
        <v>#N/A</v>
      </c>
      <c r="AU21" s="7" t="e">
        <f t="shared" si="844"/>
        <v>#N/A</v>
      </c>
      <c r="AV21" s="7" t="e">
        <f t="shared" si="844"/>
        <v>#N/A</v>
      </c>
      <c r="AW21" s="7" t="e">
        <f t="shared" si="844"/>
        <v>#N/A</v>
      </c>
      <c r="AX21" s="7" t="e">
        <f t="shared" si="844"/>
        <v>#N/A</v>
      </c>
      <c r="AY21" s="7" t="e">
        <f t="shared" si="844"/>
        <v>#N/A</v>
      </c>
      <c r="AZ21" s="7" t="e">
        <f t="shared" si="844"/>
        <v>#N/A</v>
      </c>
      <c r="BA21" s="7" t="e">
        <f t="shared" si="844"/>
        <v>#N/A</v>
      </c>
      <c r="BB21" s="7" t="e">
        <f t="shared" si="844"/>
        <v>#N/A</v>
      </c>
      <c r="BC21" s="7" t="e">
        <f t="shared" si="844"/>
        <v>#N/A</v>
      </c>
      <c r="BD21" s="7" t="e">
        <f t="shared" si="844"/>
        <v>#N/A</v>
      </c>
      <c r="BE21" s="7" t="e">
        <f t="shared" si="844"/>
        <v>#N/A</v>
      </c>
      <c r="BF21" s="7" t="e">
        <f t="shared" si="442"/>
        <v>#N/A</v>
      </c>
      <c r="BG21" s="7" t="e">
        <f t="shared" si="442"/>
        <v>#N/A</v>
      </c>
      <c r="BH21" s="7" t="e">
        <f t="shared" si="442"/>
        <v>#N/A</v>
      </c>
      <c r="BI21" s="7" t="e">
        <f t="shared" si="237"/>
        <v>#N/A</v>
      </c>
      <c r="BJ21" s="7" t="e">
        <f t="shared" si="237"/>
        <v>#N/A</v>
      </c>
      <c r="BK21" s="7" t="e">
        <f t="shared" si="237"/>
        <v>#N/A</v>
      </c>
      <c r="BL21" s="7" t="e">
        <f t="shared" si="237"/>
        <v>#N/A</v>
      </c>
      <c r="BM21" s="7" t="e">
        <f t="shared" si="237"/>
        <v>#N/A</v>
      </c>
      <c r="BN21" s="7" t="e">
        <f t="shared" si="237"/>
        <v>#N/A</v>
      </c>
      <c r="BO21" s="7" t="e">
        <f t="shared" si="237"/>
        <v>#N/A</v>
      </c>
      <c r="BP21" s="7" t="e">
        <f t="shared" si="237"/>
        <v>#N/A</v>
      </c>
      <c r="BQ21" s="7" t="e">
        <f t="shared" si="237"/>
        <v>#N/A</v>
      </c>
      <c r="BR21" s="7" t="e">
        <f t="shared" si="237"/>
        <v>#N/A</v>
      </c>
      <c r="BS21" s="7" t="e">
        <f t="shared" si="237"/>
        <v>#N/A</v>
      </c>
      <c r="BT21" s="7" t="e">
        <f t="shared" si="237"/>
        <v>#N/A</v>
      </c>
      <c r="BU21" s="7" t="e">
        <f t="shared" si="237"/>
        <v>#N/A</v>
      </c>
      <c r="BV21" s="7" t="e">
        <f t="shared" si="237"/>
        <v>#N/A</v>
      </c>
      <c r="BW21" s="7" t="e">
        <f t="shared" si="237"/>
        <v>#N/A</v>
      </c>
      <c r="BX21" s="7" t="e">
        <f t="shared" si="237"/>
        <v>#N/A</v>
      </c>
      <c r="BY21" s="7" t="e">
        <f t="shared" si="237"/>
        <v>#N/A</v>
      </c>
      <c r="BZ21" s="7" t="e">
        <f t="shared" si="237"/>
        <v>#N/A</v>
      </c>
      <c r="CA21" s="7" t="e">
        <f t="shared" si="237"/>
        <v>#N/A</v>
      </c>
      <c r="CB21" s="7" t="e">
        <f t="shared" si="237"/>
        <v>#N/A</v>
      </c>
      <c r="CC21" s="7" t="e">
        <f t="shared" si="237"/>
        <v>#N/A</v>
      </c>
      <c r="CD21" s="7" t="e">
        <f t="shared" si="237"/>
        <v>#N/A</v>
      </c>
      <c r="CE21" s="7" t="e">
        <f t="shared" si="237"/>
        <v>#N/A</v>
      </c>
      <c r="CF21" s="7" t="e">
        <f t="shared" si="237"/>
        <v>#N/A</v>
      </c>
      <c r="CG21" s="7" t="e">
        <f t="shared" si="237"/>
        <v>#N/A</v>
      </c>
      <c r="CH21" s="6" t="e">
        <f t="shared" si="647"/>
        <v>#N/A</v>
      </c>
      <c r="CI21" s="5" t="e">
        <f t="shared" si="648"/>
        <v>#N/A</v>
      </c>
      <c r="CK21" s="5" t="e">
        <f t="shared" si="649"/>
        <v>#N/A</v>
      </c>
      <c r="CL21" s="5" t="e">
        <f t="shared" si="650"/>
        <v>#N/A</v>
      </c>
      <c r="CM21" s="5" t="e">
        <f t="shared" si="651"/>
        <v>#N/A</v>
      </c>
      <c r="CN21" s="5" t="e">
        <f t="shared" si="652"/>
        <v>#N/A</v>
      </c>
      <c r="CO21" s="5" t="e">
        <f t="shared" si="653"/>
        <v>#N/A</v>
      </c>
      <c r="CP21" s="5" t="e">
        <f t="shared" si="654"/>
        <v>#N/A</v>
      </c>
      <c r="CQ21" s="5" t="e">
        <f t="shared" si="655"/>
        <v>#N/A</v>
      </c>
      <c r="CR21" s="5" t="e">
        <f t="shared" si="656"/>
        <v>#N/A</v>
      </c>
      <c r="CS21" s="5" t="e">
        <f t="shared" si="657"/>
        <v>#N/A</v>
      </c>
      <c r="CT21" s="5" t="e">
        <f t="shared" si="658"/>
        <v>#N/A</v>
      </c>
      <c r="CU21" s="5" t="e">
        <f t="shared" si="659"/>
        <v>#N/A</v>
      </c>
      <c r="CV21" s="5" t="e">
        <f t="shared" si="660"/>
        <v>#N/A</v>
      </c>
      <c r="CW21" s="5" t="e">
        <f t="shared" si="661"/>
        <v>#N/A</v>
      </c>
      <c r="CX21" s="5" t="e">
        <f t="shared" si="662"/>
        <v>#N/A</v>
      </c>
      <c r="CY21" s="5" t="e">
        <f t="shared" si="663"/>
        <v>#N/A</v>
      </c>
      <c r="CZ21" s="5" t="e">
        <f t="shared" si="664"/>
        <v>#N/A</v>
      </c>
      <c r="DA21" s="5" t="e">
        <f t="shared" si="665"/>
        <v>#N/A</v>
      </c>
      <c r="DB21" s="5" t="e">
        <f t="shared" si="666"/>
        <v>#N/A</v>
      </c>
      <c r="DC21" s="5" t="e">
        <f t="shared" si="667"/>
        <v>#N/A</v>
      </c>
      <c r="DD21" s="5" t="e">
        <f t="shared" si="668"/>
        <v>#N/A</v>
      </c>
      <c r="DE21" s="5" t="e">
        <f t="shared" si="669"/>
        <v>#N/A</v>
      </c>
      <c r="DF21" s="5" t="e">
        <f t="shared" si="670"/>
        <v>#N/A</v>
      </c>
      <c r="DG21" s="5" t="e">
        <f t="shared" si="671"/>
        <v>#N/A</v>
      </c>
      <c r="DH21" s="5" t="e">
        <f t="shared" si="672"/>
        <v>#N/A</v>
      </c>
      <c r="DI21" s="5" t="e">
        <f t="shared" si="673"/>
        <v>#N/A</v>
      </c>
      <c r="DJ21" s="5" t="e">
        <f t="shared" si="674"/>
        <v>#N/A</v>
      </c>
      <c r="DK21" s="5" t="e">
        <f t="shared" si="675"/>
        <v>#N/A</v>
      </c>
      <c r="DL21" s="5" t="e">
        <f t="shared" si="676"/>
        <v>#N/A</v>
      </c>
      <c r="DM21" s="5" t="e">
        <f t="shared" si="677"/>
        <v>#N/A</v>
      </c>
      <c r="DN21" s="5" t="e">
        <f t="shared" si="678"/>
        <v>#N/A</v>
      </c>
      <c r="DO21" s="5" t="e">
        <f t="shared" si="679"/>
        <v>#N/A</v>
      </c>
      <c r="DP21" s="5" t="e">
        <f t="shared" si="680"/>
        <v>#N/A</v>
      </c>
      <c r="DQ21" s="5" t="e">
        <f t="shared" si="681"/>
        <v>#N/A</v>
      </c>
      <c r="DR21" s="5" t="e">
        <f t="shared" si="682"/>
        <v>#N/A</v>
      </c>
      <c r="DS21" s="5" t="e">
        <f t="shared" si="683"/>
        <v>#N/A</v>
      </c>
      <c r="DT21" s="5" t="e">
        <f t="shared" si="684"/>
        <v>#N/A</v>
      </c>
      <c r="DU21" s="5" t="e">
        <f t="shared" si="685"/>
        <v>#N/A</v>
      </c>
      <c r="DV21" s="5" t="e">
        <f t="shared" si="686"/>
        <v>#N/A</v>
      </c>
      <c r="DW21" s="5" t="e">
        <f t="shared" si="687"/>
        <v>#N/A</v>
      </c>
      <c r="DX21" s="5" t="e">
        <f t="shared" si="688"/>
        <v>#N/A</v>
      </c>
      <c r="DY21" s="5" t="e">
        <f t="shared" si="689"/>
        <v>#N/A</v>
      </c>
      <c r="DZ21" s="5" t="e">
        <f t="shared" si="690"/>
        <v>#N/A</v>
      </c>
      <c r="EA21" s="5" t="e">
        <f t="shared" si="691"/>
        <v>#N/A</v>
      </c>
      <c r="EB21" s="5" t="e">
        <f t="shared" si="692"/>
        <v>#N/A</v>
      </c>
      <c r="EC21" s="5" t="e">
        <f t="shared" si="693"/>
        <v>#N/A</v>
      </c>
      <c r="ED21" s="5" t="e">
        <f t="shared" si="694"/>
        <v>#N/A</v>
      </c>
      <c r="EE21" s="5" t="e">
        <f t="shared" si="695"/>
        <v>#N/A</v>
      </c>
      <c r="EF21" s="5" t="e">
        <f t="shared" si="696"/>
        <v>#N/A</v>
      </c>
      <c r="EG21" s="5" t="e">
        <f t="shared" si="697"/>
        <v>#N/A</v>
      </c>
      <c r="EH21" s="5" t="e">
        <f t="shared" si="698"/>
        <v>#N/A</v>
      </c>
      <c r="EI21" s="5" t="e">
        <f t="shared" si="699"/>
        <v>#N/A</v>
      </c>
      <c r="EJ21" s="5" t="e">
        <f t="shared" si="700"/>
        <v>#N/A</v>
      </c>
      <c r="EK21" s="5" t="e">
        <f t="shared" si="701"/>
        <v>#N/A</v>
      </c>
      <c r="EL21" s="5" t="e">
        <f t="shared" si="702"/>
        <v>#N/A</v>
      </c>
      <c r="EM21" s="5" t="e">
        <f t="shared" si="703"/>
        <v>#N/A</v>
      </c>
      <c r="EN21" s="5" t="e">
        <f t="shared" si="704"/>
        <v>#N/A</v>
      </c>
      <c r="EO21" s="5" t="e">
        <f t="shared" si="705"/>
        <v>#N/A</v>
      </c>
      <c r="EP21" s="5" t="e">
        <f t="shared" si="706"/>
        <v>#N/A</v>
      </c>
      <c r="EQ21" s="5" t="e">
        <f t="shared" si="707"/>
        <v>#N/A</v>
      </c>
      <c r="ER21" s="5" t="e">
        <f t="shared" si="708"/>
        <v>#N/A</v>
      </c>
      <c r="ET21" s="5" t="e">
        <f t="shared" si="709"/>
        <v>#N/A</v>
      </c>
      <c r="EU21" s="5" t="e">
        <f t="shared" si="710"/>
        <v>#N/A</v>
      </c>
      <c r="EV21" s="5" t="e">
        <f t="shared" si="711"/>
        <v>#N/A</v>
      </c>
      <c r="EW21" s="5" t="e">
        <f t="shared" si="712"/>
        <v>#N/A</v>
      </c>
      <c r="EX21" s="5" t="e">
        <f t="shared" si="713"/>
        <v>#N/A</v>
      </c>
      <c r="EY21" s="5" t="e">
        <f t="shared" si="714"/>
        <v>#N/A</v>
      </c>
      <c r="EZ21" s="5" t="e">
        <f t="shared" si="715"/>
        <v>#N/A</v>
      </c>
      <c r="FA21" s="5" t="e">
        <f t="shared" si="716"/>
        <v>#N/A</v>
      </c>
      <c r="FB21" s="5" t="e">
        <f t="shared" si="717"/>
        <v>#N/A</v>
      </c>
      <c r="FC21" s="5" t="e">
        <f t="shared" si="718"/>
        <v>#N/A</v>
      </c>
      <c r="FD21" s="5" t="e">
        <f t="shared" si="719"/>
        <v>#N/A</v>
      </c>
      <c r="FE21" s="5" t="e">
        <f t="shared" si="720"/>
        <v>#N/A</v>
      </c>
      <c r="FF21" s="5" t="e">
        <f t="shared" si="721"/>
        <v>#N/A</v>
      </c>
      <c r="FG21" s="5" t="e">
        <f t="shared" si="722"/>
        <v>#N/A</v>
      </c>
      <c r="FH21" s="5" t="e">
        <f t="shared" si="723"/>
        <v>#N/A</v>
      </c>
      <c r="FI21" s="5" t="e">
        <f t="shared" si="724"/>
        <v>#N/A</v>
      </c>
      <c r="FJ21" s="5" t="e">
        <f t="shared" si="725"/>
        <v>#N/A</v>
      </c>
      <c r="FK21" s="5" t="e">
        <f t="shared" si="726"/>
        <v>#N/A</v>
      </c>
      <c r="FL21" s="5" t="e">
        <f t="shared" si="727"/>
        <v>#N/A</v>
      </c>
      <c r="FM21" s="5" t="e">
        <f t="shared" si="728"/>
        <v>#N/A</v>
      </c>
      <c r="FN21" s="5" t="e">
        <f t="shared" si="729"/>
        <v>#N/A</v>
      </c>
      <c r="FO21" s="5" t="e">
        <f t="shared" si="730"/>
        <v>#N/A</v>
      </c>
      <c r="FP21" s="5" t="e">
        <f t="shared" si="731"/>
        <v>#N/A</v>
      </c>
      <c r="FQ21" s="5" t="e">
        <f t="shared" si="732"/>
        <v>#N/A</v>
      </c>
      <c r="FR21" s="5" t="e">
        <f t="shared" si="733"/>
        <v>#N/A</v>
      </c>
      <c r="FS21" s="5" t="e">
        <f t="shared" si="734"/>
        <v>#N/A</v>
      </c>
      <c r="FT21" s="5" t="e">
        <f t="shared" si="735"/>
        <v>#N/A</v>
      </c>
      <c r="FU21" s="5" t="e">
        <f t="shared" si="736"/>
        <v>#N/A</v>
      </c>
      <c r="FV21" s="5" t="e">
        <f t="shared" si="737"/>
        <v>#N/A</v>
      </c>
      <c r="FW21" s="5" t="e">
        <f t="shared" si="738"/>
        <v>#N/A</v>
      </c>
      <c r="FX21" s="5" t="e">
        <f t="shared" si="739"/>
        <v>#N/A</v>
      </c>
      <c r="FY21" s="5" t="e">
        <f t="shared" si="740"/>
        <v>#N/A</v>
      </c>
      <c r="FZ21" s="5" t="e">
        <f t="shared" si="741"/>
        <v>#N/A</v>
      </c>
      <c r="GA21" s="5" t="e">
        <f t="shared" si="742"/>
        <v>#N/A</v>
      </c>
      <c r="GB21" s="5" t="e">
        <f t="shared" si="743"/>
        <v>#N/A</v>
      </c>
      <c r="GC21" s="5" t="e">
        <f t="shared" si="744"/>
        <v>#N/A</v>
      </c>
      <c r="GD21" s="5" t="e">
        <f t="shared" si="745"/>
        <v>#N/A</v>
      </c>
      <c r="GE21" s="5" t="e">
        <f t="shared" si="746"/>
        <v>#N/A</v>
      </c>
      <c r="GF21" s="5" t="e">
        <f t="shared" si="747"/>
        <v>#N/A</v>
      </c>
      <c r="GG21" s="5" t="e">
        <f t="shared" si="748"/>
        <v>#N/A</v>
      </c>
      <c r="GH21" s="5" t="e">
        <f t="shared" si="749"/>
        <v>#N/A</v>
      </c>
      <c r="GI21" s="5" t="e">
        <f t="shared" si="750"/>
        <v>#N/A</v>
      </c>
      <c r="GJ21" s="5" t="e">
        <f t="shared" si="751"/>
        <v>#N/A</v>
      </c>
      <c r="GK21" s="5" t="e">
        <f t="shared" si="752"/>
        <v>#N/A</v>
      </c>
      <c r="GL21" s="5" t="e">
        <f t="shared" si="753"/>
        <v>#N/A</v>
      </c>
      <c r="GM21" s="5" t="e">
        <f t="shared" si="754"/>
        <v>#N/A</v>
      </c>
      <c r="GN21" s="5" t="e">
        <f t="shared" si="755"/>
        <v>#N/A</v>
      </c>
      <c r="GO21" s="5" t="e">
        <f t="shared" si="756"/>
        <v>#N/A</v>
      </c>
      <c r="GP21" s="5" t="e">
        <f t="shared" si="757"/>
        <v>#N/A</v>
      </c>
      <c r="GQ21" s="5" t="e">
        <f t="shared" si="758"/>
        <v>#N/A</v>
      </c>
      <c r="GR21" s="5" t="e">
        <f t="shared" si="759"/>
        <v>#N/A</v>
      </c>
      <c r="GS21" s="5" t="e">
        <f t="shared" si="760"/>
        <v>#N/A</v>
      </c>
      <c r="GT21" s="5" t="e">
        <f t="shared" si="761"/>
        <v>#N/A</v>
      </c>
      <c r="GU21" s="5" t="e">
        <f t="shared" si="762"/>
        <v>#N/A</v>
      </c>
      <c r="GV21" s="5" t="e">
        <f t="shared" si="763"/>
        <v>#N/A</v>
      </c>
      <c r="GW21" s="5" t="e">
        <f t="shared" si="764"/>
        <v>#N/A</v>
      </c>
      <c r="GX21" s="5" t="e">
        <f t="shared" si="765"/>
        <v>#N/A</v>
      </c>
      <c r="GY21" s="5" t="e">
        <f t="shared" si="766"/>
        <v>#N/A</v>
      </c>
      <c r="GZ21" s="5" t="e">
        <f t="shared" si="767"/>
        <v>#N/A</v>
      </c>
      <c r="HA21" s="5" t="e">
        <f t="shared" si="768"/>
        <v>#N/A</v>
      </c>
      <c r="HC21" s="6" t="e">
        <f t="shared" si="769"/>
        <v>#N/A</v>
      </c>
      <c r="HD21" s="5" t="e">
        <f t="shared" si="770"/>
        <v>#N/A</v>
      </c>
      <c r="HE21" s="5" t="e">
        <f t="shared" si="771"/>
        <v>#N/A</v>
      </c>
      <c r="HF21" s="5" t="e">
        <f t="shared" si="772"/>
        <v>#N/A</v>
      </c>
      <c r="HG21" s="5" t="e">
        <f t="shared" si="773"/>
        <v>#N/A</v>
      </c>
      <c r="HH21" s="5" t="e">
        <f t="shared" si="774"/>
        <v>#N/A</v>
      </c>
      <c r="HI21" s="5" t="e">
        <f t="shared" si="775"/>
        <v>#N/A</v>
      </c>
      <c r="HJ21" s="5" t="e">
        <f t="shared" si="776"/>
        <v>#N/A</v>
      </c>
      <c r="HK21" s="5" t="e">
        <f t="shared" si="777"/>
        <v>#N/A</v>
      </c>
      <c r="HL21" s="5" t="e">
        <f t="shared" si="778"/>
        <v>#N/A</v>
      </c>
      <c r="HM21" s="5" t="e">
        <f t="shared" si="779"/>
        <v>#N/A</v>
      </c>
      <c r="HN21" s="5" t="e">
        <f t="shared" si="780"/>
        <v>#N/A</v>
      </c>
      <c r="HO21" s="5" t="e">
        <f t="shared" si="781"/>
        <v>#N/A</v>
      </c>
      <c r="HP21" s="5" t="e">
        <f t="shared" si="782"/>
        <v>#N/A</v>
      </c>
      <c r="HQ21" s="5" t="e">
        <f t="shared" si="783"/>
        <v>#N/A</v>
      </c>
      <c r="HR21" s="5" t="e">
        <f t="shared" si="784"/>
        <v>#N/A</v>
      </c>
      <c r="HS21" s="5" t="e">
        <f t="shared" si="785"/>
        <v>#N/A</v>
      </c>
      <c r="HT21" s="5" t="e">
        <f t="shared" si="786"/>
        <v>#N/A</v>
      </c>
      <c r="HU21" s="5" t="e">
        <f t="shared" si="787"/>
        <v>#N/A</v>
      </c>
      <c r="HV21" s="5" t="e">
        <f t="shared" si="788"/>
        <v>#N/A</v>
      </c>
      <c r="HW21" s="5" t="e">
        <f t="shared" si="789"/>
        <v>#N/A</v>
      </c>
      <c r="HX21" s="5" t="e">
        <f t="shared" si="790"/>
        <v>#N/A</v>
      </c>
      <c r="HY21" s="5" t="e">
        <f t="shared" si="791"/>
        <v>#N/A</v>
      </c>
      <c r="HZ21" s="5" t="e">
        <f t="shared" si="792"/>
        <v>#N/A</v>
      </c>
      <c r="IA21" s="5" t="e">
        <f t="shared" si="793"/>
        <v>#N/A</v>
      </c>
      <c r="IB21" s="5" t="e">
        <f t="shared" si="794"/>
        <v>#N/A</v>
      </c>
      <c r="IC21" s="5" t="e">
        <f t="shared" si="795"/>
        <v>#N/A</v>
      </c>
      <c r="ID21" s="5" t="e">
        <f t="shared" si="796"/>
        <v>#N/A</v>
      </c>
      <c r="IE21" s="5" t="e">
        <f t="shared" si="797"/>
        <v>#N/A</v>
      </c>
      <c r="IF21" s="5" t="e">
        <f t="shared" si="798"/>
        <v>#N/A</v>
      </c>
      <c r="IG21" s="5" t="e">
        <f t="shared" si="799"/>
        <v>#N/A</v>
      </c>
      <c r="IH21" s="5" t="e">
        <f t="shared" si="800"/>
        <v>#N/A</v>
      </c>
      <c r="II21" s="5" t="e">
        <f t="shared" si="801"/>
        <v>#N/A</v>
      </c>
      <c r="IJ21" s="5" t="e">
        <f t="shared" si="802"/>
        <v>#N/A</v>
      </c>
      <c r="IK21" s="5" t="e">
        <f t="shared" si="803"/>
        <v>#N/A</v>
      </c>
      <c r="IL21" s="5" t="e">
        <f t="shared" si="804"/>
        <v>#N/A</v>
      </c>
      <c r="IM21" s="5" t="e">
        <f t="shared" si="805"/>
        <v>#N/A</v>
      </c>
      <c r="IN21" s="5" t="e">
        <f t="shared" si="806"/>
        <v>#N/A</v>
      </c>
      <c r="IO21" s="5" t="e">
        <f t="shared" si="807"/>
        <v>#N/A</v>
      </c>
      <c r="IP21" s="5" t="e">
        <f t="shared" si="808"/>
        <v>#N/A</v>
      </c>
      <c r="IQ21" s="5" t="e">
        <f t="shared" si="809"/>
        <v>#N/A</v>
      </c>
      <c r="IR21" s="5" t="e">
        <f t="shared" si="810"/>
        <v>#N/A</v>
      </c>
      <c r="IS21" s="5" t="e">
        <f t="shared" si="811"/>
        <v>#N/A</v>
      </c>
      <c r="IT21" s="5" t="e">
        <f t="shared" si="812"/>
        <v>#N/A</v>
      </c>
      <c r="IU21" s="5" t="e">
        <f t="shared" si="813"/>
        <v>#N/A</v>
      </c>
      <c r="IV21" s="5" t="e">
        <f t="shared" si="814"/>
        <v>#N/A</v>
      </c>
      <c r="IW21" s="5" t="e">
        <f t="shared" si="815"/>
        <v>#N/A</v>
      </c>
      <c r="IX21" s="5" t="e">
        <f t="shared" si="816"/>
        <v>#N/A</v>
      </c>
      <c r="IY21" s="5" t="e">
        <f t="shared" si="817"/>
        <v>#N/A</v>
      </c>
      <c r="IZ21" s="5" t="e">
        <f t="shared" si="818"/>
        <v>#N/A</v>
      </c>
      <c r="JA21" s="5" t="e">
        <f t="shared" si="819"/>
        <v>#N/A</v>
      </c>
      <c r="JB21" s="5" t="e">
        <f t="shared" si="820"/>
        <v>#N/A</v>
      </c>
      <c r="JC21" s="5" t="e">
        <f t="shared" si="821"/>
        <v>#N/A</v>
      </c>
      <c r="JD21" s="5" t="e">
        <f t="shared" si="822"/>
        <v>#N/A</v>
      </c>
      <c r="JE21" s="5" t="e">
        <f t="shared" si="823"/>
        <v>#N/A</v>
      </c>
      <c r="JF21" s="5" t="e">
        <f t="shared" si="824"/>
        <v>#N/A</v>
      </c>
      <c r="JG21" s="5" t="e">
        <f t="shared" si="825"/>
        <v>#N/A</v>
      </c>
      <c r="JH21" s="5" t="e">
        <f t="shared" si="826"/>
        <v>#N/A</v>
      </c>
      <c r="JI21" s="5" t="e">
        <f t="shared" si="827"/>
        <v>#N/A</v>
      </c>
      <c r="JJ21" s="5" t="e">
        <f t="shared" si="828"/>
        <v>#N/A</v>
      </c>
      <c r="JK21" s="5" t="e">
        <f t="shared" si="829"/>
        <v>#N/A</v>
      </c>
      <c r="JM21" s="19" t="e">
        <f t="shared" si="830"/>
        <v>#N/A</v>
      </c>
      <c r="JN21" s="1">
        <v>19</v>
      </c>
      <c r="JO21" s="5" t="e">
        <f>HLOOKUP(JM21,HC$2:JK21,2+JN20,0)-IF(KE21&gt;0,KE21,0)</f>
        <v>#N/A</v>
      </c>
      <c r="JP21" s="5" t="e">
        <f t="shared" si="831"/>
        <v>#N/A</v>
      </c>
      <c r="JQ21" s="17"/>
      <c r="JR21" s="17"/>
      <c r="JS21" s="6">
        <f t="shared" si="832"/>
        <v>0</v>
      </c>
      <c r="JT21" s="5" t="e">
        <f t="shared" si="833"/>
        <v>#N/A</v>
      </c>
      <c r="JU21" s="13">
        <f t="shared" ca="1" si="22"/>
        <v>46161</v>
      </c>
      <c r="JV21" s="6" t="e">
        <f t="shared" si="834"/>
        <v>#N/A</v>
      </c>
      <c r="JW21" s="6"/>
      <c r="JX21" s="6"/>
      <c r="JY21" s="6">
        <f t="shared" si="835"/>
        <v>0</v>
      </c>
      <c r="JZ21" s="10" t="e">
        <f t="shared" si="836"/>
        <v>#N/A</v>
      </c>
      <c r="KA21" s="10" t="e">
        <f t="shared" si="837"/>
        <v>#N/A</v>
      </c>
      <c r="KB21" s="10" t="e">
        <f t="shared" si="838"/>
        <v>#N/A</v>
      </c>
      <c r="KC21" s="10" t="e">
        <f t="shared" si="839"/>
        <v>#N/A</v>
      </c>
      <c r="KD21" s="5" t="e">
        <f t="shared" si="840"/>
        <v>#N/A</v>
      </c>
      <c r="KE21" s="6" t="e">
        <f t="shared" si="841"/>
        <v>#N/A</v>
      </c>
    </row>
    <row r="22" spans="3:291" ht="14.4" customHeight="1" x14ac:dyDescent="0.3">
      <c r="C22" s="1" t="e">
        <f>VLOOKUP(B22,DD!A:B,2,0)</f>
        <v>#N/A</v>
      </c>
      <c r="D22" s="1" t="e">
        <f>VLOOKUP(B22,DD!A:K,11,0)</f>
        <v>#N/A</v>
      </c>
      <c r="E22" s="1" t="e">
        <f>VLOOKUP(B22,DD!A:L,12,0)</f>
        <v>#N/A</v>
      </c>
      <c r="F22" s="17" t="e">
        <f>VLOOKUP(B22,DD!A:D,4,0)</f>
        <v>#N/A</v>
      </c>
      <c r="G22" s="9">
        <v>1</v>
      </c>
      <c r="H22" s="3" t="e">
        <f>VLOOKUP(B22,DD!A:E,5,0)</f>
        <v>#N/A</v>
      </c>
      <c r="I22" s="3" t="e">
        <f t="shared" si="638"/>
        <v>#N/A</v>
      </c>
      <c r="J22" s="3" t="e">
        <f>VLOOKUP(B22,DD!A:F,6,0)</f>
        <v>#N/A</v>
      </c>
      <c r="K22" s="3" t="e">
        <f>VLOOKUP(B22,DD!A:H,8,0)</f>
        <v>#N/A</v>
      </c>
      <c r="L22" s="3" t="e">
        <f>VLOOKUP(B22,DD!A:I,9,0)</f>
        <v>#N/A</v>
      </c>
      <c r="M22" s="3" t="e">
        <f>VLOOKUP(B22,DD!A:J,10,0)</f>
        <v>#N/A</v>
      </c>
      <c r="N22" s="3" t="s">
        <v>8</v>
      </c>
      <c r="O22" s="3" t="s">
        <v>9</v>
      </c>
      <c r="P22" s="4" t="e">
        <f>VLOOKUP(B22,DD!A:C,3,0)</f>
        <v>#N/A</v>
      </c>
      <c r="Q22" s="5" t="e">
        <f t="shared" si="639"/>
        <v>#N/A</v>
      </c>
      <c r="R22" s="5" t="e">
        <f t="shared" si="640"/>
        <v>#N/A</v>
      </c>
      <c r="S22" s="5" t="e">
        <f t="shared" si="641"/>
        <v>#N/A</v>
      </c>
      <c r="T22" s="6" t="e">
        <f t="shared" si="642"/>
        <v>#N/A</v>
      </c>
      <c r="U22" s="5" t="e">
        <f t="shared" si="643"/>
        <v>#N/A</v>
      </c>
      <c r="V22" s="6" t="e">
        <f t="shared" si="644"/>
        <v>#N/A</v>
      </c>
      <c r="W22" s="7" t="e">
        <f t="shared" si="645"/>
        <v>#N/A</v>
      </c>
      <c r="X22" s="8" t="e">
        <f t="shared" si="8"/>
        <v>#VALUE!</v>
      </c>
      <c r="Y22" s="6" t="e">
        <f t="shared" si="646"/>
        <v>#N/A</v>
      </c>
      <c r="Z22" s="7" t="e">
        <f t="shared" si="843"/>
        <v>#N/A</v>
      </c>
      <c r="AA22" s="7" t="e">
        <f t="shared" si="843"/>
        <v>#N/A</v>
      </c>
      <c r="AB22" s="7" t="e">
        <f t="shared" si="843"/>
        <v>#N/A</v>
      </c>
      <c r="AC22" s="7" t="e">
        <f t="shared" si="843"/>
        <v>#N/A</v>
      </c>
      <c r="AD22" s="7" t="e">
        <f t="shared" si="843"/>
        <v>#N/A</v>
      </c>
      <c r="AE22" s="7" t="e">
        <f t="shared" si="843"/>
        <v>#N/A</v>
      </c>
      <c r="AF22" s="7" t="e">
        <f t="shared" si="843"/>
        <v>#N/A</v>
      </c>
      <c r="AG22" s="7" t="e">
        <f t="shared" si="843"/>
        <v>#N/A</v>
      </c>
      <c r="AH22" s="7" t="e">
        <f t="shared" si="843"/>
        <v>#N/A</v>
      </c>
      <c r="AI22" s="7" t="e">
        <f t="shared" si="843"/>
        <v>#N/A</v>
      </c>
      <c r="AJ22" s="7" t="e">
        <f t="shared" si="843"/>
        <v>#N/A</v>
      </c>
      <c r="AK22" s="7" t="e">
        <f t="shared" si="843"/>
        <v>#N/A</v>
      </c>
      <c r="AL22" s="7" t="e">
        <f t="shared" si="843"/>
        <v>#N/A</v>
      </c>
      <c r="AM22" s="7" t="e">
        <f t="shared" si="843"/>
        <v>#N/A</v>
      </c>
      <c r="AN22" s="7" t="e">
        <f t="shared" si="843"/>
        <v>#N/A</v>
      </c>
      <c r="AO22" s="7" t="e">
        <f t="shared" si="843"/>
        <v>#N/A</v>
      </c>
      <c r="AP22" s="7" t="e">
        <f t="shared" si="844"/>
        <v>#N/A</v>
      </c>
      <c r="AQ22" s="7" t="e">
        <f t="shared" si="844"/>
        <v>#N/A</v>
      </c>
      <c r="AR22" s="7" t="e">
        <f t="shared" si="844"/>
        <v>#N/A</v>
      </c>
      <c r="AS22" s="7" t="e">
        <f t="shared" si="844"/>
        <v>#N/A</v>
      </c>
      <c r="AT22" s="7" t="e">
        <f t="shared" si="844"/>
        <v>#N/A</v>
      </c>
      <c r="AU22" s="7" t="e">
        <f t="shared" si="844"/>
        <v>#N/A</v>
      </c>
      <c r="AV22" s="7" t="e">
        <f t="shared" si="844"/>
        <v>#N/A</v>
      </c>
      <c r="AW22" s="7" t="e">
        <f t="shared" si="844"/>
        <v>#N/A</v>
      </c>
      <c r="AX22" s="7" t="e">
        <f t="shared" si="844"/>
        <v>#N/A</v>
      </c>
      <c r="AY22" s="7" t="e">
        <f t="shared" si="844"/>
        <v>#N/A</v>
      </c>
      <c r="AZ22" s="7" t="e">
        <f t="shared" si="844"/>
        <v>#N/A</v>
      </c>
      <c r="BA22" s="7" t="e">
        <f t="shared" si="844"/>
        <v>#N/A</v>
      </c>
      <c r="BB22" s="7" t="e">
        <f t="shared" si="844"/>
        <v>#N/A</v>
      </c>
      <c r="BC22" s="7" t="e">
        <f t="shared" si="844"/>
        <v>#N/A</v>
      </c>
      <c r="BD22" s="7" t="e">
        <f t="shared" si="844"/>
        <v>#N/A</v>
      </c>
      <c r="BE22" s="7" t="e">
        <f t="shared" si="844"/>
        <v>#N/A</v>
      </c>
      <c r="BF22" s="7" t="e">
        <f t="shared" si="442"/>
        <v>#N/A</v>
      </c>
      <c r="BG22" s="7" t="e">
        <f t="shared" si="442"/>
        <v>#N/A</v>
      </c>
      <c r="BH22" s="7" t="e">
        <f t="shared" si="442"/>
        <v>#N/A</v>
      </c>
      <c r="BI22" s="7" t="e">
        <f t="shared" si="237"/>
        <v>#N/A</v>
      </c>
      <c r="BJ22" s="7" t="e">
        <f t="shared" si="237"/>
        <v>#N/A</v>
      </c>
      <c r="BK22" s="7" t="e">
        <f t="shared" si="237"/>
        <v>#N/A</v>
      </c>
      <c r="BL22" s="7" t="e">
        <f t="shared" si="237"/>
        <v>#N/A</v>
      </c>
      <c r="BM22" s="7" t="e">
        <f t="shared" si="237"/>
        <v>#N/A</v>
      </c>
      <c r="BN22" s="7" t="e">
        <f t="shared" ref="BN22:CG22" si="845">IF($I22&gt;=BN$2,$U22,0)-IF($I22=BN$2,$S22)-IF($S22&gt;1,$S22,0)+$S22</f>
        <v>#N/A</v>
      </c>
      <c r="BO22" s="7" t="e">
        <f t="shared" si="845"/>
        <v>#N/A</v>
      </c>
      <c r="BP22" s="7" t="e">
        <f t="shared" si="845"/>
        <v>#N/A</v>
      </c>
      <c r="BQ22" s="7" t="e">
        <f t="shared" si="845"/>
        <v>#N/A</v>
      </c>
      <c r="BR22" s="7" t="e">
        <f t="shared" si="845"/>
        <v>#N/A</v>
      </c>
      <c r="BS22" s="7" t="e">
        <f t="shared" si="845"/>
        <v>#N/A</v>
      </c>
      <c r="BT22" s="7" t="e">
        <f t="shared" si="845"/>
        <v>#N/A</v>
      </c>
      <c r="BU22" s="7" t="e">
        <f t="shared" si="845"/>
        <v>#N/A</v>
      </c>
      <c r="BV22" s="7" t="e">
        <f t="shared" si="845"/>
        <v>#N/A</v>
      </c>
      <c r="BW22" s="7" t="e">
        <f t="shared" si="845"/>
        <v>#N/A</v>
      </c>
      <c r="BX22" s="7" t="e">
        <f t="shared" si="845"/>
        <v>#N/A</v>
      </c>
      <c r="BY22" s="7" t="e">
        <f t="shared" si="845"/>
        <v>#N/A</v>
      </c>
      <c r="BZ22" s="7" t="e">
        <f t="shared" si="845"/>
        <v>#N/A</v>
      </c>
      <c r="CA22" s="7" t="e">
        <f t="shared" si="845"/>
        <v>#N/A</v>
      </c>
      <c r="CB22" s="7" t="e">
        <f t="shared" si="845"/>
        <v>#N/A</v>
      </c>
      <c r="CC22" s="7" t="e">
        <f t="shared" si="845"/>
        <v>#N/A</v>
      </c>
      <c r="CD22" s="7" t="e">
        <f t="shared" si="845"/>
        <v>#N/A</v>
      </c>
      <c r="CE22" s="7" t="e">
        <f t="shared" si="845"/>
        <v>#N/A</v>
      </c>
      <c r="CF22" s="7" t="e">
        <f t="shared" si="845"/>
        <v>#N/A</v>
      </c>
      <c r="CG22" s="7" t="e">
        <f t="shared" si="845"/>
        <v>#N/A</v>
      </c>
      <c r="CH22" s="6" t="e">
        <f t="shared" si="647"/>
        <v>#N/A</v>
      </c>
      <c r="CI22" s="5" t="e">
        <f t="shared" si="648"/>
        <v>#N/A</v>
      </c>
      <c r="CK22" s="5" t="e">
        <f t="shared" si="649"/>
        <v>#N/A</v>
      </c>
      <c r="CL22" s="5" t="e">
        <f t="shared" si="650"/>
        <v>#N/A</v>
      </c>
      <c r="CM22" s="5" t="e">
        <f t="shared" si="651"/>
        <v>#N/A</v>
      </c>
      <c r="CN22" s="5" t="e">
        <f t="shared" si="652"/>
        <v>#N/A</v>
      </c>
      <c r="CO22" s="5" t="e">
        <f t="shared" si="653"/>
        <v>#N/A</v>
      </c>
      <c r="CP22" s="5" t="e">
        <f t="shared" si="654"/>
        <v>#N/A</v>
      </c>
      <c r="CQ22" s="5" t="e">
        <f t="shared" si="655"/>
        <v>#N/A</v>
      </c>
      <c r="CR22" s="5" t="e">
        <f t="shared" si="656"/>
        <v>#N/A</v>
      </c>
      <c r="CS22" s="5" t="e">
        <f t="shared" si="657"/>
        <v>#N/A</v>
      </c>
      <c r="CT22" s="5" t="e">
        <f t="shared" si="658"/>
        <v>#N/A</v>
      </c>
      <c r="CU22" s="5" t="e">
        <f t="shared" si="659"/>
        <v>#N/A</v>
      </c>
      <c r="CV22" s="5" t="e">
        <f t="shared" si="660"/>
        <v>#N/A</v>
      </c>
      <c r="CW22" s="5" t="e">
        <f t="shared" si="661"/>
        <v>#N/A</v>
      </c>
      <c r="CX22" s="5" t="e">
        <f t="shared" si="662"/>
        <v>#N/A</v>
      </c>
      <c r="CY22" s="5" t="e">
        <f t="shared" si="663"/>
        <v>#N/A</v>
      </c>
      <c r="CZ22" s="5" t="e">
        <f t="shared" si="664"/>
        <v>#N/A</v>
      </c>
      <c r="DA22" s="5" t="e">
        <f t="shared" si="665"/>
        <v>#N/A</v>
      </c>
      <c r="DB22" s="5" t="e">
        <f t="shared" si="666"/>
        <v>#N/A</v>
      </c>
      <c r="DC22" s="5" t="e">
        <f t="shared" si="667"/>
        <v>#N/A</v>
      </c>
      <c r="DD22" s="5" t="e">
        <f t="shared" si="668"/>
        <v>#N/A</v>
      </c>
      <c r="DE22" s="5" t="e">
        <f t="shared" si="669"/>
        <v>#N/A</v>
      </c>
      <c r="DF22" s="5" t="e">
        <f t="shared" si="670"/>
        <v>#N/A</v>
      </c>
      <c r="DG22" s="5" t="e">
        <f t="shared" si="671"/>
        <v>#N/A</v>
      </c>
      <c r="DH22" s="5" t="e">
        <f t="shared" si="672"/>
        <v>#N/A</v>
      </c>
      <c r="DI22" s="5" t="e">
        <f t="shared" si="673"/>
        <v>#N/A</v>
      </c>
      <c r="DJ22" s="5" t="e">
        <f t="shared" si="674"/>
        <v>#N/A</v>
      </c>
      <c r="DK22" s="5" t="e">
        <f t="shared" si="675"/>
        <v>#N/A</v>
      </c>
      <c r="DL22" s="5" t="e">
        <f t="shared" si="676"/>
        <v>#N/A</v>
      </c>
      <c r="DM22" s="5" t="e">
        <f t="shared" si="677"/>
        <v>#N/A</v>
      </c>
      <c r="DN22" s="5" t="e">
        <f t="shared" si="678"/>
        <v>#N/A</v>
      </c>
      <c r="DO22" s="5" t="e">
        <f t="shared" si="679"/>
        <v>#N/A</v>
      </c>
      <c r="DP22" s="5" t="e">
        <f t="shared" si="680"/>
        <v>#N/A</v>
      </c>
      <c r="DQ22" s="5" t="e">
        <f t="shared" si="681"/>
        <v>#N/A</v>
      </c>
      <c r="DR22" s="5" t="e">
        <f t="shared" si="682"/>
        <v>#N/A</v>
      </c>
      <c r="DS22" s="5" t="e">
        <f t="shared" si="683"/>
        <v>#N/A</v>
      </c>
      <c r="DT22" s="5" t="e">
        <f t="shared" si="684"/>
        <v>#N/A</v>
      </c>
      <c r="DU22" s="5" t="e">
        <f t="shared" si="685"/>
        <v>#N/A</v>
      </c>
      <c r="DV22" s="5" t="e">
        <f t="shared" si="686"/>
        <v>#N/A</v>
      </c>
      <c r="DW22" s="5" t="e">
        <f t="shared" si="687"/>
        <v>#N/A</v>
      </c>
      <c r="DX22" s="5" t="e">
        <f t="shared" si="688"/>
        <v>#N/A</v>
      </c>
      <c r="DY22" s="5" t="e">
        <f t="shared" si="689"/>
        <v>#N/A</v>
      </c>
      <c r="DZ22" s="5" t="e">
        <f t="shared" si="690"/>
        <v>#N/A</v>
      </c>
      <c r="EA22" s="5" t="e">
        <f t="shared" si="691"/>
        <v>#N/A</v>
      </c>
      <c r="EB22" s="5" t="e">
        <f t="shared" si="692"/>
        <v>#N/A</v>
      </c>
      <c r="EC22" s="5" t="e">
        <f t="shared" si="693"/>
        <v>#N/A</v>
      </c>
      <c r="ED22" s="5" t="e">
        <f t="shared" si="694"/>
        <v>#N/A</v>
      </c>
      <c r="EE22" s="5" t="e">
        <f t="shared" si="695"/>
        <v>#N/A</v>
      </c>
      <c r="EF22" s="5" t="e">
        <f t="shared" si="696"/>
        <v>#N/A</v>
      </c>
      <c r="EG22" s="5" t="e">
        <f t="shared" si="697"/>
        <v>#N/A</v>
      </c>
      <c r="EH22" s="5" t="e">
        <f t="shared" si="698"/>
        <v>#N/A</v>
      </c>
      <c r="EI22" s="5" t="e">
        <f t="shared" si="699"/>
        <v>#N/A</v>
      </c>
      <c r="EJ22" s="5" t="e">
        <f t="shared" si="700"/>
        <v>#N/A</v>
      </c>
      <c r="EK22" s="5" t="e">
        <f t="shared" si="701"/>
        <v>#N/A</v>
      </c>
      <c r="EL22" s="5" t="e">
        <f t="shared" si="702"/>
        <v>#N/A</v>
      </c>
      <c r="EM22" s="5" t="e">
        <f t="shared" si="703"/>
        <v>#N/A</v>
      </c>
      <c r="EN22" s="5" t="e">
        <f t="shared" si="704"/>
        <v>#N/A</v>
      </c>
      <c r="EO22" s="5" t="e">
        <f t="shared" si="705"/>
        <v>#N/A</v>
      </c>
      <c r="EP22" s="5" t="e">
        <f t="shared" si="706"/>
        <v>#N/A</v>
      </c>
      <c r="EQ22" s="5" t="e">
        <f t="shared" si="707"/>
        <v>#N/A</v>
      </c>
      <c r="ER22" s="5" t="e">
        <f t="shared" si="708"/>
        <v>#N/A</v>
      </c>
      <c r="ET22" s="5" t="e">
        <f t="shared" si="709"/>
        <v>#N/A</v>
      </c>
      <c r="EU22" s="5" t="e">
        <f t="shared" si="710"/>
        <v>#N/A</v>
      </c>
      <c r="EV22" s="5" t="e">
        <f t="shared" si="711"/>
        <v>#N/A</v>
      </c>
      <c r="EW22" s="5" t="e">
        <f t="shared" si="712"/>
        <v>#N/A</v>
      </c>
      <c r="EX22" s="5" t="e">
        <f t="shared" si="713"/>
        <v>#N/A</v>
      </c>
      <c r="EY22" s="5" t="e">
        <f t="shared" si="714"/>
        <v>#N/A</v>
      </c>
      <c r="EZ22" s="5" t="e">
        <f t="shared" si="715"/>
        <v>#N/A</v>
      </c>
      <c r="FA22" s="5" t="e">
        <f t="shared" si="716"/>
        <v>#N/A</v>
      </c>
      <c r="FB22" s="5" t="e">
        <f t="shared" si="717"/>
        <v>#N/A</v>
      </c>
      <c r="FC22" s="5" t="e">
        <f t="shared" si="718"/>
        <v>#N/A</v>
      </c>
      <c r="FD22" s="5" t="e">
        <f t="shared" si="719"/>
        <v>#N/A</v>
      </c>
      <c r="FE22" s="5" t="e">
        <f t="shared" si="720"/>
        <v>#N/A</v>
      </c>
      <c r="FF22" s="5" t="e">
        <f t="shared" si="721"/>
        <v>#N/A</v>
      </c>
      <c r="FG22" s="5" t="e">
        <f t="shared" si="722"/>
        <v>#N/A</v>
      </c>
      <c r="FH22" s="5" t="e">
        <f t="shared" si="723"/>
        <v>#N/A</v>
      </c>
      <c r="FI22" s="5" t="e">
        <f t="shared" si="724"/>
        <v>#N/A</v>
      </c>
      <c r="FJ22" s="5" t="e">
        <f t="shared" si="725"/>
        <v>#N/A</v>
      </c>
      <c r="FK22" s="5" t="e">
        <f t="shared" si="726"/>
        <v>#N/A</v>
      </c>
      <c r="FL22" s="5" t="e">
        <f t="shared" si="727"/>
        <v>#N/A</v>
      </c>
      <c r="FM22" s="5" t="e">
        <f t="shared" si="728"/>
        <v>#N/A</v>
      </c>
      <c r="FN22" s="5" t="e">
        <f t="shared" si="729"/>
        <v>#N/A</v>
      </c>
      <c r="FO22" s="5" t="e">
        <f t="shared" si="730"/>
        <v>#N/A</v>
      </c>
      <c r="FP22" s="5" t="e">
        <f t="shared" si="731"/>
        <v>#N/A</v>
      </c>
      <c r="FQ22" s="5" t="e">
        <f t="shared" si="732"/>
        <v>#N/A</v>
      </c>
      <c r="FR22" s="5" t="e">
        <f t="shared" si="733"/>
        <v>#N/A</v>
      </c>
      <c r="FS22" s="5" t="e">
        <f t="shared" si="734"/>
        <v>#N/A</v>
      </c>
      <c r="FT22" s="5" t="e">
        <f t="shared" si="735"/>
        <v>#N/A</v>
      </c>
      <c r="FU22" s="5" t="e">
        <f t="shared" si="736"/>
        <v>#N/A</v>
      </c>
      <c r="FV22" s="5" t="e">
        <f t="shared" si="737"/>
        <v>#N/A</v>
      </c>
      <c r="FW22" s="5" t="e">
        <f t="shared" si="738"/>
        <v>#N/A</v>
      </c>
      <c r="FX22" s="5" t="e">
        <f t="shared" si="739"/>
        <v>#N/A</v>
      </c>
      <c r="FY22" s="5" t="e">
        <f t="shared" si="740"/>
        <v>#N/A</v>
      </c>
      <c r="FZ22" s="5" t="e">
        <f t="shared" si="741"/>
        <v>#N/A</v>
      </c>
      <c r="GA22" s="5" t="e">
        <f t="shared" si="742"/>
        <v>#N/A</v>
      </c>
      <c r="GB22" s="5" t="e">
        <f t="shared" si="743"/>
        <v>#N/A</v>
      </c>
      <c r="GC22" s="5" t="e">
        <f t="shared" si="744"/>
        <v>#N/A</v>
      </c>
      <c r="GD22" s="5" t="e">
        <f t="shared" si="745"/>
        <v>#N/A</v>
      </c>
      <c r="GE22" s="5" t="e">
        <f t="shared" si="746"/>
        <v>#N/A</v>
      </c>
      <c r="GF22" s="5" t="e">
        <f t="shared" si="747"/>
        <v>#N/A</v>
      </c>
      <c r="GG22" s="5" t="e">
        <f t="shared" si="748"/>
        <v>#N/A</v>
      </c>
      <c r="GH22" s="5" t="e">
        <f t="shared" si="749"/>
        <v>#N/A</v>
      </c>
      <c r="GI22" s="5" t="e">
        <f t="shared" si="750"/>
        <v>#N/A</v>
      </c>
      <c r="GJ22" s="5" t="e">
        <f t="shared" si="751"/>
        <v>#N/A</v>
      </c>
      <c r="GK22" s="5" t="e">
        <f t="shared" si="752"/>
        <v>#N/A</v>
      </c>
      <c r="GL22" s="5" t="e">
        <f t="shared" si="753"/>
        <v>#N/A</v>
      </c>
      <c r="GM22" s="5" t="e">
        <f t="shared" si="754"/>
        <v>#N/A</v>
      </c>
      <c r="GN22" s="5" t="e">
        <f t="shared" si="755"/>
        <v>#N/A</v>
      </c>
      <c r="GO22" s="5" t="e">
        <f t="shared" si="756"/>
        <v>#N/A</v>
      </c>
      <c r="GP22" s="5" t="e">
        <f t="shared" si="757"/>
        <v>#N/A</v>
      </c>
      <c r="GQ22" s="5" t="e">
        <f t="shared" si="758"/>
        <v>#N/A</v>
      </c>
      <c r="GR22" s="5" t="e">
        <f t="shared" si="759"/>
        <v>#N/A</v>
      </c>
      <c r="GS22" s="5" t="e">
        <f t="shared" si="760"/>
        <v>#N/A</v>
      </c>
      <c r="GT22" s="5" t="e">
        <f t="shared" si="761"/>
        <v>#N/A</v>
      </c>
      <c r="GU22" s="5" t="e">
        <f t="shared" si="762"/>
        <v>#N/A</v>
      </c>
      <c r="GV22" s="5" t="e">
        <f t="shared" si="763"/>
        <v>#N/A</v>
      </c>
      <c r="GW22" s="5" t="e">
        <f t="shared" si="764"/>
        <v>#N/A</v>
      </c>
      <c r="GX22" s="5" t="e">
        <f t="shared" si="765"/>
        <v>#N/A</v>
      </c>
      <c r="GY22" s="5" t="e">
        <f t="shared" si="766"/>
        <v>#N/A</v>
      </c>
      <c r="GZ22" s="5" t="e">
        <f t="shared" si="767"/>
        <v>#N/A</v>
      </c>
      <c r="HA22" s="5" t="e">
        <f t="shared" si="768"/>
        <v>#N/A</v>
      </c>
      <c r="HC22" s="6" t="e">
        <f t="shared" si="769"/>
        <v>#N/A</v>
      </c>
      <c r="HD22" s="5" t="e">
        <f t="shared" si="770"/>
        <v>#N/A</v>
      </c>
      <c r="HE22" s="5" t="e">
        <f t="shared" si="771"/>
        <v>#N/A</v>
      </c>
      <c r="HF22" s="5" t="e">
        <f t="shared" si="772"/>
        <v>#N/A</v>
      </c>
      <c r="HG22" s="5" t="e">
        <f t="shared" si="773"/>
        <v>#N/A</v>
      </c>
      <c r="HH22" s="5" t="e">
        <f t="shared" si="774"/>
        <v>#N/A</v>
      </c>
      <c r="HI22" s="5" t="e">
        <f t="shared" si="775"/>
        <v>#N/A</v>
      </c>
      <c r="HJ22" s="5" t="e">
        <f t="shared" si="776"/>
        <v>#N/A</v>
      </c>
      <c r="HK22" s="5" t="e">
        <f t="shared" si="777"/>
        <v>#N/A</v>
      </c>
      <c r="HL22" s="5" t="e">
        <f t="shared" si="778"/>
        <v>#N/A</v>
      </c>
      <c r="HM22" s="5" t="e">
        <f t="shared" si="779"/>
        <v>#N/A</v>
      </c>
      <c r="HN22" s="5" t="e">
        <f t="shared" si="780"/>
        <v>#N/A</v>
      </c>
      <c r="HO22" s="5" t="e">
        <f t="shared" si="781"/>
        <v>#N/A</v>
      </c>
      <c r="HP22" s="5" t="e">
        <f t="shared" si="782"/>
        <v>#N/A</v>
      </c>
      <c r="HQ22" s="5" t="e">
        <f t="shared" si="783"/>
        <v>#N/A</v>
      </c>
      <c r="HR22" s="5" t="e">
        <f t="shared" si="784"/>
        <v>#N/A</v>
      </c>
      <c r="HS22" s="5" t="e">
        <f t="shared" si="785"/>
        <v>#N/A</v>
      </c>
      <c r="HT22" s="5" t="e">
        <f t="shared" si="786"/>
        <v>#N/A</v>
      </c>
      <c r="HU22" s="5" t="e">
        <f t="shared" si="787"/>
        <v>#N/A</v>
      </c>
      <c r="HV22" s="5" t="e">
        <f t="shared" si="788"/>
        <v>#N/A</v>
      </c>
      <c r="HW22" s="5" t="e">
        <f t="shared" si="789"/>
        <v>#N/A</v>
      </c>
      <c r="HX22" s="5" t="e">
        <f t="shared" si="790"/>
        <v>#N/A</v>
      </c>
      <c r="HY22" s="5" t="e">
        <f t="shared" si="791"/>
        <v>#N/A</v>
      </c>
      <c r="HZ22" s="5" t="e">
        <f t="shared" si="792"/>
        <v>#N/A</v>
      </c>
      <c r="IA22" s="5" t="e">
        <f t="shared" si="793"/>
        <v>#N/A</v>
      </c>
      <c r="IB22" s="5" t="e">
        <f t="shared" si="794"/>
        <v>#N/A</v>
      </c>
      <c r="IC22" s="5" t="e">
        <f t="shared" si="795"/>
        <v>#N/A</v>
      </c>
      <c r="ID22" s="5" t="e">
        <f t="shared" si="796"/>
        <v>#N/A</v>
      </c>
      <c r="IE22" s="5" t="e">
        <f t="shared" si="797"/>
        <v>#N/A</v>
      </c>
      <c r="IF22" s="5" t="e">
        <f t="shared" si="798"/>
        <v>#N/A</v>
      </c>
      <c r="IG22" s="5" t="e">
        <f t="shared" si="799"/>
        <v>#N/A</v>
      </c>
      <c r="IH22" s="5" t="e">
        <f t="shared" si="800"/>
        <v>#N/A</v>
      </c>
      <c r="II22" s="5" t="e">
        <f t="shared" si="801"/>
        <v>#N/A</v>
      </c>
      <c r="IJ22" s="5" t="e">
        <f t="shared" si="802"/>
        <v>#N/A</v>
      </c>
      <c r="IK22" s="5" t="e">
        <f t="shared" si="803"/>
        <v>#N/A</v>
      </c>
      <c r="IL22" s="5" t="e">
        <f t="shared" si="804"/>
        <v>#N/A</v>
      </c>
      <c r="IM22" s="5" t="e">
        <f t="shared" si="805"/>
        <v>#N/A</v>
      </c>
      <c r="IN22" s="5" t="e">
        <f t="shared" si="806"/>
        <v>#N/A</v>
      </c>
      <c r="IO22" s="5" t="e">
        <f t="shared" si="807"/>
        <v>#N/A</v>
      </c>
      <c r="IP22" s="5" t="e">
        <f t="shared" si="808"/>
        <v>#N/A</v>
      </c>
      <c r="IQ22" s="5" t="e">
        <f t="shared" si="809"/>
        <v>#N/A</v>
      </c>
      <c r="IR22" s="5" t="e">
        <f t="shared" si="810"/>
        <v>#N/A</v>
      </c>
      <c r="IS22" s="5" t="e">
        <f t="shared" si="811"/>
        <v>#N/A</v>
      </c>
      <c r="IT22" s="5" t="e">
        <f t="shared" si="812"/>
        <v>#N/A</v>
      </c>
      <c r="IU22" s="5" t="e">
        <f t="shared" si="813"/>
        <v>#N/A</v>
      </c>
      <c r="IV22" s="5" t="e">
        <f t="shared" si="814"/>
        <v>#N/A</v>
      </c>
      <c r="IW22" s="5" t="e">
        <f t="shared" si="815"/>
        <v>#N/A</v>
      </c>
      <c r="IX22" s="5" t="e">
        <f t="shared" si="816"/>
        <v>#N/A</v>
      </c>
      <c r="IY22" s="5" t="e">
        <f t="shared" si="817"/>
        <v>#N/A</v>
      </c>
      <c r="IZ22" s="5" t="e">
        <f t="shared" si="818"/>
        <v>#N/A</v>
      </c>
      <c r="JA22" s="5" t="e">
        <f t="shared" si="819"/>
        <v>#N/A</v>
      </c>
      <c r="JB22" s="5" t="e">
        <f t="shared" si="820"/>
        <v>#N/A</v>
      </c>
      <c r="JC22" s="5" t="e">
        <f t="shared" si="821"/>
        <v>#N/A</v>
      </c>
      <c r="JD22" s="5" t="e">
        <f t="shared" si="822"/>
        <v>#N/A</v>
      </c>
      <c r="JE22" s="5" t="e">
        <f t="shared" si="823"/>
        <v>#N/A</v>
      </c>
      <c r="JF22" s="5" t="e">
        <f t="shared" si="824"/>
        <v>#N/A</v>
      </c>
      <c r="JG22" s="5" t="e">
        <f t="shared" si="825"/>
        <v>#N/A</v>
      </c>
      <c r="JH22" s="5" t="e">
        <f t="shared" si="826"/>
        <v>#N/A</v>
      </c>
      <c r="JI22" s="5" t="e">
        <f t="shared" si="827"/>
        <v>#N/A</v>
      </c>
      <c r="JJ22" s="5" t="e">
        <f t="shared" si="828"/>
        <v>#N/A</v>
      </c>
      <c r="JK22" s="5" t="e">
        <f t="shared" si="829"/>
        <v>#N/A</v>
      </c>
      <c r="JM22" s="19" t="e">
        <f t="shared" si="830"/>
        <v>#N/A</v>
      </c>
      <c r="JN22" s="1">
        <v>20</v>
      </c>
      <c r="JO22" s="5" t="e">
        <f>HLOOKUP(JM22,HC$2:JK22,2+JN21,0)-IF(KE22&gt;0,KE22,0)</f>
        <v>#N/A</v>
      </c>
      <c r="JP22" s="5" t="e">
        <f t="shared" si="831"/>
        <v>#N/A</v>
      </c>
      <c r="JQ22" s="17"/>
      <c r="JR22" s="17"/>
      <c r="JS22" s="6">
        <f t="shared" si="832"/>
        <v>0</v>
      </c>
      <c r="JT22" s="5" t="e">
        <f t="shared" si="833"/>
        <v>#N/A</v>
      </c>
      <c r="JU22" s="13">
        <f t="shared" ca="1" si="22"/>
        <v>46161</v>
      </c>
      <c r="JV22" s="6" t="e">
        <f t="shared" si="834"/>
        <v>#N/A</v>
      </c>
      <c r="JW22" s="6"/>
      <c r="JX22" s="6"/>
      <c r="JY22" s="6">
        <f t="shared" si="835"/>
        <v>0</v>
      </c>
      <c r="JZ22" s="10" t="e">
        <f t="shared" si="836"/>
        <v>#N/A</v>
      </c>
      <c r="KA22" s="10" t="e">
        <f t="shared" si="837"/>
        <v>#N/A</v>
      </c>
      <c r="KB22" s="10" t="e">
        <f t="shared" si="838"/>
        <v>#N/A</v>
      </c>
      <c r="KC22" s="10" t="e">
        <f t="shared" si="839"/>
        <v>#N/A</v>
      </c>
      <c r="KD22" s="5" t="e">
        <f t="shared" si="840"/>
        <v>#N/A</v>
      </c>
      <c r="KE22" s="6" t="e">
        <f t="shared" si="841"/>
        <v>#N/A</v>
      </c>
    </row>
    <row r="23" spans="3:291" ht="14.4" customHeight="1" x14ac:dyDescent="0.3">
      <c r="F23" s="17"/>
      <c r="G23" s="9"/>
      <c r="H23" s="3"/>
      <c r="I23" s="3"/>
      <c r="J23" s="3"/>
      <c r="K23" s="3"/>
      <c r="L23" s="3"/>
      <c r="M23" s="3"/>
      <c r="N23" s="3"/>
      <c r="O23" s="3"/>
      <c r="P23" s="4"/>
      <c r="Q23" s="5"/>
      <c r="R23" s="5"/>
      <c r="S23" s="5"/>
      <c r="T23" s="6"/>
      <c r="U23" s="5"/>
      <c r="V23" s="6"/>
      <c r="W23" s="7"/>
      <c r="X23" s="8"/>
      <c r="Y23" s="6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6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C23" s="6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M23" s="19"/>
      <c r="JN23" s="1">
        <v>21</v>
      </c>
      <c r="JO23" s="5">
        <f>HLOOKUP(JM23,HC$2:JK23,2+JN22,0)-IF(KE23&gt;0,KE23,0)</f>
        <v>0</v>
      </c>
      <c r="JP23" s="5"/>
      <c r="JQ23" s="5"/>
      <c r="JR23" s="5"/>
      <c r="JS23" s="6"/>
      <c r="JT23" s="23"/>
      <c r="JU23" s="13"/>
      <c r="JV23" s="6"/>
      <c r="JW23" s="6"/>
      <c r="JX23" s="49"/>
      <c r="JY23" s="6"/>
      <c r="JZ23" s="10"/>
      <c r="KA23" s="10"/>
      <c r="KB23" s="10"/>
      <c r="KC23" s="10"/>
      <c r="KD23" s="5"/>
      <c r="KE23" s="6"/>
    </row>
    <row r="24" spans="3:291" x14ac:dyDescent="0.3">
      <c r="F24" s="17"/>
      <c r="G24" s="9"/>
      <c r="H24" s="3"/>
      <c r="I24" s="3"/>
      <c r="J24" s="3"/>
      <c r="K24" s="3"/>
      <c r="L24" s="3"/>
      <c r="M24" s="3"/>
      <c r="N24" s="3"/>
      <c r="O24" s="3"/>
      <c r="P24" s="4"/>
      <c r="Q24" s="5"/>
      <c r="R24" s="5"/>
      <c r="S24" s="5"/>
      <c r="T24" s="6"/>
      <c r="U24" s="5"/>
      <c r="V24" s="6"/>
      <c r="W24" s="7"/>
      <c r="X24" s="8"/>
      <c r="Y24" s="6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6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C24" s="6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M24" s="19"/>
      <c r="JN24" s="1">
        <v>22</v>
      </c>
      <c r="JO24" s="5">
        <f>HLOOKUP(JM24,HC$2:JK24,2+JN23,0)-IF(KE24&gt;0,KE24,0)</f>
        <v>0</v>
      </c>
      <c r="JP24" s="5"/>
      <c r="JQ24" s="5"/>
      <c r="JR24" s="5"/>
      <c r="JS24" s="6"/>
      <c r="JT24" s="23"/>
      <c r="JU24" s="13"/>
      <c r="JV24" s="6"/>
      <c r="JW24" s="6"/>
      <c r="JX24" s="6"/>
      <c r="JY24" s="6"/>
      <c r="JZ24" s="10"/>
      <c r="KA24" s="10"/>
      <c r="KB24" s="10"/>
      <c r="KC24" s="10"/>
      <c r="KD24" s="5"/>
      <c r="KE24" s="6"/>
    </row>
    <row r="25" spans="3:291" ht="14.4" customHeight="1" x14ac:dyDescent="0.3">
      <c r="F25" s="17"/>
      <c r="G25" s="9"/>
      <c r="H25" s="3"/>
      <c r="I25" s="3"/>
      <c r="J25" s="3"/>
      <c r="K25" s="3"/>
      <c r="L25" s="3"/>
      <c r="M25" s="3"/>
      <c r="N25" s="3"/>
      <c r="O25" s="3"/>
      <c r="P25" s="4"/>
      <c r="Q25" s="5"/>
      <c r="R25" s="5"/>
      <c r="S25" s="5"/>
      <c r="T25" s="6"/>
      <c r="U25" s="5"/>
      <c r="V25" s="6"/>
      <c r="W25" s="7"/>
      <c r="X25" s="8"/>
      <c r="Y25" s="6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6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C25" s="6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M25" s="19"/>
      <c r="JN25" s="1">
        <v>23</v>
      </c>
      <c r="JO25" s="5">
        <f>HLOOKUP(JM25,HC$2:JK25,2+JN24,0)-IF(KE25&gt;0,KE25,0)</f>
        <v>0</v>
      </c>
      <c r="JP25" s="5"/>
      <c r="JQ25" s="5"/>
      <c r="JR25" s="5"/>
      <c r="JS25" s="6"/>
      <c r="JT25" s="23"/>
      <c r="JU25" s="13"/>
      <c r="JV25" s="6"/>
      <c r="JW25" s="6"/>
      <c r="JY25" s="6"/>
      <c r="JZ25" s="10"/>
      <c r="KA25" s="10"/>
      <c r="KB25" s="10"/>
      <c r="KC25" s="10"/>
      <c r="KD25" s="5"/>
      <c r="KE25" s="6"/>
    </row>
    <row r="26" spans="3:291" x14ac:dyDescent="0.3">
      <c r="F26" s="17"/>
      <c r="G26" s="9"/>
      <c r="H26" s="3"/>
      <c r="I26" s="3"/>
      <c r="J26" s="3"/>
      <c r="K26" s="3"/>
      <c r="L26" s="3"/>
      <c r="M26" s="3"/>
      <c r="N26" s="3"/>
      <c r="O26" s="3"/>
      <c r="P26" s="4"/>
      <c r="Q26" s="5"/>
      <c r="R26" s="5"/>
      <c r="S26" s="5"/>
      <c r="T26" s="6"/>
      <c r="U26" s="5"/>
      <c r="V26" s="6"/>
      <c r="W26" s="7"/>
      <c r="X26" s="8"/>
      <c r="Y26" s="6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6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C26" s="6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M26" s="19"/>
      <c r="JN26" s="1">
        <v>24</v>
      </c>
      <c r="JO26" s="5">
        <f>HLOOKUP(JM26,HC$2:JK26,2+JN25,0)-IF(KE26&gt;0,KE26,0)</f>
        <v>0</v>
      </c>
      <c r="JP26" s="5"/>
      <c r="JQ26" s="5"/>
      <c r="JR26" s="5"/>
      <c r="JS26" s="6"/>
      <c r="JT26" s="23"/>
      <c r="JU26" s="13"/>
      <c r="JV26" s="6"/>
      <c r="JW26" s="6"/>
      <c r="JX26" s="6"/>
      <c r="JY26" s="6"/>
      <c r="JZ26" s="10"/>
      <c r="KA26" s="10"/>
      <c r="KB26" s="10"/>
      <c r="KC26" s="10"/>
      <c r="KD26" s="5"/>
      <c r="KE26" s="6"/>
    </row>
    <row r="27" spans="3:291" x14ac:dyDescent="0.3">
      <c r="F27" s="17"/>
      <c r="G27" s="9"/>
      <c r="H27" s="3"/>
      <c r="I27" s="3"/>
      <c r="J27" s="3"/>
      <c r="K27" s="3"/>
      <c r="L27" s="3"/>
      <c r="M27" s="3"/>
      <c r="N27" s="3"/>
      <c r="O27" s="3"/>
      <c r="P27" s="4"/>
      <c r="Q27" s="5"/>
      <c r="R27" s="5"/>
      <c r="S27" s="5"/>
      <c r="T27" s="6"/>
      <c r="U27" s="5"/>
      <c r="V27" s="6"/>
      <c r="W27" s="7"/>
      <c r="X27" s="8"/>
      <c r="Y27" s="6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6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C27" s="6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M27" s="19"/>
      <c r="JN27" s="1">
        <v>25</v>
      </c>
      <c r="JO27" s="5">
        <f>HLOOKUP(JM27,HC$2:JK27,2+JN26,0)-IF(KE27&gt;0,KE27,0)</f>
        <v>0</v>
      </c>
      <c r="JP27" s="5"/>
      <c r="JQ27" s="5"/>
      <c r="JR27" s="5"/>
      <c r="JS27" s="6"/>
      <c r="JT27" s="23"/>
      <c r="JU27" s="13"/>
      <c r="JV27" s="6"/>
      <c r="JW27" s="6"/>
      <c r="JX27" s="6"/>
      <c r="JY27" s="6"/>
      <c r="JZ27" s="10"/>
      <c r="KA27" s="10"/>
      <c r="KB27" s="10"/>
      <c r="KC27" s="10"/>
      <c r="KD27" s="5"/>
      <c r="KE27" s="6"/>
    </row>
    <row r="28" spans="3:291" x14ac:dyDescent="0.3">
      <c r="F28" s="17"/>
      <c r="G28" s="9"/>
      <c r="H28" s="3"/>
      <c r="I28" s="3"/>
      <c r="J28" s="3"/>
      <c r="K28" s="3"/>
      <c r="L28" s="3"/>
      <c r="M28" s="3"/>
      <c r="N28" s="3"/>
      <c r="O28" s="3"/>
      <c r="P28" s="4"/>
      <c r="Q28" s="5"/>
      <c r="R28" s="5"/>
      <c r="S28" s="5"/>
      <c r="T28" s="6"/>
      <c r="U28" s="5"/>
      <c r="V28" s="6"/>
      <c r="W28" s="7"/>
      <c r="X28" s="8"/>
      <c r="Y28" s="6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6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C28" s="6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M28" s="19"/>
      <c r="JN28" s="1">
        <v>26</v>
      </c>
      <c r="JO28" s="5">
        <f>HLOOKUP(JM28,HC$2:JK28,2+JN27,0)-IF(KE28&gt;0,KE28,0)</f>
        <v>0</v>
      </c>
      <c r="JP28" s="5"/>
      <c r="JQ28" s="5"/>
      <c r="JR28" s="5"/>
      <c r="JS28" s="6"/>
      <c r="JT28" s="23"/>
      <c r="JU28" s="13"/>
      <c r="JV28" s="6"/>
      <c r="JW28" s="6"/>
      <c r="JX28" s="6"/>
      <c r="JY28" s="6"/>
      <c r="JZ28" s="10"/>
      <c r="KA28" s="10"/>
      <c r="KB28" s="10"/>
      <c r="KC28" s="10"/>
      <c r="KD28" s="5"/>
      <c r="KE28" s="6"/>
    </row>
    <row r="29" spans="3:291" x14ac:dyDescent="0.3">
      <c r="F29" s="17"/>
      <c r="G29" s="9"/>
      <c r="H29" s="3"/>
      <c r="I29" s="3"/>
      <c r="J29" s="3"/>
      <c r="K29" s="3"/>
      <c r="L29" s="3"/>
      <c r="M29" s="3"/>
      <c r="N29" s="3"/>
      <c r="O29" s="3"/>
      <c r="P29" s="4"/>
      <c r="Q29" s="5"/>
      <c r="R29" s="5"/>
      <c r="S29" s="5"/>
      <c r="T29" s="6"/>
      <c r="U29" s="5"/>
      <c r="V29" s="6"/>
      <c r="W29" s="7"/>
      <c r="X29" s="8"/>
      <c r="Y29" s="6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6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C29" s="6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M29" s="19"/>
      <c r="JN29" s="1">
        <v>27</v>
      </c>
      <c r="JO29" s="5">
        <f>HLOOKUP(JM29,HC$2:JK29,2+JN28,0)-IF(KE29&gt;0,KE29,0)</f>
        <v>0</v>
      </c>
      <c r="JP29" s="5"/>
      <c r="JQ29" s="5"/>
      <c r="JR29" s="5"/>
      <c r="JS29" s="6"/>
      <c r="JT29" s="23"/>
      <c r="JU29" s="13"/>
      <c r="JV29" s="6"/>
      <c r="JW29" s="6"/>
      <c r="JX29" s="6"/>
      <c r="JY29" s="6"/>
      <c r="JZ29" s="10"/>
      <c r="KA29" s="10"/>
      <c r="KB29" s="10"/>
      <c r="KC29" s="10"/>
      <c r="KD29" s="5"/>
      <c r="KE29" s="6"/>
    </row>
    <row r="30" spans="3:291" ht="14.4" customHeight="1" x14ac:dyDescent="0.3">
      <c r="F30" s="17"/>
      <c r="G30" s="9"/>
      <c r="H30" s="3"/>
      <c r="I30" s="3"/>
      <c r="J30" s="3"/>
      <c r="K30" s="3"/>
      <c r="L30" s="3"/>
      <c r="M30" s="3"/>
      <c r="N30" s="3"/>
      <c r="O30" s="3"/>
      <c r="P30" s="4"/>
      <c r="Q30" s="5"/>
      <c r="R30" s="5"/>
      <c r="S30" s="5"/>
      <c r="T30" s="6"/>
      <c r="U30" s="5"/>
      <c r="V30" s="6"/>
      <c r="W30" s="7"/>
      <c r="X30" s="8"/>
      <c r="Y30" s="6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6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C30" s="6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M30" s="19"/>
      <c r="JN30" s="1">
        <v>28</v>
      </c>
      <c r="JO30" s="5">
        <f>HLOOKUP(JM30,HC$2:JK30,2+JN29,0)-IF(KE30&gt;0,KE30,0)</f>
        <v>0</v>
      </c>
      <c r="JP30" s="5"/>
      <c r="JQ30" s="5"/>
      <c r="JR30" s="5"/>
      <c r="JS30" s="6"/>
      <c r="JT30" s="23"/>
      <c r="JU30" s="13"/>
      <c r="JV30" s="6"/>
      <c r="JW30" s="6"/>
      <c r="JX30" s="6"/>
      <c r="JY30" s="6"/>
      <c r="JZ30" s="10"/>
      <c r="KA30" s="10"/>
      <c r="KB30" s="10"/>
      <c r="KC30" s="10"/>
      <c r="KD30" s="5"/>
      <c r="KE30" s="6"/>
    </row>
    <row r="31" spans="3:291" ht="14.4" customHeight="1" x14ac:dyDescent="0.3">
      <c r="F31" s="17"/>
      <c r="G31" s="9"/>
      <c r="H31" s="3"/>
      <c r="I31" s="3"/>
      <c r="J31" s="3"/>
      <c r="K31" s="3"/>
      <c r="L31" s="3"/>
      <c r="M31" s="3"/>
      <c r="N31" s="3"/>
      <c r="O31" s="3"/>
      <c r="P31" s="4"/>
      <c r="Q31" s="5"/>
      <c r="R31" s="5"/>
      <c r="S31" s="5"/>
      <c r="T31" s="6"/>
      <c r="U31" s="5"/>
      <c r="V31" s="6"/>
      <c r="W31" s="7"/>
      <c r="X31" s="8"/>
      <c r="Y31" s="6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6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C31" s="6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M31" s="19"/>
      <c r="JN31" s="1">
        <v>29</v>
      </c>
      <c r="JO31" s="5">
        <f>HLOOKUP(JM31,HC$2:JK31,2+JN30,0)-IF(KE31&gt;0,KE31,0)</f>
        <v>0</v>
      </c>
      <c r="JP31" s="5"/>
      <c r="JQ31" s="5"/>
      <c r="JR31" s="5"/>
      <c r="JS31" s="6"/>
      <c r="JT31" s="23"/>
      <c r="JU31" s="13"/>
      <c r="JV31" s="6"/>
      <c r="JW31" s="6"/>
      <c r="JX31" s="6"/>
      <c r="JY31" s="6"/>
      <c r="JZ31" s="10"/>
      <c r="KA31" s="10"/>
      <c r="KB31" s="10"/>
      <c r="KC31" s="10"/>
      <c r="KD31" s="5"/>
      <c r="KE31" s="6"/>
    </row>
    <row r="32" spans="3:291" ht="14.4" customHeight="1" x14ac:dyDescent="0.3">
      <c r="F32" s="17"/>
      <c r="G32" s="9"/>
      <c r="H32" s="3"/>
      <c r="I32" s="3"/>
      <c r="J32" s="3"/>
      <c r="K32" s="3"/>
      <c r="L32" s="3"/>
      <c r="M32" s="3"/>
      <c r="N32" s="3"/>
      <c r="O32" s="3"/>
      <c r="P32" s="4"/>
      <c r="Q32" s="5"/>
      <c r="R32" s="5"/>
      <c r="S32" s="5"/>
      <c r="T32" s="6"/>
      <c r="U32" s="5"/>
      <c r="V32" s="6"/>
      <c r="W32" s="7"/>
      <c r="X32" s="8"/>
      <c r="Y32" s="6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6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C32" s="6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M32" s="19"/>
      <c r="JN32" s="1">
        <v>30</v>
      </c>
      <c r="JO32" s="5">
        <f>HLOOKUP(JM32,HC$2:JK32,2+JN31,0)-IF(KE32&gt;0,KE32,0)</f>
        <v>0</v>
      </c>
      <c r="JP32" s="5"/>
      <c r="JQ32" s="5"/>
      <c r="JR32" s="5"/>
      <c r="JS32" s="6"/>
      <c r="JT32" s="23"/>
      <c r="JU32" s="13"/>
      <c r="JV32" s="6"/>
      <c r="JW32" s="6"/>
      <c r="JX32" s="6"/>
      <c r="JY32" s="6"/>
      <c r="JZ32" s="10"/>
      <c r="KA32" s="10"/>
      <c r="KB32" s="10"/>
      <c r="KC32" s="10"/>
      <c r="KD32" s="5"/>
      <c r="KE32" s="6"/>
    </row>
    <row r="33" spans="6:291" x14ac:dyDescent="0.3">
      <c r="F33" s="17"/>
      <c r="G33" s="9"/>
      <c r="H33" s="3"/>
      <c r="I33" s="3"/>
      <c r="J33" s="3"/>
      <c r="K33" s="3"/>
      <c r="L33" s="3"/>
      <c r="M33" s="3"/>
      <c r="N33" s="3"/>
      <c r="O33" s="3"/>
      <c r="P33" s="4"/>
      <c r="Q33" s="5"/>
      <c r="R33" s="5"/>
      <c r="S33" s="5"/>
      <c r="T33" s="6"/>
      <c r="U33" s="5"/>
      <c r="V33" s="6"/>
      <c r="W33" s="7"/>
      <c r="X33" s="8"/>
      <c r="Y33" s="6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6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C33" s="6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  <c r="JE33" s="5"/>
      <c r="JF33" s="5"/>
      <c r="JG33" s="5"/>
      <c r="JH33" s="5"/>
      <c r="JI33" s="5"/>
      <c r="JJ33" s="5"/>
      <c r="JK33" s="5"/>
      <c r="JM33" s="19"/>
      <c r="JN33" s="1">
        <v>31</v>
      </c>
      <c r="JO33" s="5">
        <f>HLOOKUP(JM33,HC$2:JK33,2+JN32,0)-IF(KE33&gt;0,KE33,0)</f>
        <v>0</v>
      </c>
      <c r="JP33" s="5"/>
      <c r="JQ33" s="5"/>
      <c r="JR33" s="5"/>
      <c r="JS33" s="6"/>
      <c r="JT33" s="23"/>
      <c r="JU33" s="13"/>
      <c r="JV33" s="6"/>
      <c r="JW33" s="6"/>
      <c r="JX33" s="6"/>
      <c r="JY33" s="6"/>
      <c r="JZ33" s="10"/>
      <c r="KA33" s="10"/>
      <c r="KB33" s="10"/>
      <c r="KC33" s="10"/>
      <c r="KD33" s="5"/>
      <c r="KE33" s="6"/>
    </row>
    <row r="34" spans="6:291" x14ac:dyDescent="0.3">
      <c r="F34" s="17"/>
      <c r="G34" s="9"/>
      <c r="H34" s="3"/>
      <c r="I34" s="3"/>
      <c r="J34" s="3"/>
      <c r="K34" s="3"/>
      <c r="L34" s="3"/>
      <c r="M34" s="3"/>
      <c r="N34" s="3"/>
      <c r="O34" s="3"/>
      <c r="P34" s="4"/>
      <c r="Q34" s="5"/>
      <c r="R34" s="5"/>
      <c r="S34" s="5"/>
      <c r="T34" s="6"/>
      <c r="U34" s="5"/>
      <c r="V34" s="6"/>
      <c r="W34" s="7"/>
      <c r="X34" s="8"/>
      <c r="Y34" s="6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6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C34" s="6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M34" s="19"/>
      <c r="JN34" s="1">
        <v>32</v>
      </c>
      <c r="JO34" s="5">
        <f>HLOOKUP(JM34,HC$2:JK34,2+JN33,0)-IF(KE34&gt;0,KE34,0)</f>
        <v>0</v>
      </c>
      <c r="JP34" s="5"/>
      <c r="JQ34" s="5"/>
      <c r="JR34" s="5"/>
      <c r="JS34" s="6"/>
      <c r="JT34" s="23"/>
      <c r="JU34" s="13"/>
      <c r="JV34" s="6"/>
      <c r="JW34" s="6"/>
      <c r="JX34" s="6"/>
      <c r="JY34" s="6"/>
      <c r="JZ34" s="10"/>
      <c r="KA34" s="10"/>
      <c r="KB34" s="10"/>
      <c r="KC34" s="10"/>
      <c r="KD34" s="5"/>
      <c r="KE34" s="6"/>
    </row>
    <row r="35" spans="6:291" x14ac:dyDescent="0.3">
      <c r="F35" s="17"/>
      <c r="G35" s="9"/>
      <c r="H35" s="3"/>
      <c r="I35" s="3"/>
      <c r="J35" s="3"/>
      <c r="K35" s="3"/>
      <c r="L35" s="3"/>
      <c r="M35" s="3"/>
      <c r="N35" s="3"/>
      <c r="O35" s="3"/>
      <c r="P35" s="4"/>
      <c r="Q35" s="5"/>
      <c r="R35" s="5"/>
      <c r="S35" s="5"/>
      <c r="T35" s="6"/>
      <c r="U35" s="5"/>
      <c r="V35" s="6"/>
      <c r="W35" s="7"/>
      <c r="X35" s="8"/>
      <c r="Y35" s="6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6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C35" s="6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M35" s="19"/>
      <c r="JN35" s="1">
        <v>33</v>
      </c>
      <c r="JO35" s="5">
        <f>HLOOKUP(JM35,HC$2:JK35,2+JN34,0)-IF(KE35&gt;0,KE35,0)</f>
        <v>0</v>
      </c>
      <c r="JP35" s="5"/>
      <c r="JQ35" s="5"/>
      <c r="JR35" s="5"/>
      <c r="JS35" s="6"/>
      <c r="JT35" s="23"/>
      <c r="JU35" s="13"/>
      <c r="JV35" s="6"/>
      <c r="JW35" s="6"/>
      <c r="JX35" s="6"/>
      <c r="JY35" s="6"/>
      <c r="JZ35" s="10"/>
      <c r="KA35" s="10"/>
      <c r="KB35" s="10"/>
      <c r="KC35" s="10"/>
      <c r="KD35" s="5"/>
      <c r="KE35" s="6"/>
    </row>
    <row r="36" spans="6:291" x14ac:dyDescent="0.3">
      <c r="F36" s="17"/>
      <c r="G36" s="9"/>
      <c r="H36" s="3"/>
      <c r="I36" s="3"/>
      <c r="J36" s="3"/>
      <c r="K36" s="3"/>
      <c r="L36" s="3"/>
      <c r="M36" s="3"/>
      <c r="N36" s="3"/>
      <c r="O36" s="3"/>
      <c r="P36" s="4"/>
      <c r="Q36" s="5"/>
      <c r="R36" s="5"/>
      <c r="S36" s="5"/>
      <c r="T36" s="6"/>
      <c r="U36" s="5"/>
      <c r="V36" s="6"/>
      <c r="W36" s="7"/>
      <c r="X36" s="8"/>
      <c r="Y36" s="6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6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C36" s="6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M36" s="19"/>
      <c r="JN36" s="1">
        <v>34</v>
      </c>
      <c r="JO36" s="5">
        <f>HLOOKUP(JM36,HC$2:JK36,2+JN35,0)-IF(KE36&gt;0,KE36,0)</f>
        <v>0</v>
      </c>
      <c r="JP36" s="5"/>
      <c r="JQ36" s="5"/>
      <c r="JR36" s="5"/>
      <c r="JS36" s="6"/>
      <c r="JT36" s="23"/>
      <c r="JU36" s="13"/>
      <c r="JV36" s="6"/>
      <c r="JW36" s="6"/>
      <c r="JX36" s="6"/>
      <c r="JY36" s="6"/>
      <c r="JZ36" s="10"/>
      <c r="KA36" s="10"/>
      <c r="KB36" s="10"/>
      <c r="KC36" s="10"/>
      <c r="KD36" s="5"/>
      <c r="KE36" s="6"/>
    </row>
    <row r="37" spans="6:291" ht="14.4" customHeight="1" x14ac:dyDescent="0.3">
      <c r="F37" s="17"/>
      <c r="G37" s="9"/>
      <c r="H37" s="3"/>
      <c r="I37" s="3"/>
      <c r="J37" s="3"/>
      <c r="K37" s="3"/>
      <c r="L37" s="3"/>
      <c r="M37" s="3"/>
      <c r="N37" s="3"/>
      <c r="O37" s="3"/>
      <c r="P37" s="4"/>
      <c r="Q37" s="5"/>
      <c r="R37" s="5"/>
      <c r="S37" s="5"/>
      <c r="T37" s="6"/>
      <c r="U37" s="5"/>
      <c r="V37" s="6"/>
      <c r="W37" s="7"/>
      <c r="X37" s="8"/>
      <c r="Y37" s="6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6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C37" s="6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M37" s="19"/>
      <c r="JN37" s="1">
        <v>35</v>
      </c>
      <c r="JO37" s="5">
        <f>HLOOKUP(JM37,HC$2:JK37,2+JN36,0)-IF(KE37&gt;0,KE37,0)</f>
        <v>0</v>
      </c>
      <c r="JP37" s="5"/>
      <c r="JQ37" s="5"/>
      <c r="JR37" s="5"/>
      <c r="JS37" s="6"/>
      <c r="JT37" s="23"/>
      <c r="JU37" s="13"/>
      <c r="JV37" s="6"/>
      <c r="JW37" s="6"/>
      <c r="JX37" s="6"/>
      <c r="JY37" s="6"/>
      <c r="JZ37" s="10"/>
      <c r="KA37" s="10"/>
      <c r="KB37" s="10"/>
      <c r="KC37" s="10"/>
      <c r="KD37" s="5"/>
      <c r="KE37" s="6"/>
    </row>
    <row r="38" spans="6:291" ht="14.4" customHeight="1" x14ac:dyDescent="0.3">
      <c r="F38" s="17"/>
      <c r="G38" s="9"/>
      <c r="H38" s="3"/>
      <c r="I38" s="3"/>
      <c r="J38" s="3"/>
      <c r="K38" s="3"/>
      <c r="L38" s="3"/>
      <c r="M38" s="3"/>
      <c r="N38" s="3"/>
      <c r="O38" s="3"/>
      <c r="P38" s="4"/>
      <c r="Q38" s="5"/>
      <c r="R38" s="5"/>
      <c r="S38" s="5"/>
      <c r="T38" s="6"/>
      <c r="U38" s="5"/>
      <c r="V38" s="6"/>
      <c r="W38" s="7"/>
      <c r="X38" s="8"/>
      <c r="Y38" s="6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6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C38" s="6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M38" s="19"/>
      <c r="JN38" s="1">
        <v>36</v>
      </c>
      <c r="JO38" s="5">
        <f>HLOOKUP(JM38,HC$2:JK38,2+JN37,0)-IF(KE38&gt;0,KE38,0)</f>
        <v>0</v>
      </c>
      <c r="JP38" s="5"/>
      <c r="JQ38" s="5"/>
      <c r="JR38" s="5"/>
      <c r="JS38" s="6"/>
      <c r="JT38" s="23"/>
      <c r="JU38" s="13"/>
      <c r="JV38" s="6"/>
      <c r="JW38" s="6"/>
      <c r="JX38" s="6"/>
      <c r="JY38" s="6"/>
      <c r="JZ38" s="10"/>
      <c r="KA38" s="10"/>
      <c r="KB38" s="10"/>
      <c r="KC38" s="10"/>
      <c r="KD38" s="5"/>
      <c r="KE38" s="6"/>
    </row>
    <row r="39" spans="6:291" x14ac:dyDescent="0.3">
      <c r="F39" s="17"/>
      <c r="G39" s="9"/>
      <c r="H39" s="3"/>
      <c r="I39" s="3"/>
      <c r="J39" s="3"/>
      <c r="K39" s="3"/>
      <c r="L39" s="3"/>
      <c r="M39" s="3"/>
      <c r="N39" s="3"/>
      <c r="O39" s="3"/>
      <c r="P39" s="4"/>
      <c r="Q39" s="5"/>
      <c r="R39" s="5"/>
      <c r="S39" s="5"/>
      <c r="T39" s="6"/>
      <c r="U39" s="5"/>
      <c r="V39" s="6"/>
      <c r="W39" s="7"/>
      <c r="X39" s="8"/>
      <c r="Y39" s="6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6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C39" s="6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M39" s="19"/>
      <c r="JN39" s="1">
        <v>37</v>
      </c>
      <c r="JO39" s="5">
        <f>HLOOKUP(JM39,HC$2:JK39,2+JN38,0)-IF(KE39&gt;0,KE39,0)</f>
        <v>0</v>
      </c>
      <c r="JP39" s="5"/>
      <c r="JQ39" s="5"/>
      <c r="JR39" s="5"/>
      <c r="JS39" s="6"/>
      <c r="JT39" s="23"/>
      <c r="JU39" s="13"/>
      <c r="JV39" s="6"/>
      <c r="JW39" s="6"/>
      <c r="JX39" s="6"/>
      <c r="JY39" s="6"/>
      <c r="JZ39" s="10"/>
      <c r="KA39" s="10"/>
      <c r="KB39" s="10"/>
      <c r="KC39" s="10"/>
      <c r="KD39" s="5"/>
      <c r="KE39" s="6"/>
    </row>
    <row r="40" spans="6:291" x14ac:dyDescent="0.3">
      <c r="F40" s="17"/>
      <c r="G40" s="9"/>
      <c r="H40" s="3"/>
      <c r="I40" s="3"/>
      <c r="J40" s="3"/>
      <c r="K40" s="3"/>
      <c r="L40" s="3"/>
      <c r="M40" s="3"/>
      <c r="N40" s="3"/>
      <c r="O40" s="3"/>
      <c r="P40" s="4"/>
      <c r="Q40" s="5"/>
      <c r="R40" s="5"/>
      <c r="S40" s="5"/>
      <c r="T40" s="6"/>
      <c r="U40" s="5"/>
      <c r="V40" s="6"/>
      <c r="W40" s="7"/>
      <c r="X40" s="8"/>
      <c r="Y40" s="6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6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C40" s="6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M40" s="19"/>
      <c r="JN40" s="1">
        <v>38</v>
      </c>
      <c r="JO40" s="5">
        <f>HLOOKUP(JM40,HC$2:JK40,2+JN39,0)-IF(KE40&gt;0,KE40,0)</f>
        <v>0</v>
      </c>
      <c r="JP40" s="5"/>
      <c r="JQ40" s="5"/>
      <c r="JR40" s="5"/>
      <c r="JS40" s="6"/>
      <c r="JT40" s="23"/>
      <c r="JU40" s="13"/>
      <c r="JV40" s="6"/>
      <c r="JW40" s="6"/>
      <c r="JX40" s="6"/>
      <c r="JY40" s="6"/>
      <c r="JZ40" s="10"/>
      <c r="KA40" s="10"/>
      <c r="KB40" s="10"/>
      <c r="KC40" s="10"/>
      <c r="KD40" s="5"/>
      <c r="KE40" s="6"/>
    </row>
    <row r="41" spans="6:291" x14ac:dyDescent="0.3">
      <c r="F41" s="17"/>
      <c r="G41" s="9"/>
      <c r="H41" s="3"/>
      <c r="I41" s="3"/>
      <c r="J41" s="3"/>
      <c r="K41" s="3"/>
      <c r="L41" s="3"/>
      <c r="M41" s="3"/>
      <c r="N41" s="3"/>
      <c r="O41" s="3"/>
      <c r="P41" s="4"/>
      <c r="Q41" s="5"/>
      <c r="R41" s="5"/>
      <c r="S41" s="5"/>
      <c r="T41" s="6"/>
      <c r="U41" s="5"/>
      <c r="V41" s="6"/>
      <c r="W41" s="7"/>
      <c r="X41" s="8"/>
      <c r="Y41" s="6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6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C41" s="6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M41" s="19"/>
      <c r="JN41" s="1">
        <v>39</v>
      </c>
      <c r="JO41" s="5">
        <f>HLOOKUP(JM41,HC$2:JK41,2+JN40,0)-IF(KE41&gt;0,KE41,0)+S41</f>
        <v>0</v>
      </c>
      <c r="JP41" s="5"/>
      <c r="JQ41" s="5"/>
      <c r="JR41" s="5"/>
      <c r="JS41" s="6"/>
      <c r="JT41" s="23"/>
      <c r="JU41" s="13"/>
      <c r="JV41" s="6"/>
      <c r="JW41" s="6"/>
      <c r="JX41" s="6"/>
      <c r="JY41" s="6"/>
      <c r="JZ41" s="10"/>
      <c r="KA41" s="10"/>
      <c r="KB41" s="10"/>
      <c r="KC41" s="10"/>
      <c r="KD41" s="5"/>
      <c r="KE41" s="6"/>
    </row>
    <row r="42" spans="6:291" x14ac:dyDescent="0.3">
      <c r="F42" s="17"/>
      <c r="G42" s="9"/>
      <c r="H42" s="3"/>
      <c r="I42" s="3"/>
      <c r="J42" s="3"/>
      <c r="K42" s="3"/>
      <c r="L42" s="3"/>
      <c r="M42" s="3"/>
      <c r="N42" s="3"/>
      <c r="O42" s="3"/>
      <c r="P42" s="4"/>
      <c r="Q42" s="5"/>
      <c r="R42" s="5"/>
      <c r="S42" s="5"/>
      <c r="T42" s="6"/>
      <c r="U42" s="5"/>
      <c r="V42" s="6"/>
      <c r="W42" s="7"/>
      <c r="X42" s="8"/>
      <c r="Y42" s="6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6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C42" s="6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M42" s="19"/>
      <c r="JN42" s="1">
        <v>40</v>
      </c>
      <c r="JO42" s="5">
        <f>HLOOKUP(JM42,HC$2:JK42,2+JN41,0)-IF(KE42&gt;0,KE42,0)</f>
        <v>0</v>
      </c>
      <c r="JP42" s="5"/>
      <c r="JQ42" s="5"/>
      <c r="JR42" s="5"/>
      <c r="JS42" s="6"/>
      <c r="JT42" s="23"/>
      <c r="JU42" s="13"/>
      <c r="JV42" s="6"/>
      <c r="JW42" s="6"/>
      <c r="JX42" s="6"/>
      <c r="JY42" s="6"/>
      <c r="JZ42" s="10"/>
      <c r="KA42" s="10"/>
      <c r="KB42" s="10"/>
      <c r="KC42" s="10"/>
      <c r="KD42" s="5"/>
      <c r="KE42" s="6"/>
    </row>
    <row r="43" spans="6:291" x14ac:dyDescent="0.3">
      <c r="F43" s="17"/>
      <c r="G43" s="9"/>
      <c r="H43" s="3"/>
      <c r="I43" s="3"/>
      <c r="J43" s="3"/>
      <c r="K43" s="3"/>
      <c r="L43" s="3"/>
      <c r="M43" s="3"/>
      <c r="N43" s="3"/>
      <c r="O43" s="3"/>
      <c r="P43" s="4"/>
      <c r="Q43" s="5"/>
      <c r="R43" s="5"/>
      <c r="S43" s="5"/>
      <c r="T43" s="6"/>
      <c r="U43" s="5"/>
      <c r="V43" s="6"/>
      <c r="W43" s="7"/>
      <c r="X43" s="8"/>
      <c r="Y43" s="6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6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C43" s="6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M43" s="19"/>
      <c r="JN43" s="1">
        <v>41</v>
      </c>
      <c r="JO43" s="5">
        <f>HLOOKUP(JM43,HC$2:JK43,2+JN42,0)-IF(KE43&gt;0,KE43,0)</f>
        <v>0</v>
      </c>
      <c r="JP43" s="5"/>
      <c r="JQ43" s="5"/>
      <c r="JR43" s="5"/>
      <c r="JS43" s="6"/>
      <c r="JT43" s="23"/>
      <c r="JU43" s="13"/>
      <c r="JV43" s="6"/>
      <c r="JW43" s="6"/>
      <c r="JX43" s="6"/>
      <c r="JY43" s="6"/>
      <c r="JZ43" s="10"/>
      <c r="KA43" s="10"/>
      <c r="KB43" s="10"/>
      <c r="KC43" s="10"/>
      <c r="KD43" s="5"/>
      <c r="KE43" s="6"/>
    </row>
    <row r="44" spans="6:291" ht="14.4" customHeight="1" x14ac:dyDescent="0.3">
      <c r="F44" s="17"/>
      <c r="G44" s="9"/>
      <c r="H44" s="3"/>
      <c r="I44" s="3"/>
      <c r="J44" s="3"/>
      <c r="K44" s="3"/>
      <c r="L44" s="3"/>
      <c r="M44" s="3"/>
      <c r="N44" s="3"/>
      <c r="O44" s="3"/>
      <c r="P44" s="4"/>
      <c r="Q44" s="5"/>
      <c r="R44" s="5"/>
      <c r="S44" s="5"/>
      <c r="T44" s="6"/>
      <c r="U44" s="5"/>
      <c r="V44" s="6"/>
      <c r="W44" s="7"/>
      <c r="X44" s="8"/>
      <c r="Y44" s="6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6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C44" s="6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M44" s="19"/>
      <c r="JN44" s="1">
        <v>42</v>
      </c>
      <c r="JO44" s="5">
        <f>HLOOKUP(JM44,HC$2:JK44,2+JN43,0)-IF(KE44&gt;0,KE44,0)</f>
        <v>0</v>
      </c>
      <c r="JP44" s="5"/>
      <c r="JQ44" s="5"/>
      <c r="JR44" s="5"/>
      <c r="JS44" s="6"/>
      <c r="JT44" s="23"/>
      <c r="JU44" s="13"/>
      <c r="JV44" s="6"/>
      <c r="JW44" s="6"/>
      <c r="JX44" s="6"/>
      <c r="JY44" s="6"/>
      <c r="JZ44" s="10"/>
      <c r="KA44" s="10"/>
      <c r="KB44" s="10"/>
      <c r="KC44" s="10"/>
      <c r="KD44" s="5"/>
      <c r="KE44" s="6"/>
    </row>
    <row r="45" spans="6:291" ht="14.4" customHeight="1" x14ac:dyDescent="0.3">
      <c r="F45" s="17"/>
      <c r="G45" s="9"/>
      <c r="H45" s="3"/>
      <c r="I45" s="3"/>
      <c r="J45" s="3"/>
      <c r="K45" s="3"/>
      <c r="L45" s="3"/>
      <c r="M45" s="3"/>
      <c r="N45" s="3"/>
      <c r="O45" s="3"/>
      <c r="P45" s="4"/>
      <c r="Q45" s="5"/>
      <c r="R45" s="5"/>
      <c r="S45" s="5"/>
      <c r="T45" s="6"/>
      <c r="U45" s="5"/>
      <c r="V45" s="6"/>
      <c r="W45" s="7"/>
      <c r="X45" s="8"/>
      <c r="Y45" s="6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6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C45" s="6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M45" s="19"/>
      <c r="JN45" s="1">
        <v>43</v>
      </c>
      <c r="JO45" s="5">
        <f>HLOOKUP(JM45,HC$2:JK45,2+JN44,0)-IF(KE45&gt;0,KE45,0)</f>
        <v>0</v>
      </c>
      <c r="JP45" s="5"/>
      <c r="JQ45" s="5"/>
      <c r="JR45" s="5"/>
      <c r="JS45" s="6"/>
      <c r="JT45" s="23"/>
      <c r="JU45" s="13"/>
      <c r="JV45" s="6"/>
      <c r="JW45" s="6"/>
      <c r="JX45" s="6"/>
      <c r="JY45" s="6"/>
      <c r="JZ45" s="10"/>
      <c r="KA45" s="10"/>
      <c r="KB45" s="10"/>
      <c r="KC45" s="10"/>
      <c r="KD45" s="5"/>
      <c r="KE45" s="6"/>
    </row>
    <row r="46" spans="6:291" x14ac:dyDescent="0.3">
      <c r="F46" s="17"/>
      <c r="G46" s="9"/>
      <c r="H46" s="3"/>
      <c r="I46" s="3"/>
      <c r="J46" s="3"/>
      <c r="K46" s="3"/>
      <c r="L46" s="3"/>
      <c r="M46" s="3"/>
      <c r="N46" s="3"/>
      <c r="O46" s="3"/>
      <c r="P46" s="4"/>
      <c r="Q46" s="5"/>
      <c r="R46" s="5"/>
      <c r="S46" s="5"/>
      <c r="T46" s="6"/>
      <c r="U46" s="5"/>
      <c r="V46" s="6"/>
      <c r="W46" s="7"/>
      <c r="X46" s="8"/>
      <c r="Y46" s="6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6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C46" s="6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M46" s="19"/>
      <c r="JN46" s="1">
        <v>44</v>
      </c>
      <c r="JO46" s="5">
        <f>HLOOKUP(JM46,HC$2:JK46,2+JN45,0)-IF(KE46&gt;0,KE46,0)</f>
        <v>0</v>
      </c>
      <c r="JP46" s="5"/>
      <c r="JQ46" s="5"/>
      <c r="JR46" s="5"/>
      <c r="JS46" s="6"/>
      <c r="JT46" s="23"/>
      <c r="JU46" s="13"/>
      <c r="JV46" s="6"/>
      <c r="JW46" s="6"/>
      <c r="JX46" s="6"/>
      <c r="JY46" s="6"/>
      <c r="JZ46" s="10"/>
      <c r="KA46" s="10"/>
      <c r="KB46" s="10"/>
      <c r="KC46" s="10"/>
      <c r="KD46" s="5"/>
      <c r="KE46" s="6"/>
    </row>
    <row r="47" spans="6:291" x14ac:dyDescent="0.3">
      <c r="F47" s="17"/>
      <c r="G47" s="9"/>
      <c r="H47" s="3"/>
      <c r="I47" s="3"/>
      <c r="J47" s="3"/>
      <c r="K47" s="3"/>
      <c r="L47" s="3"/>
      <c r="M47" s="3"/>
      <c r="N47" s="3"/>
      <c r="O47" s="3"/>
      <c r="P47" s="4"/>
      <c r="Q47" s="5"/>
      <c r="R47" s="5"/>
      <c r="S47" s="5"/>
      <c r="T47" s="6"/>
      <c r="U47" s="5"/>
      <c r="V47" s="6"/>
      <c r="W47" s="7"/>
      <c r="X47" s="8"/>
      <c r="Y47" s="6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6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C47" s="6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M47" s="19"/>
      <c r="JN47" s="1">
        <v>45</v>
      </c>
      <c r="JO47" s="5">
        <f>HLOOKUP(JM47,HC$2:JK47,2+JN46,0)-IF(KE47&gt;0,KE47,0)</f>
        <v>0</v>
      </c>
      <c r="JP47" s="5"/>
      <c r="JQ47" s="5"/>
      <c r="JR47" s="5"/>
      <c r="JS47" s="6"/>
      <c r="JT47" s="23"/>
      <c r="JU47" s="13"/>
      <c r="JV47" s="6"/>
      <c r="JW47" s="6"/>
      <c r="JX47" s="6"/>
      <c r="JY47" s="6"/>
      <c r="JZ47" s="10"/>
      <c r="KA47" s="10"/>
      <c r="KB47" s="10"/>
      <c r="KC47" s="10"/>
      <c r="KD47" s="5"/>
      <c r="KE47" s="6"/>
    </row>
    <row r="48" spans="6:291" ht="14.4" customHeight="1" x14ac:dyDescent="0.3">
      <c r="F48" s="17"/>
      <c r="G48" s="9"/>
      <c r="H48" s="3"/>
      <c r="I48" s="3"/>
      <c r="J48" s="3"/>
      <c r="K48" s="3"/>
      <c r="L48" s="3"/>
      <c r="M48" s="3"/>
      <c r="N48" s="3"/>
      <c r="O48" s="3"/>
      <c r="P48" s="4"/>
      <c r="Q48" s="5"/>
      <c r="R48" s="5"/>
      <c r="S48" s="5"/>
      <c r="T48" s="6"/>
      <c r="U48" s="5"/>
      <c r="V48" s="6"/>
      <c r="W48" s="7"/>
      <c r="X48" s="8"/>
      <c r="Y48" s="6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6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C48" s="6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M48" s="19"/>
      <c r="JN48" s="1">
        <v>46</v>
      </c>
      <c r="JO48" s="5">
        <f>HLOOKUP(JM48,HC$2:JK48,2+JN47,0)-IF(KE48&gt;0,KE48,0)</f>
        <v>0</v>
      </c>
      <c r="JP48" s="5"/>
      <c r="JQ48" s="5"/>
      <c r="JR48" s="5"/>
      <c r="JS48" s="6"/>
      <c r="JT48" s="23"/>
      <c r="JU48" s="13"/>
      <c r="JV48" s="6"/>
      <c r="JW48" s="6"/>
      <c r="JX48" s="6"/>
      <c r="JY48" s="6"/>
      <c r="JZ48" s="10"/>
      <c r="KA48" s="10"/>
      <c r="KB48" s="10"/>
      <c r="KC48" s="10"/>
      <c r="KD48" s="5"/>
      <c r="KE48" s="6"/>
    </row>
    <row r="49" spans="6:291" x14ac:dyDescent="0.3">
      <c r="F49" s="17"/>
      <c r="G49" s="9"/>
      <c r="H49" s="3"/>
      <c r="I49" s="3"/>
      <c r="J49" s="3"/>
      <c r="K49" s="3"/>
      <c r="L49" s="3"/>
      <c r="M49" s="3"/>
      <c r="N49" s="3"/>
      <c r="O49" s="3"/>
      <c r="P49" s="4"/>
      <c r="Q49" s="5"/>
      <c r="R49" s="5"/>
      <c r="S49" s="5"/>
      <c r="T49" s="6"/>
      <c r="U49" s="5"/>
      <c r="V49" s="6"/>
      <c r="W49" s="7"/>
      <c r="X49" s="8"/>
      <c r="Y49" s="6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6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C49" s="6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M49" s="19"/>
      <c r="JN49" s="1">
        <v>47</v>
      </c>
      <c r="JO49" s="5">
        <f>HLOOKUP(JM49,HC$2:JK49,2+JN48,0)-IF(KE49&gt;0,KE49,0)</f>
        <v>0</v>
      </c>
      <c r="JP49" s="5"/>
      <c r="JQ49" s="5"/>
      <c r="JR49" s="5"/>
      <c r="JS49" s="6"/>
      <c r="JT49" s="23"/>
      <c r="JU49" s="13"/>
      <c r="JV49" s="6"/>
      <c r="JW49" s="6"/>
      <c r="JX49" s="6"/>
      <c r="JY49" s="6"/>
      <c r="JZ49" s="10"/>
      <c r="KA49" s="10"/>
      <c r="KB49" s="10"/>
      <c r="KC49" s="10"/>
      <c r="KD49" s="5"/>
      <c r="KE49" s="6"/>
    </row>
    <row r="50" spans="6:291" x14ac:dyDescent="0.3">
      <c r="F50" s="17"/>
      <c r="G50" s="9"/>
      <c r="H50" s="3"/>
      <c r="I50" s="3"/>
      <c r="J50" s="3"/>
      <c r="K50" s="3"/>
      <c r="L50" s="3"/>
      <c r="M50" s="3"/>
      <c r="N50" s="3"/>
      <c r="O50" s="3"/>
      <c r="P50" s="4"/>
      <c r="Q50" s="5"/>
      <c r="R50" s="5"/>
      <c r="S50" s="5"/>
      <c r="T50" s="6"/>
      <c r="U50" s="5"/>
      <c r="V50" s="6"/>
      <c r="W50" s="7"/>
      <c r="X50" s="8"/>
      <c r="Y50" s="6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6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C50" s="6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M50" s="19"/>
      <c r="JN50" s="1">
        <v>48</v>
      </c>
      <c r="JO50" s="5">
        <f>HLOOKUP(JM50,HC$2:JK50,2+JN49,0)-IF(KE50&gt;0,KE50,0)</f>
        <v>0</v>
      </c>
      <c r="JP50" s="5"/>
      <c r="JQ50" s="5"/>
      <c r="JR50" s="5"/>
      <c r="JS50" s="6"/>
      <c r="JT50" s="23"/>
      <c r="JU50" s="13"/>
      <c r="JV50" s="6"/>
      <c r="JW50" s="6"/>
      <c r="JX50" s="6"/>
      <c r="JY50" s="6"/>
      <c r="JZ50" s="10"/>
      <c r="KA50" s="10"/>
      <c r="KB50" s="10"/>
      <c r="KC50" s="10"/>
      <c r="KD50" s="5"/>
      <c r="KE50" s="6"/>
    </row>
    <row r="51" spans="6:291" x14ac:dyDescent="0.3">
      <c r="F51" s="17"/>
      <c r="G51" s="9"/>
      <c r="H51" s="3"/>
      <c r="I51" s="3"/>
      <c r="J51" s="3"/>
      <c r="K51" s="3"/>
      <c r="L51" s="3"/>
      <c r="M51" s="3"/>
      <c r="N51" s="3"/>
      <c r="O51" s="3"/>
      <c r="P51" s="4"/>
      <c r="Q51" s="5"/>
      <c r="R51" s="5"/>
      <c r="S51" s="5"/>
      <c r="T51" s="6"/>
      <c r="U51" s="5"/>
      <c r="V51" s="6"/>
      <c r="W51" s="7"/>
      <c r="X51" s="8"/>
      <c r="Y51" s="6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6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C51" s="6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M51" s="19"/>
      <c r="JN51" s="1">
        <v>49</v>
      </c>
      <c r="JO51" s="5">
        <f>HLOOKUP(JM51,HC$2:JK51,2+JN50,0)-IF(KE51&gt;0,KE51,0)</f>
        <v>0</v>
      </c>
      <c r="JP51" s="5"/>
      <c r="JQ51" s="5"/>
      <c r="JR51" s="5"/>
      <c r="JS51" s="6"/>
      <c r="JT51" s="23"/>
      <c r="JU51" s="13"/>
      <c r="JV51" s="6"/>
      <c r="JW51" s="6"/>
      <c r="JX51" s="6"/>
      <c r="JY51" s="6"/>
      <c r="JZ51" s="10"/>
      <c r="KA51" s="10"/>
      <c r="KB51" s="10"/>
      <c r="KC51" s="10"/>
      <c r="KD51" s="5"/>
      <c r="KE51" s="6"/>
    </row>
    <row r="52" spans="6:291" x14ac:dyDescent="0.3">
      <c r="F52" s="17"/>
      <c r="G52" s="9"/>
      <c r="H52" s="3"/>
      <c r="I52" s="3"/>
      <c r="J52" s="3"/>
      <c r="K52" s="3"/>
      <c r="L52" s="3"/>
      <c r="M52" s="3"/>
      <c r="N52" s="3"/>
      <c r="O52" s="3"/>
      <c r="P52" s="4"/>
      <c r="Q52" s="5"/>
      <c r="R52" s="5"/>
      <c r="S52" s="5"/>
      <c r="T52" s="6"/>
      <c r="U52" s="5"/>
      <c r="V52" s="6"/>
      <c r="W52" s="7"/>
      <c r="X52" s="8"/>
      <c r="Y52" s="6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6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C52" s="6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M52" s="19"/>
      <c r="JN52" s="1">
        <v>50</v>
      </c>
      <c r="JO52" s="5">
        <f>HLOOKUP(JM52,HC$2:JK52,2+JN51,0)-IF(KE52&gt;0,KE52,0)</f>
        <v>0</v>
      </c>
      <c r="JP52" s="5"/>
      <c r="JQ52" s="5"/>
      <c r="JR52" s="5"/>
      <c r="JS52" s="6"/>
      <c r="JT52" s="23"/>
      <c r="JU52" s="13"/>
      <c r="JV52" s="6"/>
      <c r="JW52" s="6"/>
      <c r="JX52" s="6"/>
      <c r="JY52" s="6"/>
      <c r="JZ52" s="10"/>
      <c r="KA52" s="10"/>
      <c r="KB52" s="10"/>
      <c r="KC52" s="10"/>
      <c r="KD52" s="5"/>
      <c r="KE52" s="6"/>
    </row>
    <row r="53" spans="6:291" x14ac:dyDescent="0.3">
      <c r="F53" s="17"/>
      <c r="G53" s="9"/>
      <c r="H53" s="3"/>
      <c r="I53" s="3"/>
      <c r="J53" s="3"/>
      <c r="K53" s="3"/>
      <c r="L53" s="3"/>
      <c r="M53" s="3"/>
      <c r="N53" s="3"/>
      <c r="O53" s="3"/>
      <c r="P53" s="4"/>
      <c r="Q53" s="5"/>
      <c r="R53" s="5"/>
      <c r="S53" s="5"/>
      <c r="T53" s="6"/>
      <c r="U53" s="5"/>
      <c r="V53" s="6"/>
      <c r="W53" s="7"/>
      <c r="X53" s="8"/>
      <c r="Y53" s="6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6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C53" s="6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M53" s="19"/>
      <c r="JN53" s="1">
        <v>51</v>
      </c>
      <c r="JO53" s="5">
        <f>HLOOKUP(JM53,HC$2:JK53,2+JN52,0)-IF(KE53&gt;0,KE53,0)</f>
        <v>0</v>
      </c>
      <c r="JP53" s="5"/>
      <c r="JQ53" s="5"/>
      <c r="JR53" s="5"/>
      <c r="JS53" s="6"/>
      <c r="JT53" s="23"/>
      <c r="JU53" s="13"/>
      <c r="JV53" s="6"/>
      <c r="JW53" s="6"/>
      <c r="JX53" s="6"/>
      <c r="JY53" s="6"/>
      <c r="JZ53" s="10"/>
      <c r="KA53" s="10"/>
      <c r="KB53" s="10"/>
      <c r="KC53" s="10"/>
      <c r="KD53" s="5"/>
      <c r="KE53" s="6"/>
    </row>
    <row r="54" spans="6:291" x14ac:dyDescent="0.3">
      <c r="F54" s="17"/>
      <c r="G54" s="9"/>
      <c r="H54" s="3"/>
      <c r="I54" s="3"/>
      <c r="J54" s="3"/>
      <c r="K54" s="3"/>
      <c r="L54" s="3"/>
      <c r="M54" s="3"/>
      <c r="N54" s="3"/>
      <c r="O54" s="3"/>
      <c r="P54" s="4"/>
      <c r="Q54" s="5"/>
      <c r="R54" s="5"/>
      <c r="S54" s="5"/>
      <c r="T54" s="6"/>
      <c r="U54" s="5"/>
      <c r="V54" s="6"/>
      <c r="W54" s="7"/>
      <c r="X54" s="8"/>
      <c r="Y54" s="6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6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C54" s="6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M54" s="19"/>
      <c r="JN54" s="1">
        <v>52</v>
      </c>
      <c r="JO54" s="5">
        <f>HLOOKUP(JM54,HC$2:JK54,2+JN53,0)-IF(KE54&gt;0,KE54,0)</f>
        <v>0</v>
      </c>
      <c r="JP54" s="5"/>
      <c r="JQ54" s="5"/>
      <c r="JR54" s="5"/>
      <c r="JS54" s="6"/>
      <c r="JT54" s="23"/>
      <c r="JU54" s="13"/>
      <c r="JV54" s="6"/>
      <c r="JW54" s="6"/>
      <c r="JX54" s="6"/>
      <c r="JY54" s="6"/>
      <c r="JZ54" s="10"/>
      <c r="KA54" s="10"/>
      <c r="KB54" s="10"/>
      <c r="KC54" s="10"/>
      <c r="KD54" s="5"/>
      <c r="KE54" s="6"/>
    </row>
    <row r="55" spans="6:291" x14ac:dyDescent="0.3">
      <c r="F55" s="17"/>
      <c r="G55" s="9"/>
      <c r="H55" s="3"/>
      <c r="I55" s="3"/>
      <c r="J55" s="3"/>
      <c r="K55" s="3"/>
      <c r="L55" s="3"/>
      <c r="M55" s="3"/>
      <c r="N55" s="3"/>
      <c r="O55" s="3"/>
      <c r="P55" s="4"/>
      <c r="Q55" s="5"/>
      <c r="R55" s="5"/>
      <c r="S55" s="5"/>
      <c r="T55" s="6"/>
      <c r="U55" s="5"/>
      <c r="V55" s="6"/>
      <c r="W55" s="7"/>
      <c r="X55" s="8"/>
      <c r="Y55" s="6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6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C55" s="6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M55" s="19"/>
      <c r="JN55" s="1">
        <v>53</v>
      </c>
      <c r="JO55" s="5">
        <f>HLOOKUP(JM55,HC$2:JK55,2+JN54,0)-IF(KE55&gt;0,KE55,0)</f>
        <v>0</v>
      </c>
      <c r="JP55" s="5"/>
      <c r="JQ55" s="5"/>
      <c r="JR55" s="5"/>
      <c r="JS55" s="6"/>
      <c r="JT55" s="23"/>
      <c r="JU55" s="13"/>
      <c r="JV55" s="6"/>
      <c r="JW55" s="6"/>
      <c r="JX55" s="6"/>
      <c r="JY55" s="6"/>
      <c r="JZ55" s="10"/>
      <c r="KA55" s="10"/>
      <c r="KB55" s="10"/>
      <c r="KC55" s="10"/>
      <c r="KD55" s="5"/>
      <c r="KE55" s="6"/>
    </row>
    <row r="56" spans="6:291" ht="14.4" customHeight="1" x14ac:dyDescent="0.3">
      <c r="F56" s="17"/>
      <c r="G56" s="9"/>
      <c r="H56" s="3"/>
      <c r="I56" s="3"/>
      <c r="J56" s="3"/>
      <c r="K56" s="3"/>
      <c r="L56" s="3"/>
      <c r="M56" s="3"/>
      <c r="N56" s="3"/>
      <c r="O56" s="3"/>
      <c r="P56" s="4"/>
      <c r="Q56" s="5"/>
      <c r="R56" s="5"/>
      <c r="S56" s="5"/>
      <c r="T56" s="6"/>
      <c r="U56" s="5"/>
      <c r="V56" s="6"/>
      <c r="W56" s="7"/>
      <c r="X56" s="8"/>
      <c r="Y56" s="6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6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C56" s="6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M56" s="19"/>
      <c r="JN56" s="1">
        <v>54</v>
      </c>
      <c r="JO56" s="5">
        <f>HLOOKUP(JM56,HC$2:JK56,2+JN55,0)-IF(KE56&gt;0,KE56,0)</f>
        <v>0</v>
      </c>
      <c r="JP56" s="5"/>
      <c r="JQ56" s="5"/>
      <c r="JR56" s="5"/>
      <c r="JS56" s="6"/>
      <c r="JT56" s="23"/>
      <c r="JU56" s="13"/>
      <c r="JV56" s="6"/>
      <c r="JW56" s="6"/>
      <c r="JX56" s="6"/>
      <c r="JY56" s="6"/>
      <c r="JZ56" s="10"/>
      <c r="KA56" s="10"/>
      <c r="KB56" s="10"/>
      <c r="KC56" s="10"/>
      <c r="KD56" s="5"/>
      <c r="KE56" s="6"/>
    </row>
    <row r="57" spans="6:291" x14ac:dyDescent="0.3">
      <c r="F57" s="17"/>
      <c r="G57" s="9"/>
      <c r="H57" s="3"/>
      <c r="I57" s="3"/>
      <c r="J57" s="3"/>
      <c r="K57" s="3"/>
      <c r="L57" s="3"/>
      <c r="M57" s="3"/>
      <c r="N57" s="3"/>
      <c r="O57" s="3"/>
      <c r="P57" s="4"/>
      <c r="Q57" s="5"/>
      <c r="R57" s="5"/>
      <c r="S57" s="5"/>
      <c r="T57" s="6"/>
      <c r="U57" s="5"/>
      <c r="V57" s="6"/>
      <c r="W57" s="7"/>
      <c r="X57" s="8"/>
      <c r="Y57" s="6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6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C57" s="6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M57" s="19"/>
      <c r="JN57" s="1">
        <v>55</v>
      </c>
      <c r="JO57" s="5">
        <f>HLOOKUP(JM57,HC$2:JK57,2+JN56,0)-IF(KE57&gt;0,KE57,0)</f>
        <v>0</v>
      </c>
      <c r="JP57" s="5"/>
      <c r="JQ57" s="5"/>
      <c r="JR57" s="5"/>
      <c r="JS57" s="6"/>
      <c r="JT57" s="23"/>
      <c r="JU57" s="13"/>
      <c r="JV57" s="6"/>
      <c r="JW57" s="6"/>
      <c r="JX57" s="6"/>
      <c r="JY57" s="6"/>
      <c r="JZ57" s="10"/>
      <c r="KA57" s="10"/>
      <c r="KB57" s="10"/>
      <c r="KC57" s="10"/>
      <c r="KD57" s="5"/>
      <c r="KE57" s="6"/>
    </row>
    <row r="58" spans="6:291" x14ac:dyDescent="0.3">
      <c r="F58" s="17"/>
      <c r="G58" s="9"/>
      <c r="H58" s="3"/>
      <c r="I58" s="3"/>
      <c r="J58" s="3"/>
      <c r="K58" s="3"/>
      <c r="L58" s="3"/>
      <c r="M58" s="3"/>
      <c r="N58" s="3"/>
      <c r="O58" s="3"/>
      <c r="P58" s="4"/>
      <c r="Q58" s="5"/>
      <c r="R58" s="5"/>
      <c r="S58" s="5"/>
      <c r="T58" s="6"/>
      <c r="U58" s="5"/>
      <c r="V58" s="6"/>
      <c r="W58" s="7"/>
      <c r="X58" s="8"/>
      <c r="Y58" s="6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6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C58" s="6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  <c r="JE58" s="5"/>
      <c r="JF58" s="5"/>
      <c r="JG58" s="5"/>
      <c r="JH58" s="5"/>
      <c r="JI58" s="5"/>
      <c r="JJ58" s="5"/>
      <c r="JK58" s="5"/>
      <c r="JM58" s="19"/>
      <c r="JN58" s="1">
        <v>56</v>
      </c>
      <c r="JO58" s="5">
        <f>HLOOKUP(JM58,HC$2:JK58,2+JN57,0)-IF(KE58&gt;0,KE58,0)</f>
        <v>0</v>
      </c>
      <c r="JP58" s="5"/>
      <c r="JQ58" s="5"/>
      <c r="JR58" s="5"/>
      <c r="JS58" s="6"/>
      <c r="JT58" s="23"/>
      <c r="JU58" s="13"/>
      <c r="JV58" s="6"/>
      <c r="JW58" s="6"/>
      <c r="JX58" s="6"/>
      <c r="JY58" s="6"/>
      <c r="JZ58" s="10"/>
      <c r="KA58" s="10"/>
      <c r="KB58" s="10"/>
      <c r="KC58" s="10"/>
      <c r="KD58" s="5"/>
      <c r="KE58" s="6"/>
    </row>
    <row r="59" spans="6:291" x14ac:dyDescent="0.3">
      <c r="F59" s="17"/>
      <c r="G59" s="9"/>
      <c r="H59" s="3"/>
      <c r="I59" s="3"/>
      <c r="J59" s="3"/>
      <c r="K59" s="3"/>
      <c r="L59" s="3"/>
      <c r="M59" s="3"/>
      <c r="N59" s="3"/>
      <c r="O59" s="3"/>
      <c r="P59" s="4"/>
      <c r="Q59" s="5"/>
      <c r="R59" s="5"/>
      <c r="S59" s="5"/>
      <c r="T59" s="6"/>
      <c r="U59" s="5"/>
      <c r="V59" s="6"/>
      <c r="W59" s="7"/>
      <c r="X59" s="8"/>
      <c r="Y59" s="6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6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C59" s="6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  <c r="JE59" s="5"/>
      <c r="JF59" s="5"/>
      <c r="JG59" s="5"/>
      <c r="JH59" s="5"/>
      <c r="JI59" s="5"/>
      <c r="JJ59" s="5"/>
      <c r="JK59" s="5"/>
      <c r="JM59" s="19"/>
      <c r="JN59" s="1">
        <v>57</v>
      </c>
      <c r="JO59" s="5">
        <f>HLOOKUP(JM59,HC$2:JK59,2+JN58,0)-IF(KE59&gt;0,KE59,0)</f>
        <v>0</v>
      </c>
      <c r="JP59" s="5"/>
      <c r="JQ59" s="5"/>
      <c r="JR59" s="5"/>
      <c r="JS59" s="6"/>
      <c r="JT59" s="23"/>
      <c r="JU59" s="13"/>
      <c r="JV59" s="6"/>
      <c r="JW59" s="6"/>
      <c r="JX59" s="6"/>
      <c r="JY59" s="6"/>
      <c r="JZ59" s="10"/>
      <c r="KA59" s="10"/>
      <c r="KB59" s="10"/>
      <c r="KC59" s="10"/>
      <c r="KD59" s="5"/>
      <c r="KE59" s="6"/>
    </row>
    <row r="60" spans="6:291" ht="14.4" customHeight="1" x14ac:dyDescent="0.3">
      <c r="F60" s="17"/>
      <c r="G60" s="9"/>
      <c r="H60" s="3"/>
      <c r="I60" s="3"/>
      <c r="J60" s="3"/>
      <c r="K60" s="3"/>
      <c r="L60" s="3"/>
      <c r="M60" s="3"/>
      <c r="N60" s="3"/>
      <c r="O60" s="3"/>
      <c r="P60" s="4"/>
      <c r="Q60" s="5"/>
      <c r="R60" s="5"/>
      <c r="S60" s="5"/>
      <c r="T60" s="6"/>
      <c r="U60" s="5"/>
      <c r="V60" s="6"/>
      <c r="W60" s="7"/>
      <c r="X60" s="8"/>
      <c r="Y60" s="6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6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C60" s="6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M60" s="19"/>
      <c r="JN60" s="1">
        <v>58</v>
      </c>
      <c r="JO60" s="5">
        <f>HLOOKUP(JM60,HC$2:JK60,2+JN59,0)-IF(KE60&gt;0,KE60,0)</f>
        <v>0</v>
      </c>
      <c r="JP60" s="5"/>
      <c r="JQ60" s="5"/>
      <c r="JR60" s="5"/>
      <c r="JS60" s="6"/>
      <c r="JT60" s="23"/>
      <c r="JU60" s="13"/>
      <c r="JV60" s="6"/>
      <c r="JW60" s="6"/>
      <c r="JX60" s="6"/>
      <c r="JY60" s="6"/>
      <c r="JZ60" s="10"/>
      <c r="KA60" s="10"/>
      <c r="KB60" s="10"/>
      <c r="KC60" s="10"/>
      <c r="KD60" s="5"/>
      <c r="KE60" s="6"/>
    </row>
    <row r="61" spans="6:291" x14ac:dyDescent="0.3">
      <c r="F61" s="17"/>
      <c r="G61" s="9"/>
      <c r="H61" s="3"/>
      <c r="I61" s="3"/>
      <c r="J61" s="3"/>
      <c r="K61" s="3"/>
      <c r="L61" s="3"/>
      <c r="M61" s="3"/>
      <c r="N61" s="3"/>
      <c r="O61" s="3"/>
      <c r="P61" s="4"/>
      <c r="Q61" s="5"/>
      <c r="R61" s="5"/>
      <c r="S61" s="5"/>
      <c r="T61" s="6"/>
      <c r="U61" s="5"/>
      <c r="V61" s="6"/>
      <c r="W61" s="7"/>
      <c r="X61" s="8"/>
      <c r="Y61" s="6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6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C61" s="6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  <c r="JE61" s="5"/>
      <c r="JF61" s="5"/>
      <c r="JG61" s="5"/>
      <c r="JH61" s="5"/>
      <c r="JI61" s="5"/>
      <c r="JJ61" s="5"/>
      <c r="JK61" s="5"/>
      <c r="JM61" s="19"/>
      <c r="JN61" s="1">
        <v>59</v>
      </c>
      <c r="JO61" s="5">
        <f>HLOOKUP(JM61,HC$2:JK61,2+JN60,0)-IF(KE61&gt;0,KE61,0)</f>
        <v>0</v>
      </c>
      <c r="JP61" s="5"/>
      <c r="JQ61" s="5"/>
      <c r="JR61" s="5"/>
      <c r="JS61" s="6"/>
      <c r="JT61" s="23"/>
      <c r="JU61" s="13"/>
      <c r="JV61" s="6"/>
      <c r="JW61" s="6"/>
      <c r="JX61" s="6"/>
      <c r="JY61" s="6"/>
      <c r="JZ61" s="10"/>
      <c r="KA61" s="10"/>
      <c r="KB61" s="10"/>
      <c r="KC61" s="10"/>
      <c r="KD61" s="5"/>
      <c r="KE61" s="6"/>
    </row>
    <row r="62" spans="6:291" ht="14.4" customHeight="1" x14ac:dyDescent="0.3">
      <c r="F62" s="17"/>
      <c r="G62" s="9"/>
      <c r="H62" s="3"/>
      <c r="I62" s="3"/>
      <c r="J62" s="3"/>
      <c r="K62" s="3"/>
      <c r="L62" s="3"/>
      <c r="M62" s="3"/>
      <c r="N62" s="3"/>
      <c r="O62" s="3"/>
      <c r="P62" s="4"/>
      <c r="Q62" s="5"/>
      <c r="R62" s="5"/>
      <c r="S62" s="5"/>
      <c r="T62" s="6"/>
      <c r="U62" s="5"/>
      <c r="V62" s="6"/>
      <c r="W62" s="7"/>
      <c r="X62" s="8"/>
      <c r="Y62" s="6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6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C62" s="6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M62" s="19"/>
      <c r="JN62" s="1">
        <v>60</v>
      </c>
      <c r="JO62" s="5">
        <f>HLOOKUP(JM62,HC$2:JK62,2+JN61,0)-IF(KE62&gt;0,KE62,0)</f>
        <v>0</v>
      </c>
      <c r="JP62" s="5"/>
      <c r="JQ62" s="5"/>
      <c r="JR62" s="5"/>
      <c r="JS62" s="6"/>
      <c r="JT62" s="23"/>
      <c r="JU62" s="13"/>
      <c r="JV62" s="6"/>
      <c r="JW62" s="6"/>
      <c r="JX62" s="6"/>
      <c r="JY62" s="6"/>
      <c r="JZ62" s="10"/>
      <c r="KA62" s="10"/>
      <c r="KB62" s="10"/>
      <c r="KC62" s="10"/>
      <c r="KD62" s="5"/>
      <c r="KE62" s="6"/>
    </row>
    <row r="63" spans="6:291" x14ac:dyDescent="0.3">
      <c r="F63" s="17"/>
      <c r="G63" s="9"/>
      <c r="H63" s="3"/>
      <c r="I63" s="3"/>
      <c r="J63" s="3"/>
      <c r="K63" s="3"/>
      <c r="L63" s="3"/>
      <c r="M63" s="3"/>
      <c r="N63" s="3"/>
      <c r="O63" s="3"/>
      <c r="P63" s="4"/>
      <c r="Q63" s="5"/>
      <c r="R63" s="5"/>
      <c r="S63" s="5"/>
      <c r="T63" s="6"/>
      <c r="U63" s="5"/>
      <c r="V63" s="6"/>
      <c r="W63" s="7"/>
      <c r="X63" s="8"/>
      <c r="Y63" s="6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6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C63" s="6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  <c r="JE63" s="5"/>
      <c r="JF63" s="5"/>
      <c r="JG63" s="5"/>
      <c r="JH63" s="5"/>
      <c r="JI63" s="5"/>
      <c r="JJ63" s="5"/>
      <c r="JK63" s="5"/>
      <c r="JM63" s="19"/>
      <c r="JN63" s="1">
        <v>61</v>
      </c>
      <c r="JO63" s="5">
        <f>HLOOKUP(JM63,HC$2:JK63,2+JN62,0)-IF(KE63&gt;0,KE63,0)</f>
        <v>0</v>
      </c>
      <c r="JP63" s="5"/>
      <c r="JQ63" s="5"/>
      <c r="JR63" s="5"/>
      <c r="JS63" s="6"/>
      <c r="JT63" s="23"/>
      <c r="JU63" s="13"/>
      <c r="JV63" s="6"/>
      <c r="JW63" s="6"/>
      <c r="JX63" s="6"/>
      <c r="JY63" s="6"/>
      <c r="JZ63" s="10"/>
      <c r="KA63" s="10"/>
      <c r="KB63" s="10"/>
      <c r="KC63" s="10"/>
      <c r="KD63" s="5"/>
      <c r="KE63" s="6"/>
    </row>
    <row r="64" spans="6:291" ht="14.4" customHeight="1" x14ac:dyDescent="0.3">
      <c r="F64" s="17"/>
      <c r="G64" s="9"/>
      <c r="H64" s="3"/>
      <c r="I64" s="3"/>
      <c r="J64" s="3"/>
      <c r="K64" s="3"/>
      <c r="L64" s="3"/>
      <c r="M64" s="3"/>
      <c r="N64" s="3"/>
      <c r="O64" s="3"/>
      <c r="P64" s="4"/>
      <c r="Q64" s="5"/>
      <c r="R64" s="5"/>
      <c r="S64" s="5"/>
      <c r="T64" s="6"/>
      <c r="U64" s="5"/>
      <c r="V64" s="6"/>
      <c r="W64" s="7"/>
      <c r="X64" s="8"/>
      <c r="Y64" s="6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6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C64" s="6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  <c r="JE64" s="5"/>
      <c r="JF64" s="5"/>
      <c r="JG64" s="5"/>
      <c r="JH64" s="5"/>
      <c r="JI64" s="5"/>
      <c r="JJ64" s="5"/>
      <c r="JK64" s="5"/>
      <c r="JM64" s="19"/>
      <c r="JN64" s="1">
        <v>62</v>
      </c>
      <c r="JO64" s="5">
        <f>HLOOKUP(JM64,HC$2:JK64,2+JN63,0)-IF(KE64&gt;0,KE64,0)</f>
        <v>0</v>
      </c>
      <c r="JP64" s="5"/>
      <c r="JQ64" s="5"/>
      <c r="JR64" s="5"/>
      <c r="JS64" s="6"/>
      <c r="JT64" s="23"/>
      <c r="JU64" s="13"/>
      <c r="JV64" s="6"/>
      <c r="JW64" s="6"/>
      <c r="JX64" s="6"/>
      <c r="JY64" s="6"/>
      <c r="JZ64" s="10"/>
      <c r="KA64" s="10"/>
      <c r="KB64" s="10"/>
      <c r="KC64" s="10"/>
      <c r="KD64" s="5"/>
      <c r="KE64" s="6"/>
    </row>
    <row r="65" spans="6:291" ht="14.4" customHeight="1" x14ac:dyDescent="0.3">
      <c r="F65" s="17"/>
      <c r="G65" s="9"/>
      <c r="H65" s="3"/>
      <c r="I65" s="3"/>
      <c r="J65" s="3"/>
      <c r="K65" s="3"/>
      <c r="L65" s="3"/>
      <c r="M65" s="3"/>
      <c r="N65" s="3"/>
      <c r="O65" s="3"/>
      <c r="P65" s="4"/>
      <c r="Q65" s="5"/>
      <c r="R65" s="5"/>
      <c r="S65" s="5"/>
      <c r="T65" s="6"/>
      <c r="U65" s="5"/>
      <c r="V65" s="6"/>
      <c r="W65" s="7"/>
      <c r="X65" s="8"/>
      <c r="Y65" s="6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6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C65" s="6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  <c r="JE65" s="5"/>
      <c r="JF65" s="5"/>
      <c r="JG65" s="5"/>
      <c r="JH65" s="5"/>
      <c r="JI65" s="5"/>
      <c r="JJ65" s="5"/>
      <c r="JK65" s="5"/>
      <c r="JM65" s="19"/>
      <c r="JN65" s="1">
        <v>63</v>
      </c>
      <c r="JO65" s="5">
        <f>HLOOKUP(JM65,HC$2:JK65,2+JN64,0)-IF(KE65&gt;0,KE65,0)</f>
        <v>0</v>
      </c>
      <c r="JP65" s="5"/>
      <c r="JQ65" s="5"/>
      <c r="JR65" s="5"/>
      <c r="JS65" s="6"/>
      <c r="JT65" s="23"/>
      <c r="JU65" s="13"/>
      <c r="JV65" s="6"/>
      <c r="JW65" s="6"/>
      <c r="JX65" s="6"/>
      <c r="JY65" s="6"/>
      <c r="JZ65" s="10"/>
      <c r="KA65" s="10"/>
      <c r="KB65" s="10"/>
      <c r="KC65" s="10"/>
      <c r="KD65" s="5"/>
      <c r="KE65" s="6"/>
    </row>
    <row r="66" spans="6:291" x14ac:dyDescent="0.3">
      <c r="F66" s="17"/>
      <c r="G66" s="9"/>
      <c r="H66" s="3"/>
      <c r="I66" s="3"/>
      <c r="J66" s="3"/>
      <c r="K66" s="3"/>
      <c r="L66" s="3"/>
      <c r="M66" s="3"/>
      <c r="N66" s="3"/>
      <c r="O66" s="3"/>
      <c r="P66" s="4"/>
      <c r="Q66" s="5"/>
      <c r="R66" s="5"/>
      <c r="S66" s="5"/>
      <c r="T66" s="6"/>
      <c r="U66" s="5"/>
      <c r="V66" s="6"/>
      <c r="W66" s="7"/>
      <c r="X66" s="8"/>
      <c r="Y66" s="6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6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C66" s="6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  <c r="JE66" s="5"/>
      <c r="JF66" s="5"/>
      <c r="JG66" s="5"/>
      <c r="JH66" s="5"/>
      <c r="JI66" s="5"/>
      <c r="JJ66" s="5"/>
      <c r="JK66" s="5"/>
      <c r="JM66" s="19"/>
      <c r="JN66" s="1">
        <v>64</v>
      </c>
      <c r="JO66" s="5">
        <f>HLOOKUP(JM66,HC$2:JK66,2+JN65,0)-IF(KE66&gt;0,KE66,0)</f>
        <v>0</v>
      </c>
      <c r="JP66" s="5"/>
      <c r="JQ66" s="5"/>
      <c r="JR66" s="5"/>
      <c r="JS66" s="6"/>
      <c r="JT66" s="23"/>
      <c r="JU66" s="13"/>
      <c r="JV66" s="6"/>
      <c r="JW66" s="6"/>
      <c r="JX66" s="6"/>
      <c r="JY66" s="6"/>
      <c r="JZ66" s="10"/>
      <c r="KA66" s="10"/>
      <c r="KB66" s="10"/>
      <c r="KC66" s="10"/>
      <c r="KD66" s="5"/>
      <c r="KE66" s="6"/>
    </row>
    <row r="67" spans="6:291" x14ac:dyDescent="0.3">
      <c r="F67" s="17"/>
      <c r="G67" s="9"/>
      <c r="H67" s="3"/>
      <c r="I67" s="3"/>
      <c r="J67" s="3"/>
      <c r="K67" s="3"/>
      <c r="L67" s="3"/>
      <c r="M67" s="3"/>
      <c r="N67" s="3"/>
      <c r="O67" s="3"/>
      <c r="P67" s="4"/>
      <c r="Q67" s="5"/>
      <c r="R67" s="5"/>
      <c r="S67" s="5"/>
      <c r="T67" s="6"/>
      <c r="U67" s="5"/>
      <c r="V67" s="6"/>
      <c r="W67" s="7"/>
      <c r="X67" s="8"/>
      <c r="Y67" s="6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6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C67" s="6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M67" s="19"/>
      <c r="JN67" s="1">
        <v>65</v>
      </c>
      <c r="JO67" s="5">
        <f>HLOOKUP(JM67,HC$2:JK67,2+JN66,0)-IF(KE67&gt;0,KE67,0)</f>
        <v>0</v>
      </c>
      <c r="JP67" s="5"/>
      <c r="JQ67" s="5"/>
      <c r="JR67" s="5"/>
      <c r="JS67" s="6"/>
      <c r="JT67" s="23"/>
      <c r="JU67" s="13"/>
      <c r="JV67" s="6"/>
      <c r="JW67" s="6"/>
      <c r="JX67" s="6"/>
      <c r="JY67" s="6"/>
      <c r="JZ67" s="10"/>
      <c r="KA67" s="10"/>
      <c r="KB67" s="10"/>
      <c r="KC67" s="10"/>
      <c r="KD67" s="5"/>
      <c r="KE67" s="6"/>
    </row>
    <row r="68" spans="6:291" x14ac:dyDescent="0.3">
      <c r="F68" s="17"/>
      <c r="G68" s="9"/>
      <c r="H68" s="3"/>
      <c r="I68" s="3"/>
      <c r="J68" s="3"/>
      <c r="K68" s="3"/>
      <c r="L68" s="3"/>
      <c r="M68" s="3"/>
      <c r="N68" s="3"/>
      <c r="O68" s="3"/>
      <c r="P68" s="4"/>
      <c r="Q68" s="5"/>
      <c r="R68" s="5"/>
      <c r="S68" s="5"/>
      <c r="T68" s="6"/>
      <c r="U68" s="5"/>
      <c r="V68" s="6"/>
      <c r="W68" s="7"/>
      <c r="X68" s="8"/>
      <c r="Y68" s="6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6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C68" s="6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  <c r="JC68" s="5"/>
      <c r="JD68" s="5"/>
      <c r="JE68" s="5"/>
      <c r="JF68" s="5"/>
      <c r="JG68" s="5"/>
      <c r="JH68" s="5"/>
      <c r="JI68" s="5"/>
      <c r="JJ68" s="5"/>
      <c r="JK68" s="5"/>
      <c r="JM68" s="19"/>
      <c r="JN68" s="1">
        <v>66</v>
      </c>
      <c r="JO68" s="5">
        <f>HLOOKUP(JM68,HC$2:JK68,2+JN67,0)-IF(KE68&gt;0,KE68,0)</f>
        <v>0</v>
      </c>
      <c r="JP68" s="5"/>
      <c r="JQ68" s="5"/>
      <c r="JR68" s="5"/>
      <c r="JS68" s="6"/>
      <c r="JT68" s="23"/>
      <c r="JU68" s="13"/>
      <c r="JV68" s="6"/>
      <c r="JW68" s="6"/>
      <c r="JX68" s="6"/>
      <c r="JY68" s="6"/>
      <c r="JZ68" s="10"/>
      <c r="KA68" s="10"/>
      <c r="KB68" s="10"/>
      <c r="KC68" s="10"/>
      <c r="KD68" s="5"/>
      <c r="KE68" s="6"/>
    </row>
    <row r="69" spans="6:291" ht="14.4" customHeight="1" x14ac:dyDescent="0.3">
      <c r="F69" s="17"/>
      <c r="G69" s="9"/>
      <c r="H69" s="3"/>
      <c r="I69" s="3"/>
      <c r="J69" s="3"/>
      <c r="K69" s="3"/>
      <c r="L69" s="3"/>
      <c r="M69" s="3"/>
      <c r="N69" s="3"/>
      <c r="O69" s="3"/>
      <c r="P69" s="4"/>
      <c r="Q69" s="5"/>
      <c r="R69" s="5"/>
      <c r="S69" s="5"/>
      <c r="T69" s="6"/>
      <c r="U69" s="5"/>
      <c r="V69" s="6"/>
      <c r="W69" s="7"/>
      <c r="X69" s="8"/>
      <c r="Y69" s="6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6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C69" s="6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  <c r="JC69" s="5"/>
      <c r="JD69" s="5"/>
      <c r="JE69" s="5"/>
      <c r="JF69" s="5"/>
      <c r="JG69" s="5"/>
      <c r="JH69" s="5"/>
      <c r="JI69" s="5"/>
      <c r="JJ69" s="5"/>
      <c r="JK69" s="5"/>
      <c r="JM69" s="19"/>
      <c r="JN69" s="1">
        <v>67</v>
      </c>
      <c r="JO69" s="5">
        <f>HLOOKUP(JM69,HC$2:JK69,2+JN68,0)-IF(KE69&gt;0,KE69,0)</f>
        <v>0</v>
      </c>
      <c r="JP69" s="5"/>
      <c r="JQ69" s="5"/>
      <c r="JR69" s="5"/>
      <c r="JS69" s="6"/>
      <c r="JT69" s="23"/>
      <c r="JU69" s="13"/>
      <c r="JV69" s="6"/>
      <c r="JW69" s="6"/>
      <c r="JX69" s="6"/>
      <c r="JY69" s="6"/>
      <c r="JZ69" s="10"/>
      <c r="KA69" s="10"/>
      <c r="KB69" s="10"/>
      <c r="KC69" s="10"/>
      <c r="KD69" s="5"/>
      <c r="KE69" s="6"/>
    </row>
    <row r="70" spans="6:291" x14ac:dyDescent="0.3">
      <c r="F70" s="17"/>
      <c r="G70" s="9"/>
      <c r="H70" s="3"/>
      <c r="I70" s="3"/>
      <c r="J70" s="3"/>
      <c r="K70" s="3"/>
      <c r="L70" s="3"/>
      <c r="M70" s="3"/>
      <c r="N70" s="3"/>
      <c r="O70" s="3"/>
      <c r="P70" s="4"/>
      <c r="Q70" s="5"/>
      <c r="R70" s="5"/>
      <c r="S70" s="5"/>
      <c r="T70" s="6"/>
      <c r="U70" s="5"/>
      <c r="V70" s="6"/>
      <c r="W70" s="7"/>
      <c r="X70" s="8"/>
      <c r="Y70" s="6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6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C70" s="6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  <c r="JC70" s="5"/>
      <c r="JD70" s="5"/>
      <c r="JE70" s="5"/>
      <c r="JF70" s="5"/>
      <c r="JG70" s="5"/>
      <c r="JH70" s="5"/>
      <c r="JI70" s="5"/>
      <c r="JJ70" s="5"/>
      <c r="JK70" s="5"/>
      <c r="JM70" s="19"/>
      <c r="JN70" s="1">
        <v>68</v>
      </c>
      <c r="JO70" s="5">
        <f>HLOOKUP(JM70,HC$2:JK70,2+JN69,0)-IF(KE70&gt;0,KE70,0)</f>
        <v>0</v>
      </c>
      <c r="JP70" s="5"/>
      <c r="JQ70" s="5"/>
      <c r="JR70" s="5"/>
      <c r="JS70" s="6"/>
      <c r="JT70" s="23"/>
      <c r="JU70" s="13"/>
      <c r="JV70" s="6"/>
      <c r="JW70" s="6"/>
      <c r="JX70" s="6"/>
      <c r="JY70" s="6"/>
      <c r="JZ70" s="10"/>
      <c r="KA70" s="10"/>
      <c r="KB70" s="10"/>
      <c r="KC70" s="10"/>
      <c r="KD70" s="5"/>
      <c r="KE70" s="6"/>
    </row>
    <row r="71" spans="6:291" x14ac:dyDescent="0.3">
      <c r="F71" s="17"/>
      <c r="G71" s="9"/>
      <c r="H71" s="3"/>
      <c r="I71" s="3"/>
      <c r="J71" s="3"/>
      <c r="K71" s="3"/>
      <c r="L71" s="3"/>
      <c r="M71" s="3"/>
      <c r="N71" s="3"/>
      <c r="O71" s="3"/>
      <c r="P71" s="4"/>
      <c r="Q71" s="5"/>
      <c r="R71" s="5"/>
      <c r="S71" s="5"/>
      <c r="T71" s="6"/>
      <c r="U71" s="5"/>
      <c r="V71" s="6"/>
      <c r="W71" s="7"/>
      <c r="X71" s="8"/>
      <c r="Y71" s="6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6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C71" s="6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  <c r="JC71" s="5"/>
      <c r="JD71" s="5"/>
      <c r="JE71" s="5"/>
      <c r="JF71" s="5"/>
      <c r="JG71" s="5"/>
      <c r="JH71" s="5"/>
      <c r="JI71" s="5"/>
      <c r="JJ71" s="5"/>
      <c r="JK71" s="5"/>
      <c r="JM71" s="19"/>
      <c r="JN71" s="1">
        <v>69</v>
      </c>
      <c r="JO71" s="5">
        <f>HLOOKUP(JM71,HC$2:JK71,2+JN70,0)-IF(KE71&gt;0,KE71,0)</f>
        <v>0</v>
      </c>
      <c r="JP71" s="5"/>
      <c r="JQ71" s="5"/>
      <c r="JR71" s="5"/>
      <c r="JS71" s="6"/>
      <c r="JT71" s="23"/>
      <c r="JU71" s="13"/>
      <c r="JV71" s="6"/>
      <c r="JW71" s="6"/>
      <c r="JX71" s="6"/>
      <c r="JY71" s="6"/>
      <c r="JZ71" s="10"/>
      <c r="KA71" s="10"/>
      <c r="KB71" s="10"/>
      <c r="KC71" s="10"/>
      <c r="KD71" s="5"/>
      <c r="KE71" s="6"/>
    </row>
    <row r="72" spans="6:291" x14ac:dyDescent="0.3">
      <c r="F72" s="17"/>
      <c r="G72" s="9"/>
      <c r="H72" s="3"/>
      <c r="I72" s="3"/>
      <c r="J72" s="3"/>
      <c r="K72" s="3"/>
      <c r="L72" s="3"/>
      <c r="M72" s="3"/>
      <c r="N72" s="3"/>
      <c r="O72" s="3"/>
      <c r="P72" s="4"/>
      <c r="Q72" s="5"/>
      <c r="R72" s="5"/>
      <c r="S72" s="5"/>
      <c r="T72" s="6"/>
      <c r="U72" s="5"/>
      <c r="V72" s="6"/>
      <c r="W72" s="7"/>
      <c r="X72" s="8"/>
      <c r="Y72" s="6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6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C72" s="6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  <c r="JC72" s="5"/>
      <c r="JD72" s="5"/>
      <c r="JE72" s="5"/>
      <c r="JF72" s="5"/>
      <c r="JG72" s="5"/>
      <c r="JH72" s="5"/>
      <c r="JI72" s="5"/>
      <c r="JJ72" s="5"/>
      <c r="JK72" s="5"/>
      <c r="JM72" s="19"/>
      <c r="JN72" s="1">
        <v>70</v>
      </c>
      <c r="JO72" s="5">
        <f>HLOOKUP(JM72,HC$2:JK72,2+JN71,0)-IF(KE72&gt;0,KE72,0)</f>
        <v>0</v>
      </c>
      <c r="JP72" s="5"/>
      <c r="JQ72" s="5"/>
      <c r="JR72" s="5"/>
      <c r="JS72" s="6"/>
      <c r="JT72" s="23"/>
      <c r="JU72" s="13"/>
      <c r="JV72" s="6"/>
      <c r="JW72" s="6"/>
      <c r="JX72" s="6"/>
      <c r="JY72" s="6"/>
      <c r="JZ72" s="10"/>
      <c r="KA72" s="10"/>
      <c r="KB72" s="10"/>
      <c r="KC72" s="10"/>
      <c r="KD72" s="5"/>
      <c r="KE72" s="6"/>
    </row>
    <row r="73" spans="6:291" ht="14.4" customHeight="1" x14ac:dyDescent="0.3">
      <c r="F73" s="17"/>
      <c r="G73" s="9"/>
      <c r="H73" s="3"/>
      <c r="I73" s="3"/>
      <c r="J73" s="3"/>
      <c r="K73" s="3"/>
      <c r="L73" s="3"/>
      <c r="M73" s="3"/>
      <c r="N73" s="3"/>
      <c r="O73" s="3"/>
      <c r="P73" s="4"/>
      <c r="Q73" s="5"/>
      <c r="R73" s="5"/>
      <c r="S73" s="5"/>
      <c r="T73" s="6"/>
      <c r="U73" s="5"/>
      <c r="V73" s="6"/>
      <c r="W73" s="7"/>
      <c r="X73" s="8"/>
      <c r="Y73" s="6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6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C73" s="6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  <c r="JC73" s="5"/>
      <c r="JD73" s="5"/>
      <c r="JE73" s="5"/>
      <c r="JF73" s="5"/>
      <c r="JG73" s="5"/>
      <c r="JH73" s="5"/>
      <c r="JI73" s="5"/>
      <c r="JJ73" s="5"/>
      <c r="JK73" s="5"/>
      <c r="JM73" s="19"/>
      <c r="JN73" s="1">
        <v>71</v>
      </c>
      <c r="JO73" s="5">
        <f>HLOOKUP(JM73,HC$2:JK73,2+JN72,0)-IF(KE73&gt;0,KE73,0)</f>
        <v>0</v>
      </c>
      <c r="JP73" s="5"/>
      <c r="JQ73" s="5"/>
      <c r="JR73" s="5"/>
      <c r="JS73" s="6"/>
      <c r="JT73" s="23"/>
      <c r="JU73" s="13"/>
      <c r="JV73" s="6"/>
      <c r="JW73" s="6"/>
      <c r="JX73" s="6"/>
      <c r="JY73" s="6"/>
      <c r="JZ73" s="10"/>
      <c r="KA73" s="10"/>
      <c r="KB73" s="10"/>
      <c r="KC73" s="10"/>
      <c r="KD73" s="5"/>
      <c r="KE73" s="6"/>
    </row>
    <row r="74" spans="6:291" x14ac:dyDescent="0.3">
      <c r="F74" s="17"/>
      <c r="G74" s="9"/>
      <c r="H74" s="3"/>
      <c r="I74" s="3"/>
      <c r="J74" s="3"/>
      <c r="K74" s="3"/>
      <c r="L74" s="3"/>
      <c r="M74" s="3"/>
      <c r="N74" s="3"/>
      <c r="O74" s="3"/>
      <c r="P74" s="4"/>
      <c r="Q74" s="5"/>
      <c r="R74" s="5"/>
      <c r="S74" s="5"/>
      <c r="T74" s="6"/>
      <c r="U74" s="5"/>
      <c r="V74" s="6"/>
      <c r="W74" s="7"/>
      <c r="X74" s="8"/>
      <c r="Y74" s="6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6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C74" s="6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  <c r="JC74" s="5"/>
      <c r="JD74" s="5"/>
      <c r="JE74" s="5"/>
      <c r="JF74" s="5"/>
      <c r="JG74" s="5"/>
      <c r="JH74" s="5"/>
      <c r="JI74" s="5"/>
      <c r="JJ74" s="5"/>
      <c r="JK74" s="5"/>
      <c r="JM74" s="19"/>
      <c r="JN74" s="1">
        <v>72</v>
      </c>
      <c r="JO74" s="5">
        <f>HLOOKUP(JM74,HC$2:JK74,2+JN73,0)-IF(KE74&gt;0,KE74,0)</f>
        <v>0</v>
      </c>
      <c r="JP74" s="5"/>
      <c r="JQ74" s="5"/>
      <c r="JR74" s="5"/>
      <c r="JS74" s="6"/>
      <c r="JT74" s="23"/>
      <c r="JU74" s="13"/>
      <c r="JV74" s="6"/>
      <c r="JW74" s="6"/>
      <c r="JX74" s="6"/>
      <c r="JY74" s="6"/>
      <c r="JZ74" s="10"/>
      <c r="KA74" s="10"/>
      <c r="KB74" s="10"/>
      <c r="KC74" s="10"/>
      <c r="KD74" s="5"/>
      <c r="KE74" s="6"/>
    </row>
    <row r="75" spans="6:291" x14ac:dyDescent="0.3">
      <c r="F75" s="17"/>
      <c r="G75" s="9"/>
      <c r="H75" s="3"/>
      <c r="I75" s="3"/>
      <c r="J75" s="3"/>
      <c r="K75" s="3"/>
      <c r="L75" s="3"/>
      <c r="M75" s="3"/>
      <c r="N75" s="3"/>
      <c r="O75" s="3"/>
      <c r="P75" s="4"/>
      <c r="Q75" s="5"/>
      <c r="R75" s="5"/>
      <c r="S75" s="5"/>
      <c r="T75" s="6"/>
      <c r="U75" s="5"/>
      <c r="V75" s="6"/>
      <c r="W75" s="7"/>
      <c r="X75" s="8"/>
      <c r="Y75" s="6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6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C75" s="6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  <c r="JC75" s="5"/>
      <c r="JD75" s="5"/>
      <c r="JE75" s="5"/>
      <c r="JF75" s="5"/>
      <c r="JG75" s="5"/>
      <c r="JH75" s="5"/>
      <c r="JI75" s="5"/>
      <c r="JJ75" s="5"/>
      <c r="JK75" s="5"/>
      <c r="JM75" s="19"/>
      <c r="JN75" s="1">
        <v>73</v>
      </c>
      <c r="JO75" s="5">
        <f>HLOOKUP(JM75,HC$2:JK75,2+JN74,0)-IF(KE75&gt;0,KE75,0)</f>
        <v>0</v>
      </c>
      <c r="JP75" s="5"/>
      <c r="JQ75" s="5"/>
      <c r="JR75" s="5"/>
      <c r="JS75" s="6"/>
      <c r="JT75" s="23"/>
      <c r="JU75" s="13"/>
      <c r="JV75" s="6"/>
      <c r="JW75" s="6"/>
      <c r="JX75" s="6"/>
      <c r="JY75" s="6"/>
      <c r="JZ75" s="10"/>
      <c r="KA75" s="10"/>
      <c r="KB75" s="10"/>
      <c r="KC75" s="10"/>
      <c r="KD75" s="5"/>
      <c r="KE75" s="6"/>
    </row>
    <row r="76" spans="6:291" x14ac:dyDescent="0.3">
      <c r="F76" s="17"/>
      <c r="G76" s="9"/>
      <c r="H76" s="3"/>
      <c r="I76" s="3"/>
      <c r="J76" s="3"/>
      <c r="K76" s="3"/>
      <c r="L76" s="3"/>
      <c r="M76" s="3"/>
      <c r="N76" s="3"/>
      <c r="O76" s="3"/>
      <c r="P76" s="4"/>
      <c r="Q76" s="5"/>
      <c r="R76" s="5"/>
      <c r="S76" s="5"/>
      <c r="T76" s="6"/>
      <c r="U76" s="5"/>
      <c r="V76" s="6"/>
      <c r="W76" s="7"/>
      <c r="X76" s="8"/>
      <c r="Y76" s="6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6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C76" s="6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  <c r="JE76" s="5"/>
      <c r="JF76" s="5"/>
      <c r="JG76" s="5"/>
      <c r="JH76" s="5"/>
      <c r="JI76" s="5"/>
      <c r="JJ76" s="5"/>
      <c r="JK76" s="5"/>
      <c r="JM76" s="19"/>
      <c r="JN76" s="1">
        <v>74</v>
      </c>
      <c r="JO76" s="5">
        <f>HLOOKUP(JM76,HC$2:JK76,2+JN75,0)-IF(KE76&gt;0,KE76,0)</f>
        <v>0</v>
      </c>
      <c r="JP76" s="5"/>
      <c r="JQ76" s="5"/>
      <c r="JR76" s="5"/>
      <c r="JS76" s="6"/>
      <c r="JT76" s="23"/>
      <c r="JU76" s="13"/>
      <c r="JV76" s="6"/>
      <c r="JW76" s="6"/>
      <c r="JX76" s="6"/>
      <c r="JY76" s="6"/>
      <c r="JZ76" s="10"/>
      <c r="KA76" s="10"/>
      <c r="KB76" s="10"/>
      <c r="KC76" s="10"/>
      <c r="KD76" s="5"/>
      <c r="KE76" s="6"/>
    </row>
    <row r="77" spans="6:291" x14ac:dyDescent="0.3">
      <c r="F77" s="17"/>
      <c r="G77" s="9"/>
      <c r="H77" s="3"/>
      <c r="I77" s="3"/>
      <c r="J77" s="3"/>
      <c r="K77" s="3"/>
      <c r="L77" s="3"/>
      <c r="M77" s="3"/>
      <c r="N77" s="3"/>
      <c r="O77" s="3"/>
      <c r="P77" s="4"/>
      <c r="Q77" s="5"/>
      <c r="R77" s="5"/>
      <c r="S77" s="5"/>
      <c r="T77" s="6"/>
      <c r="U77" s="5"/>
      <c r="V77" s="6"/>
      <c r="W77" s="7"/>
      <c r="X77" s="8"/>
      <c r="Y77" s="6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6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C77" s="6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  <c r="JC77" s="5"/>
      <c r="JD77" s="5"/>
      <c r="JE77" s="5"/>
      <c r="JF77" s="5"/>
      <c r="JG77" s="5"/>
      <c r="JH77" s="5"/>
      <c r="JI77" s="5"/>
      <c r="JJ77" s="5"/>
      <c r="JK77" s="5"/>
      <c r="JM77" s="19"/>
      <c r="JN77" s="1">
        <v>75</v>
      </c>
      <c r="JO77" s="5">
        <f>HLOOKUP(JM77,HC$2:JK77,2+JN76,0)-IF(KE77&gt;0,KE77,0)</f>
        <v>0</v>
      </c>
      <c r="JP77" s="5"/>
      <c r="JQ77" s="5"/>
      <c r="JR77" s="5"/>
      <c r="JS77" s="6"/>
      <c r="JT77" s="23"/>
      <c r="JU77" s="13"/>
      <c r="JV77" s="6"/>
      <c r="JW77" s="6"/>
      <c r="JX77" s="6"/>
      <c r="JY77" s="6"/>
      <c r="JZ77" s="10"/>
      <c r="KA77" s="10"/>
      <c r="KB77" s="10"/>
      <c r="KC77" s="10"/>
      <c r="KD77" s="5"/>
      <c r="KE77" s="6"/>
    </row>
    <row r="78" spans="6:291" x14ac:dyDescent="0.3">
      <c r="F78" s="17"/>
      <c r="G78" s="9"/>
      <c r="H78" s="3"/>
      <c r="I78" s="3"/>
      <c r="J78" s="3"/>
      <c r="K78" s="3"/>
      <c r="L78" s="3"/>
      <c r="M78" s="3"/>
      <c r="N78" s="3"/>
      <c r="O78" s="3"/>
      <c r="P78" s="4"/>
      <c r="Q78" s="5"/>
      <c r="R78" s="5"/>
      <c r="S78" s="5"/>
      <c r="T78" s="6"/>
      <c r="U78" s="5"/>
      <c r="V78" s="6"/>
      <c r="W78" s="7"/>
      <c r="X78" s="8"/>
      <c r="Y78" s="6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6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C78" s="6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  <c r="JC78" s="5"/>
      <c r="JD78" s="5"/>
      <c r="JE78" s="5"/>
      <c r="JF78" s="5"/>
      <c r="JG78" s="5"/>
      <c r="JH78" s="5"/>
      <c r="JI78" s="5"/>
      <c r="JJ78" s="5"/>
      <c r="JK78" s="5"/>
      <c r="JM78" s="19"/>
      <c r="JN78" s="1">
        <v>76</v>
      </c>
      <c r="JO78" s="5">
        <f>HLOOKUP(JM78,HC$2:JK78,2+JN77,0)-IF(KE78&gt;0,KE78,0)</f>
        <v>0</v>
      </c>
      <c r="JP78" s="5"/>
      <c r="JQ78" s="5"/>
      <c r="JR78" s="5"/>
      <c r="JS78" s="6"/>
      <c r="JT78" s="23"/>
      <c r="JU78" s="13"/>
      <c r="JV78" s="6"/>
      <c r="JW78" s="6"/>
      <c r="JX78" s="6"/>
      <c r="JY78" s="6"/>
      <c r="JZ78" s="10"/>
      <c r="KA78" s="10"/>
      <c r="KB78" s="10"/>
      <c r="KC78" s="10"/>
      <c r="KD78" s="5"/>
      <c r="KE78" s="6"/>
    </row>
    <row r="79" spans="6:291" x14ac:dyDescent="0.3">
      <c r="F79" s="17"/>
      <c r="G79" s="9"/>
      <c r="H79" s="3"/>
      <c r="I79" s="3"/>
      <c r="J79" s="3"/>
      <c r="K79" s="3"/>
      <c r="L79" s="3"/>
      <c r="M79" s="3"/>
      <c r="N79" s="3"/>
      <c r="O79" s="3"/>
      <c r="P79" s="4"/>
      <c r="Q79" s="5"/>
      <c r="R79" s="5"/>
      <c r="S79" s="5"/>
      <c r="T79" s="6"/>
      <c r="U79" s="5"/>
      <c r="V79" s="6"/>
      <c r="W79" s="7"/>
      <c r="X79" s="8"/>
      <c r="Y79" s="6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6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C79" s="6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  <c r="JC79" s="5"/>
      <c r="JD79" s="5"/>
      <c r="JE79" s="5"/>
      <c r="JF79" s="5"/>
      <c r="JG79" s="5"/>
      <c r="JH79" s="5"/>
      <c r="JI79" s="5"/>
      <c r="JJ79" s="5"/>
      <c r="JK79" s="5"/>
      <c r="JM79" s="19"/>
      <c r="JN79" s="1">
        <v>77</v>
      </c>
      <c r="JO79" s="5">
        <f>HLOOKUP(JM79,HC$2:JK79,2+JN78,0)-IF(KE79&gt;0,KE79,0)</f>
        <v>0</v>
      </c>
      <c r="JP79" s="5"/>
      <c r="JQ79" s="5"/>
      <c r="JR79" s="5"/>
      <c r="JS79" s="6"/>
      <c r="JT79" s="23"/>
      <c r="JU79" s="13"/>
      <c r="JV79" s="6"/>
      <c r="JW79" s="6"/>
      <c r="JX79" s="6"/>
      <c r="JY79" s="6"/>
      <c r="JZ79" s="10"/>
      <c r="KA79" s="10"/>
      <c r="KB79" s="10"/>
      <c r="KC79" s="10"/>
      <c r="KD79" s="5"/>
      <c r="KE79" s="6"/>
    </row>
    <row r="80" spans="6:291" x14ac:dyDescent="0.3">
      <c r="F80" s="17"/>
      <c r="G80" s="9"/>
      <c r="H80" s="3"/>
      <c r="I80" s="3"/>
      <c r="J80" s="3"/>
      <c r="K80" s="3"/>
      <c r="L80" s="3"/>
      <c r="M80" s="3"/>
      <c r="N80" s="3"/>
      <c r="O80" s="3"/>
      <c r="P80" s="4"/>
      <c r="Q80" s="5"/>
      <c r="R80" s="5"/>
      <c r="S80" s="5"/>
      <c r="T80" s="6"/>
      <c r="U80" s="5"/>
      <c r="V80" s="6"/>
      <c r="W80" s="7"/>
      <c r="X80" s="8"/>
      <c r="Y80" s="6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6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C80" s="6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  <c r="JC80" s="5"/>
      <c r="JD80" s="5"/>
      <c r="JE80" s="5"/>
      <c r="JF80" s="5"/>
      <c r="JG80" s="5"/>
      <c r="JH80" s="5"/>
      <c r="JI80" s="5"/>
      <c r="JJ80" s="5"/>
      <c r="JK80" s="5"/>
      <c r="JM80" s="19"/>
      <c r="JN80" s="1">
        <v>78</v>
      </c>
      <c r="JO80" s="5">
        <f>HLOOKUP(JM80,HC$2:JK80,2+JN79,0)-IF(KE80&gt;0,KE80,0)</f>
        <v>0</v>
      </c>
      <c r="JP80" s="5"/>
      <c r="JQ80" s="5"/>
      <c r="JR80" s="5"/>
      <c r="JS80" s="6"/>
      <c r="JT80" s="23"/>
      <c r="JU80" s="13"/>
      <c r="JV80" s="6"/>
      <c r="JW80" s="6"/>
      <c r="JX80" s="6"/>
      <c r="JY80" s="6"/>
      <c r="JZ80" s="10"/>
      <c r="KA80" s="10"/>
      <c r="KB80" s="10"/>
      <c r="KC80" s="10"/>
      <c r="KD80" s="5"/>
      <c r="KE80" s="6"/>
    </row>
    <row r="81" spans="6:291" ht="14.4" customHeight="1" x14ac:dyDescent="0.3">
      <c r="F81" s="17"/>
      <c r="G81" s="9"/>
      <c r="H81" s="3"/>
      <c r="I81" s="3"/>
      <c r="J81" s="3"/>
      <c r="K81" s="3"/>
      <c r="L81" s="3"/>
      <c r="M81" s="3"/>
      <c r="N81" s="3"/>
      <c r="O81" s="3"/>
      <c r="P81" s="4"/>
      <c r="Q81" s="5"/>
      <c r="R81" s="5"/>
      <c r="S81" s="5"/>
      <c r="T81" s="6"/>
      <c r="U81" s="5"/>
      <c r="V81" s="6"/>
      <c r="W81" s="7"/>
      <c r="X81" s="8"/>
      <c r="Y81" s="6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6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C81" s="6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  <c r="JC81" s="5"/>
      <c r="JD81" s="5"/>
      <c r="JE81" s="5"/>
      <c r="JF81" s="5"/>
      <c r="JG81" s="5"/>
      <c r="JH81" s="5"/>
      <c r="JI81" s="5"/>
      <c r="JJ81" s="5"/>
      <c r="JK81" s="5"/>
      <c r="JM81" s="19"/>
      <c r="JN81" s="1">
        <v>79</v>
      </c>
      <c r="JO81" s="5">
        <f>HLOOKUP(JM81,HC$2:JK81,2+JN80,0)-IF(KE81&gt;0,KE81,0)</f>
        <v>0</v>
      </c>
      <c r="JP81" s="5"/>
      <c r="JQ81" s="5"/>
      <c r="JR81" s="5"/>
      <c r="JS81" s="6"/>
      <c r="JT81" s="23"/>
      <c r="JU81" s="13"/>
      <c r="JV81" s="6"/>
      <c r="JW81" s="6"/>
      <c r="JX81" s="6"/>
      <c r="JY81" s="6"/>
      <c r="JZ81" s="10"/>
      <c r="KA81" s="10"/>
      <c r="KB81" s="10"/>
      <c r="KC81" s="10"/>
      <c r="KD81" s="5"/>
      <c r="KE81" s="6"/>
    </row>
    <row r="82" spans="6:291" x14ac:dyDescent="0.3">
      <c r="F82" s="17"/>
      <c r="G82" s="9"/>
      <c r="H82" s="3"/>
      <c r="I82" s="3"/>
      <c r="J82" s="3"/>
      <c r="K82" s="3"/>
      <c r="L82" s="3"/>
      <c r="M82" s="3"/>
      <c r="N82" s="3"/>
      <c r="O82" s="3"/>
      <c r="P82" s="4"/>
      <c r="Q82" s="5"/>
      <c r="R82" s="5"/>
      <c r="S82" s="5"/>
      <c r="T82" s="6"/>
      <c r="U82" s="5"/>
      <c r="V82" s="6"/>
      <c r="W82" s="7"/>
      <c r="X82" s="8"/>
      <c r="Y82" s="6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6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C82" s="6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  <c r="JC82" s="5"/>
      <c r="JD82" s="5"/>
      <c r="JE82" s="5"/>
      <c r="JF82" s="5"/>
      <c r="JG82" s="5"/>
      <c r="JH82" s="5"/>
      <c r="JI82" s="5"/>
      <c r="JJ82" s="5"/>
      <c r="JK82" s="5"/>
      <c r="JM82" s="19"/>
      <c r="JN82" s="1">
        <v>80</v>
      </c>
      <c r="JO82" s="5">
        <f>HLOOKUP(JM82,HC$2:JK82,2+JN81,0)-IF(KE82&gt;0,KE82,0)</f>
        <v>0</v>
      </c>
      <c r="JP82" s="5"/>
      <c r="JQ82" s="5"/>
      <c r="JR82" s="5"/>
      <c r="JS82" s="6"/>
      <c r="JT82" s="23"/>
      <c r="JU82" s="13"/>
      <c r="JV82" s="6"/>
      <c r="JW82" s="6"/>
      <c r="JX82" s="6"/>
      <c r="JY82" s="6"/>
      <c r="JZ82" s="10"/>
      <c r="KA82" s="10"/>
      <c r="KB82" s="10"/>
      <c r="KC82" s="10"/>
      <c r="KD82" s="5"/>
      <c r="KE82" s="6"/>
    </row>
    <row r="83" spans="6:291" x14ac:dyDescent="0.3">
      <c r="F83" s="17"/>
      <c r="G83" s="9"/>
      <c r="H83" s="3"/>
      <c r="I83" s="3"/>
      <c r="J83" s="3"/>
      <c r="K83" s="3"/>
      <c r="L83" s="3"/>
      <c r="M83" s="3"/>
      <c r="N83" s="3"/>
      <c r="O83" s="3"/>
      <c r="P83" s="4"/>
      <c r="Q83" s="5"/>
      <c r="R83" s="5"/>
      <c r="S83" s="5"/>
      <c r="T83" s="6"/>
      <c r="U83" s="5"/>
      <c r="V83" s="6"/>
      <c r="W83" s="7"/>
      <c r="X83" s="8"/>
      <c r="Y83" s="6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6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C83" s="6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  <c r="JC83" s="5"/>
      <c r="JD83" s="5"/>
      <c r="JE83" s="5"/>
      <c r="JF83" s="5"/>
      <c r="JG83" s="5"/>
      <c r="JH83" s="5"/>
      <c r="JI83" s="5"/>
      <c r="JJ83" s="5"/>
      <c r="JK83" s="5"/>
      <c r="JM83" s="19"/>
      <c r="JN83" s="1">
        <v>81</v>
      </c>
      <c r="JO83" s="5">
        <f>HLOOKUP(JM83,HC$2:JK83,2+JN82,0)-IF(KE83&gt;0,KE83,0)</f>
        <v>0</v>
      </c>
      <c r="JP83" s="5"/>
      <c r="JQ83" s="5"/>
      <c r="JR83" s="5"/>
      <c r="JS83" s="6"/>
      <c r="JT83" s="23"/>
      <c r="JU83" s="13"/>
      <c r="JV83" s="6"/>
      <c r="JW83" s="6"/>
      <c r="JX83" s="6"/>
      <c r="JY83" s="6"/>
      <c r="JZ83" s="10"/>
      <c r="KA83" s="10"/>
      <c r="KB83" s="10"/>
      <c r="KC83" s="10"/>
      <c r="KD83" s="5"/>
      <c r="KE83" s="6"/>
    </row>
    <row r="84" spans="6:291" x14ac:dyDescent="0.3">
      <c r="F84" s="17"/>
      <c r="G84" s="9"/>
      <c r="H84" s="3"/>
      <c r="I84" s="3"/>
      <c r="J84" s="3"/>
      <c r="K84" s="3"/>
      <c r="L84" s="3"/>
      <c r="M84" s="3"/>
      <c r="N84" s="3"/>
      <c r="O84" s="3"/>
      <c r="P84" s="4"/>
      <c r="Q84" s="5"/>
      <c r="R84" s="5"/>
      <c r="S84" s="5"/>
      <c r="T84" s="6"/>
      <c r="U84" s="5"/>
      <c r="V84" s="6"/>
      <c r="W84" s="7"/>
      <c r="X84" s="8"/>
      <c r="Y84" s="6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6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C84" s="6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  <c r="JC84" s="5"/>
      <c r="JD84" s="5"/>
      <c r="JE84" s="5"/>
      <c r="JF84" s="5"/>
      <c r="JG84" s="5"/>
      <c r="JH84" s="5"/>
      <c r="JI84" s="5"/>
      <c r="JJ84" s="5"/>
      <c r="JK84" s="5"/>
      <c r="JM84" s="19"/>
      <c r="JN84" s="1">
        <v>82</v>
      </c>
      <c r="JO84" s="5">
        <f>HLOOKUP(JM84,HC$2:JK84,2+JN83,0)-IF(KE84&gt;0,KE84,0)</f>
        <v>0</v>
      </c>
      <c r="JP84" s="5"/>
      <c r="JQ84" s="5"/>
      <c r="JR84" s="5"/>
      <c r="JS84" s="6"/>
      <c r="JT84" s="23"/>
      <c r="JU84" s="13"/>
      <c r="JV84" s="6"/>
      <c r="JW84" s="6"/>
      <c r="JX84" s="6"/>
      <c r="JY84" s="6"/>
      <c r="JZ84" s="10"/>
      <c r="KA84" s="10"/>
      <c r="KB84" s="10"/>
      <c r="KC84" s="10"/>
      <c r="KD84" s="5"/>
      <c r="KE84" s="6"/>
    </row>
    <row r="85" spans="6:291" x14ac:dyDescent="0.3">
      <c r="F85" s="17"/>
      <c r="G85" s="9"/>
      <c r="H85" s="3"/>
      <c r="I85" s="3"/>
      <c r="J85" s="3"/>
      <c r="K85" s="3"/>
      <c r="L85" s="3"/>
      <c r="M85" s="3"/>
      <c r="N85" s="3"/>
      <c r="O85" s="3"/>
      <c r="P85" s="4"/>
      <c r="Q85" s="5"/>
      <c r="R85" s="5"/>
      <c r="S85" s="5"/>
      <c r="T85" s="6"/>
      <c r="U85" s="5"/>
      <c r="V85" s="6"/>
      <c r="W85" s="7"/>
      <c r="X85" s="8"/>
      <c r="Y85" s="6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6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C85" s="6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M85" s="19"/>
      <c r="JN85" s="1">
        <v>83</v>
      </c>
      <c r="JO85" s="5">
        <f>HLOOKUP(JM85,HC$2:JK85,2+JN84,0)-IF(KE85&gt;0,KE85,0)</f>
        <v>0</v>
      </c>
      <c r="JP85" s="5"/>
      <c r="JQ85" s="5"/>
      <c r="JR85" s="5"/>
      <c r="JS85" s="6"/>
      <c r="JT85" s="23"/>
      <c r="JU85" s="13"/>
      <c r="JV85" s="6"/>
      <c r="JW85" s="6"/>
      <c r="JX85" s="6"/>
      <c r="JY85" s="6"/>
      <c r="JZ85" s="10"/>
      <c r="KA85" s="10"/>
      <c r="KB85" s="10"/>
      <c r="KC85" s="10"/>
      <c r="KD85" s="5"/>
      <c r="KE85" s="6"/>
    </row>
    <row r="86" spans="6:291" ht="14.4" customHeight="1" x14ac:dyDescent="0.3">
      <c r="F86" s="17"/>
      <c r="G86" s="9"/>
      <c r="H86" s="3"/>
      <c r="I86" s="3"/>
      <c r="J86" s="3"/>
      <c r="K86" s="3"/>
      <c r="L86" s="3"/>
      <c r="M86" s="3"/>
      <c r="N86" s="3"/>
      <c r="O86" s="3"/>
      <c r="P86" s="4"/>
      <c r="Q86" s="5"/>
      <c r="R86" s="5"/>
      <c r="S86" s="5"/>
      <c r="T86" s="6"/>
      <c r="U86" s="5"/>
      <c r="V86" s="6"/>
      <c r="W86" s="7"/>
      <c r="X86" s="8"/>
      <c r="Y86" s="6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6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C86" s="6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M86" s="19"/>
      <c r="JN86" s="1">
        <v>84</v>
      </c>
      <c r="JO86" s="5">
        <f>HLOOKUP(JM86,HC$2:JK86,2+JN85,0)-IF(KE86&gt;0,KE86,0)</f>
        <v>0</v>
      </c>
      <c r="JP86" s="5"/>
      <c r="JQ86" s="5"/>
      <c r="JR86" s="5"/>
      <c r="JS86" s="6"/>
      <c r="JT86" s="23"/>
      <c r="JU86" s="13"/>
      <c r="JV86" s="6"/>
      <c r="JW86" s="6"/>
      <c r="JX86" s="6"/>
      <c r="JY86" s="6"/>
      <c r="JZ86" s="10"/>
      <c r="KA86" s="10"/>
      <c r="KB86" s="10"/>
      <c r="KC86" s="10"/>
      <c r="KD86" s="5"/>
      <c r="KE86" s="6"/>
    </row>
    <row r="87" spans="6:291" ht="14.4" customHeight="1" x14ac:dyDescent="0.3">
      <c r="F87" s="17"/>
      <c r="G87" s="9"/>
      <c r="H87" s="3"/>
      <c r="I87" s="3"/>
      <c r="J87" s="3"/>
      <c r="K87" s="3"/>
      <c r="L87" s="3"/>
      <c r="M87" s="3"/>
      <c r="N87" s="3"/>
      <c r="O87" s="3"/>
      <c r="P87" s="4"/>
      <c r="Q87" s="5"/>
      <c r="R87" s="5"/>
      <c r="S87" s="5"/>
      <c r="T87" s="6"/>
      <c r="U87" s="5"/>
      <c r="V87" s="6"/>
      <c r="W87" s="7"/>
      <c r="X87" s="8"/>
      <c r="Y87" s="6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6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C87" s="6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M87" s="19"/>
      <c r="JN87" s="1">
        <v>85</v>
      </c>
      <c r="JO87" s="5">
        <f>HLOOKUP(JM87,HC$2:JK87,2+JN86,0)-IF(KE87&gt;0,KE87,0)</f>
        <v>0</v>
      </c>
      <c r="JP87" s="5"/>
      <c r="JQ87" s="5"/>
      <c r="JR87" s="5"/>
      <c r="JS87" s="6"/>
      <c r="JT87" s="23"/>
      <c r="JU87" s="13"/>
      <c r="JV87" s="6"/>
      <c r="JW87" s="6"/>
      <c r="JX87" s="6"/>
      <c r="JY87" s="6"/>
      <c r="JZ87" s="10"/>
      <c r="KA87" s="10"/>
      <c r="KB87" s="10"/>
      <c r="KC87" s="10"/>
      <c r="KD87" s="5"/>
      <c r="KE87" s="6"/>
    </row>
    <row r="88" spans="6:291" ht="14.4" customHeight="1" x14ac:dyDescent="0.3">
      <c r="F88" s="17"/>
      <c r="G88" s="9"/>
      <c r="H88" s="3"/>
      <c r="I88" s="3"/>
      <c r="J88" s="3"/>
      <c r="K88" s="3"/>
      <c r="L88" s="3"/>
      <c r="M88" s="3"/>
      <c r="N88" s="3"/>
      <c r="O88" s="3"/>
      <c r="P88" s="4"/>
      <c r="Q88" s="5"/>
      <c r="R88" s="5"/>
      <c r="S88" s="5"/>
      <c r="T88" s="6"/>
      <c r="U88" s="5"/>
      <c r="V88" s="6"/>
      <c r="W88" s="7"/>
      <c r="X88" s="8"/>
      <c r="Y88" s="6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6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C88" s="6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  <c r="JC88" s="5"/>
      <c r="JD88" s="5"/>
      <c r="JE88" s="5"/>
      <c r="JF88" s="5"/>
      <c r="JG88" s="5"/>
      <c r="JH88" s="5"/>
      <c r="JI88" s="5"/>
      <c r="JJ88" s="5"/>
      <c r="JK88" s="5"/>
      <c r="JM88" s="19"/>
      <c r="JN88" s="1">
        <v>86</v>
      </c>
      <c r="JO88" s="5">
        <f>HLOOKUP(JM88,HC$2:JK88,2+JN87,0)-IF(KE88&gt;0,KE88,0)</f>
        <v>0</v>
      </c>
      <c r="JP88" s="5"/>
      <c r="JQ88" s="5"/>
      <c r="JR88" s="5"/>
      <c r="JS88" s="6"/>
      <c r="JT88" s="23"/>
      <c r="JU88" s="13"/>
      <c r="JV88" s="6"/>
      <c r="JW88" s="6"/>
      <c r="JX88" s="6"/>
      <c r="JY88" s="6"/>
      <c r="JZ88" s="10"/>
      <c r="KA88" s="10"/>
      <c r="KB88" s="10"/>
      <c r="KC88" s="10"/>
      <c r="KD88" s="5"/>
      <c r="KE88" s="6"/>
    </row>
    <row r="89" spans="6:291" ht="14.4" customHeight="1" x14ac:dyDescent="0.3">
      <c r="F89" s="17"/>
      <c r="G89" s="9"/>
      <c r="H89" s="3"/>
      <c r="I89" s="3"/>
      <c r="J89" s="3"/>
      <c r="K89" s="3"/>
      <c r="L89" s="3"/>
      <c r="M89" s="3"/>
      <c r="N89" s="3"/>
      <c r="O89" s="3"/>
      <c r="P89" s="4"/>
      <c r="Q89" s="5"/>
      <c r="R89" s="5"/>
      <c r="S89" s="5"/>
      <c r="T89" s="6"/>
      <c r="U89" s="5"/>
      <c r="V89" s="6"/>
      <c r="W89" s="7"/>
      <c r="X89" s="8"/>
      <c r="Y89" s="6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6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C89" s="6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M89" s="19"/>
      <c r="JN89" s="1">
        <v>87</v>
      </c>
      <c r="JO89" s="5">
        <f>HLOOKUP(JM89,HC$2:JK89,2+JN88,0)-IF(KE89&gt;0,KE89,0)</f>
        <v>0</v>
      </c>
      <c r="JP89" s="5"/>
      <c r="JQ89" s="5"/>
      <c r="JR89" s="5"/>
      <c r="JS89" s="6"/>
      <c r="JT89" s="23"/>
      <c r="JU89" s="13"/>
      <c r="JV89" s="6"/>
      <c r="JW89" s="6"/>
      <c r="JX89" s="6"/>
      <c r="JY89" s="6"/>
      <c r="JZ89" s="10"/>
      <c r="KA89" s="10"/>
      <c r="KB89" s="10"/>
      <c r="KC89" s="10"/>
      <c r="KD89" s="5"/>
      <c r="KE89" s="6"/>
    </row>
    <row r="90" spans="6:291" ht="14.4" customHeight="1" x14ac:dyDescent="0.3">
      <c r="F90" s="17"/>
      <c r="G90" s="9"/>
      <c r="H90" s="3"/>
      <c r="I90" s="3"/>
      <c r="J90" s="3"/>
      <c r="K90" s="3"/>
      <c r="L90" s="3"/>
      <c r="M90" s="3"/>
      <c r="N90" s="3"/>
      <c r="O90" s="3"/>
      <c r="P90" s="4"/>
      <c r="Q90" s="5"/>
      <c r="R90" s="5"/>
      <c r="S90" s="5"/>
      <c r="T90" s="6"/>
      <c r="U90" s="5"/>
      <c r="V90" s="6"/>
      <c r="W90" s="7"/>
      <c r="X90" s="8"/>
      <c r="Y90" s="6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6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C90" s="6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M90" s="19"/>
      <c r="JN90" s="1">
        <v>88</v>
      </c>
      <c r="JO90" s="5">
        <f>HLOOKUP(JM90,HC$2:JK90,2+JN89,0)-IF(KE90&gt;0,KE90,0)</f>
        <v>0</v>
      </c>
      <c r="JP90" s="5"/>
      <c r="JQ90" s="5"/>
      <c r="JR90" s="5"/>
      <c r="JS90" s="6"/>
      <c r="JT90" s="23"/>
      <c r="JU90" s="13"/>
      <c r="JV90" s="6"/>
      <c r="JW90" s="6"/>
      <c r="JX90" s="6"/>
      <c r="JY90" s="6"/>
      <c r="JZ90" s="10"/>
      <c r="KA90" s="10"/>
      <c r="KB90" s="10"/>
      <c r="KC90" s="10"/>
      <c r="KD90" s="5"/>
      <c r="KE90" s="6"/>
    </row>
    <row r="91" spans="6:291" ht="14.4" customHeight="1" x14ac:dyDescent="0.3">
      <c r="F91" s="17"/>
      <c r="G91" s="9"/>
      <c r="H91" s="3"/>
      <c r="I91" s="3"/>
      <c r="J91" s="3"/>
      <c r="K91" s="3"/>
      <c r="L91" s="3"/>
      <c r="M91" s="3"/>
      <c r="N91" s="3"/>
      <c r="O91" s="3"/>
      <c r="P91" s="4"/>
      <c r="Q91" s="5"/>
      <c r="R91" s="5"/>
      <c r="S91" s="5"/>
      <c r="T91" s="6"/>
      <c r="U91" s="5"/>
      <c r="V91" s="6"/>
      <c r="W91" s="7"/>
      <c r="X91" s="8"/>
      <c r="Y91" s="6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6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C91" s="6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M91" s="19"/>
      <c r="JN91" s="1">
        <v>89</v>
      </c>
      <c r="JO91" s="5">
        <f>HLOOKUP(JM91,HC$2:JK91,2+JN90,0)-IF(KE91&gt;0,KE91,0)</f>
        <v>0</v>
      </c>
      <c r="JP91" s="5"/>
      <c r="JQ91" s="5"/>
      <c r="JR91" s="5"/>
      <c r="JS91" s="6"/>
      <c r="JT91" s="23"/>
      <c r="JU91" s="13"/>
      <c r="JV91" s="6"/>
      <c r="JW91" s="6"/>
      <c r="JX91" s="6"/>
      <c r="JY91" s="6"/>
      <c r="JZ91" s="10"/>
      <c r="KA91" s="10"/>
      <c r="KB91" s="10"/>
      <c r="KC91" s="10"/>
      <c r="KD91" s="5"/>
      <c r="KE91" s="6"/>
    </row>
    <row r="92" spans="6:291" ht="14.4" customHeight="1" x14ac:dyDescent="0.3">
      <c r="F92" s="17"/>
      <c r="G92" s="9"/>
      <c r="H92" s="3"/>
      <c r="I92" s="3"/>
      <c r="J92" s="3"/>
      <c r="K92" s="3"/>
      <c r="L92" s="3"/>
      <c r="M92" s="3"/>
      <c r="N92" s="3"/>
      <c r="O92" s="3"/>
      <c r="P92" s="4"/>
      <c r="Q92" s="5"/>
      <c r="R92" s="5"/>
      <c r="S92" s="5"/>
      <c r="T92" s="6"/>
      <c r="U92" s="5"/>
      <c r="V92" s="6"/>
      <c r="W92" s="7"/>
      <c r="X92" s="8"/>
      <c r="Y92" s="6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6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C92" s="6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  <c r="JC92" s="5"/>
      <c r="JD92" s="5"/>
      <c r="JE92" s="5"/>
      <c r="JF92" s="5"/>
      <c r="JG92" s="5"/>
      <c r="JH92" s="5"/>
      <c r="JI92" s="5"/>
      <c r="JJ92" s="5"/>
      <c r="JK92" s="5"/>
      <c r="JM92" s="19"/>
      <c r="JN92" s="1">
        <v>90</v>
      </c>
      <c r="JO92" s="5">
        <f>HLOOKUP(JM92,HC$2:JK92,2+JN91,0)-IF(KE92&gt;0,KE92,0)</f>
        <v>0</v>
      </c>
      <c r="JP92" s="5"/>
      <c r="JQ92" s="5"/>
      <c r="JR92" s="5"/>
      <c r="JS92" s="6"/>
      <c r="JT92" s="23"/>
      <c r="JU92" s="13"/>
      <c r="JV92" s="6"/>
      <c r="JW92" s="6"/>
      <c r="JX92" s="6"/>
      <c r="JY92" s="6"/>
      <c r="JZ92" s="10"/>
      <c r="KA92" s="10"/>
      <c r="KB92" s="10"/>
      <c r="KC92" s="10"/>
      <c r="KD92" s="5"/>
      <c r="KE92" s="6"/>
    </row>
    <row r="93" spans="6:291" ht="14.4" customHeight="1" x14ac:dyDescent="0.3">
      <c r="F93" s="17"/>
      <c r="G93" s="9"/>
      <c r="H93" s="3"/>
      <c r="I93" s="3"/>
      <c r="J93" s="3"/>
      <c r="K93" s="3"/>
      <c r="L93" s="3"/>
      <c r="M93" s="3"/>
      <c r="N93" s="3"/>
      <c r="O93" s="3"/>
      <c r="P93" s="4"/>
      <c r="Q93" s="5"/>
      <c r="R93" s="5"/>
      <c r="S93" s="5"/>
      <c r="T93" s="6"/>
      <c r="U93" s="5"/>
      <c r="V93" s="6"/>
      <c r="W93" s="7"/>
      <c r="X93" s="8"/>
      <c r="Y93" s="6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6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C93" s="6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M93" s="19"/>
      <c r="JN93" s="1">
        <v>91</v>
      </c>
      <c r="JO93" s="5">
        <f>HLOOKUP(JM93,HC$2:JK93,2+JN92,0)-IF(KE93&gt;0,KE93,0)</f>
        <v>0</v>
      </c>
      <c r="JP93" s="5"/>
      <c r="JQ93" s="5"/>
      <c r="JR93" s="5"/>
      <c r="JS93" s="6"/>
      <c r="JT93" s="23"/>
      <c r="JU93" s="13"/>
      <c r="JV93" s="6"/>
      <c r="JW93" s="6"/>
      <c r="JX93" s="6"/>
      <c r="JY93" s="6"/>
      <c r="JZ93" s="10"/>
      <c r="KA93" s="10"/>
      <c r="KB93" s="10"/>
      <c r="KC93" s="10"/>
      <c r="KD93" s="5"/>
      <c r="KE93" s="6"/>
    </row>
    <row r="94" spans="6:291" ht="14.4" customHeight="1" x14ac:dyDescent="0.3">
      <c r="F94" s="17"/>
      <c r="G94" s="9"/>
      <c r="H94" s="3"/>
      <c r="I94" s="3"/>
      <c r="J94" s="3"/>
      <c r="K94" s="3"/>
      <c r="L94" s="3"/>
      <c r="M94" s="3"/>
      <c r="N94" s="3"/>
      <c r="O94" s="3"/>
      <c r="P94" s="4"/>
      <c r="Q94" s="5"/>
      <c r="R94" s="5"/>
      <c r="S94" s="5"/>
      <c r="T94" s="6"/>
      <c r="U94" s="5"/>
      <c r="V94" s="6"/>
      <c r="W94" s="7"/>
      <c r="X94" s="8"/>
      <c r="Y94" s="6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6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C94" s="6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M94" s="19"/>
      <c r="JN94" s="1">
        <v>92</v>
      </c>
      <c r="JO94" s="5">
        <f>HLOOKUP(JM94,HC$2:JK94,2+JN93,0)-IF(KE94&gt;0,KE94,0)</f>
        <v>0</v>
      </c>
      <c r="JP94" s="5"/>
      <c r="JQ94" s="5"/>
      <c r="JR94" s="5"/>
      <c r="JS94" s="6"/>
      <c r="JT94" s="23"/>
      <c r="JU94" s="13"/>
      <c r="JV94" s="6"/>
      <c r="JW94" s="6"/>
      <c r="JX94" s="6"/>
      <c r="JY94" s="6"/>
      <c r="JZ94" s="10"/>
      <c r="KA94" s="10"/>
      <c r="KB94" s="10"/>
      <c r="KC94" s="10"/>
      <c r="KD94" s="5"/>
      <c r="KE94" s="6"/>
    </row>
    <row r="95" spans="6:291" ht="14.4" customHeight="1" x14ac:dyDescent="0.3">
      <c r="F95" s="17"/>
      <c r="G95" s="9"/>
      <c r="H95" s="3"/>
      <c r="I95" s="3"/>
      <c r="J95" s="3"/>
      <c r="K95" s="3"/>
      <c r="L95" s="3"/>
      <c r="M95" s="3"/>
      <c r="N95" s="3"/>
      <c r="O95" s="3"/>
      <c r="P95" s="4"/>
      <c r="Q95" s="5"/>
      <c r="R95" s="5"/>
      <c r="S95" s="5"/>
      <c r="T95" s="6"/>
      <c r="U95" s="5"/>
      <c r="V95" s="6"/>
      <c r="W95" s="7"/>
      <c r="X95" s="8"/>
      <c r="Y95" s="6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6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C95" s="6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M95" s="19"/>
      <c r="JN95" s="1">
        <v>93</v>
      </c>
      <c r="JO95" s="5">
        <f>HLOOKUP(JM95,HC$2:JK95,2+JN94,0)-IF(KE95&gt;0,KE95,0)</f>
        <v>0</v>
      </c>
      <c r="JP95" s="5"/>
      <c r="JQ95" s="5"/>
      <c r="JR95" s="5"/>
      <c r="JS95" s="6"/>
      <c r="JT95" s="23"/>
      <c r="JU95" s="13"/>
      <c r="JV95" s="6"/>
      <c r="JW95" s="6"/>
      <c r="JX95" s="6"/>
      <c r="JY95" s="6"/>
      <c r="JZ95" s="10"/>
      <c r="KA95" s="10"/>
      <c r="KB95" s="10"/>
      <c r="KC95" s="10"/>
      <c r="KD95" s="5"/>
      <c r="KE95" s="6"/>
    </row>
    <row r="96" spans="6:291" ht="15" customHeight="1" x14ac:dyDescent="0.3">
      <c r="F96" s="17"/>
      <c r="G96" s="9"/>
      <c r="H96" s="3"/>
      <c r="I96" s="3"/>
      <c r="J96" s="3"/>
      <c r="K96" s="3"/>
      <c r="L96" s="3"/>
      <c r="M96" s="3"/>
      <c r="N96" s="3"/>
      <c r="O96" s="3"/>
      <c r="P96" s="4"/>
      <c r="Q96" s="5"/>
      <c r="R96" s="5"/>
      <c r="S96" s="5"/>
      <c r="T96" s="6"/>
      <c r="U96" s="5"/>
      <c r="V96" s="6"/>
      <c r="W96" s="7"/>
      <c r="X96" s="8"/>
      <c r="Y96" s="6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6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C96" s="6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  <c r="JC96" s="5"/>
      <c r="JD96" s="5"/>
      <c r="JE96" s="5"/>
      <c r="JF96" s="5"/>
      <c r="JG96" s="5"/>
      <c r="JH96" s="5"/>
      <c r="JI96" s="5"/>
      <c r="JJ96" s="5"/>
      <c r="JK96" s="5"/>
      <c r="JM96" s="19"/>
      <c r="JN96" s="1">
        <v>94</v>
      </c>
      <c r="JO96" s="5">
        <f>HLOOKUP(JM96,HC$2:JK96,2+JN95,0)-IF(KE96&gt;0,KE96,0)</f>
        <v>0</v>
      </c>
      <c r="JP96" s="5"/>
      <c r="JQ96" s="5"/>
      <c r="JR96" s="5"/>
      <c r="JS96" s="6"/>
      <c r="JT96" s="23"/>
      <c r="JU96" s="13"/>
      <c r="JV96" s="6"/>
      <c r="JW96" s="6"/>
      <c r="JX96" s="6"/>
      <c r="JY96" s="6"/>
      <c r="JZ96" s="10"/>
      <c r="KA96" s="10"/>
      <c r="KB96" s="10"/>
      <c r="KC96" s="10"/>
      <c r="KD96" s="5"/>
      <c r="KE96" s="6"/>
    </row>
    <row r="97" spans="6:291" x14ac:dyDescent="0.3">
      <c r="F97" s="17"/>
      <c r="G97" s="9"/>
      <c r="H97" s="3"/>
      <c r="I97" s="3"/>
      <c r="J97" s="3"/>
      <c r="K97" s="3"/>
      <c r="L97" s="3"/>
      <c r="M97" s="3"/>
      <c r="N97" s="3"/>
      <c r="O97" s="3"/>
      <c r="P97" s="4"/>
      <c r="Q97" s="5"/>
      <c r="R97" s="5"/>
      <c r="S97" s="5"/>
      <c r="T97" s="6"/>
      <c r="U97" s="5"/>
      <c r="V97" s="6"/>
      <c r="W97" s="7"/>
      <c r="X97" s="8"/>
      <c r="Y97" s="6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6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C97" s="6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M97" s="19"/>
      <c r="JN97" s="1">
        <v>95</v>
      </c>
      <c r="JO97" s="5">
        <f>HLOOKUP(JM97,HC$2:JK97,2+JN96,0)-IF(KE97&gt;0,KE97,0)</f>
        <v>0</v>
      </c>
      <c r="JP97" s="5"/>
      <c r="JQ97" s="5"/>
      <c r="JR97" s="5"/>
      <c r="JS97" s="6"/>
      <c r="JT97" s="23"/>
      <c r="JU97" s="13"/>
      <c r="JV97" s="6"/>
      <c r="JW97" s="6"/>
      <c r="JX97" s="6"/>
      <c r="JY97" s="6"/>
      <c r="JZ97" s="10"/>
      <c r="KA97" s="10"/>
      <c r="KB97" s="10"/>
      <c r="KC97" s="10"/>
      <c r="KD97" s="5"/>
      <c r="KE97" s="6"/>
    </row>
    <row r="98" spans="6:291" x14ac:dyDescent="0.3">
      <c r="F98" s="17"/>
      <c r="G98" s="9"/>
      <c r="H98" s="3"/>
      <c r="I98" s="3"/>
      <c r="J98" s="3"/>
      <c r="K98" s="3"/>
      <c r="L98" s="3"/>
      <c r="M98" s="3"/>
      <c r="N98" s="3"/>
      <c r="O98" s="3"/>
      <c r="P98" s="4"/>
      <c r="Q98" s="5"/>
      <c r="R98" s="5"/>
      <c r="S98" s="5"/>
      <c r="T98" s="6"/>
      <c r="U98" s="5"/>
      <c r="V98" s="6"/>
      <c r="W98" s="7"/>
      <c r="X98" s="8"/>
      <c r="Y98" s="6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6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C98" s="6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M98" s="19"/>
      <c r="JN98" s="1">
        <v>96</v>
      </c>
      <c r="JO98" s="5">
        <f>HLOOKUP(JM98,HC$2:JK98,2+JN97,0)-IF(KE98&gt;0,KE98,0)</f>
        <v>0</v>
      </c>
      <c r="JP98" s="5"/>
      <c r="JQ98" s="5"/>
      <c r="JR98" s="5"/>
      <c r="JS98" s="6"/>
      <c r="JT98" s="23"/>
      <c r="JU98" s="13"/>
      <c r="JV98" s="6"/>
      <c r="JW98" s="6"/>
      <c r="JX98" s="6"/>
      <c r="JY98" s="6"/>
      <c r="JZ98" s="10"/>
      <c r="KA98" s="10"/>
      <c r="KB98" s="10"/>
      <c r="KC98" s="10"/>
      <c r="KD98" s="5"/>
      <c r="KE98" s="6"/>
    </row>
    <row r="99" spans="6:291" x14ac:dyDescent="0.3">
      <c r="F99" s="17"/>
      <c r="G99" s="9"/>
      <c r="H99" s="3"/>
      <c r="I99" s="3"/>
      <c r="J99" s="3"/>
      <c r="K99" s="3"/>
      <c r="L99" s="3"/>
      <c r="M99" s="3"/>
      <c r="N99" s="3"/>
      <c r="O99" s="3"/>
      <c r="P99" s="4"/>
      <c r="Q99" s="5"/>
      <c r="R99" s="5"/>
      <c r="S99" s="5"/>
      <c r="T99" s="6"/>
      <c r="U99" s="5"/>
      <c r="V99" s="6"/>
      <c r="W99" s="7"/>
      <c r="X99" s="8"/>
      <c r="Y99" s="6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6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C99" s="6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M99" s="19"/>
      <c r="JN99" s="1">
        <v>97</v>
      </c>
      <c r="JO99" s="5">
        <f>HLOOKUP(JM99,HC$2:JK99,2+JN98,0)-IF(KE99&gt;0,KE99,0)</f>
        <v>0</v>
      </c>
      <c r="JP99" s="5"/>
      <c r="JQ99" s="5"/>
      <c r="JR99" s="5"/>
      <c r="JS99" s="6"/>
      <c r="JT99" s="23"/>
      <c r="JU99" s="13"/>
      <c r="JV99" s="6"/>
      <c r="JW99" s="6"/>
      <c r="JX99" s="6"/>
      <c r="JY99" s="6"/>
      <c r="JZ99" s="10"/>
      <c r="KA99" s="10"/>
      <c r="KB99" s="10"/>
      <c r="KC99" s="10"/>
      <c r="KD99" s="5"/>
      <c r="KE99" s="6"/>
    </row>
    <row r="100" spans="6:291" x14ac:dyDescent="0.3">
      <c r="F100" s="17"/>
      <c r="G100" s="9"/>
      <c r="H100" s="3"/>
      <c r="I100" s="3"/>
      <c r="J100" s="3"/>
      <c r="K100" s="3"/>
      <c r="L100" s="3"/>
      <c r="M100" s="3"/>
      <c r="N100" s="3"/>
      <c r="O100" s="3"/>
      <c r="P100" s="4"/>
      <c r="Q100" s="5"/>
      <c r="R100" s="5"/>
      <c r="S100" s="5"/>
      <c r="T100" s="6"/>
      <c r="U100" s="5"/>
      <c r="V100" s="6"/>
      <c r="W100" s="7"/>
      <c r="X100" s="8"/>
      <c r="Y100" s="6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6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C100" s="6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  <c r="JC100" s="5"/>
      <c r="JD100" s="5"/>
      <c r="JE100" s="5"/>
      <c r="JF100" s="5"/>
      <c r="JG100" s="5"/>
      <c r="JH100" s="5"/>
      <c r="JI100" s="5"/>
      <c r="JJ100" s="5"/>
      <c r="JK100" s="5"/>
      <c r="JM100" s="19"/>
      <c r="JN100" s="1">
        <v>98</v>
      </c>
      <c r="JO100" s="5">
        <f>HLOOKUP(JM100,HC$2:JK100,2+JN99,0)-IF(KE100&gt;0,KE100,0)</f>
        <v>0</v>
      </c>
      <c r="JP100" s="5"/>
      <c r="JQ100" s="5"/>
      <c r="JR100" s="5"/>
      <c r="JS100" s="6"/>
      <c r="JT100" s="23"/>
      <c r="JU100" s="13"/>
      <c r="JV100" s="6"/>
      <c r="JW100" s="6"/>
      <c r="JX100" s="6"/>
      <c r="JY100" s="6"/>
      <c r="JZ100" s="10"/>
      <c r="KA100" s="10"/>
      <c r="KB100" s="10"/>
      <c r="KC100" s="10"/>
      <c r="KD100" s="5"/>
      <c r="KE100" s="6"/>
    </row>
    <row r="101" spans="6:291" x14ac:dyDescent="0.3">
      <c r="F101" s="17"/>
      <c r="G101" s="9"/>
      <c r="H101" s="3"/>
      <c r="I101" s="3"/>
      <c r="J101" s="3"/>
      <c r="K101" s="3"/>
      <c r="L101" s="3"/>
      <c r="M101" s="3"/>
      <c r="N101" s="3"/>
      <c r="O101" s="3"/>
      <c r="P101" s="4"/>
      <c r="Q101" s="5"/>
      <c r="R101" s="5"/>
      <c r="S101" s="5"/>
      <c r="T101" s="6"/>
      <c r="U101" s="5"/>
      <c r="V101" s="6"/>
      <c r="W101" s="7"/>
      <c r="X101" s="8"/>
      <c r="Y101" s="6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6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C101" s="6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M101" s="19"/>
      <c r="JN101" s="1">
        <v>99</v>
      </c>
      <c r="JO101" s="5">
        <f>HLOOKUP(JM101,HC$2:JK101,2+JN100,0)-IF(KE101&gt;0,KE101,0)</f>
        <v>0</v>
      </c>
      <c r="JP101" s="5"/>
      <c r="JQ101" s="5"/>
      <c r="JR101" s="5"/>
      <c r="JS101" s="6"/>
      <c r="JT101" s="23"/>
      <c r="JU101" s="13"/>
      <c r="JV101" s="6"/>
      <c r="JW101" s="6"/>
      <c r="JX101" s="6"/>
      <c r="JY101" s="6"/>
      <c r="JZ101" s="10"/>
      <c r="KA101" s="10"/>
      <c r="KB101" s="10"/>
      <c r="KC101" s="10"/>
      <c r="KD101" s="5"/>
      <c r="KE101" s="6"/>
    </row>
    <row r="102" spans="6:291" x14ac:dyDescent="0.3">
      <c r="F102" s="17"/>
      <c r="G102" s="9"/>
      <c r="H102" s="3"/>
      <c r="I102" s="3"/>
      <c r="J102" s="3"/>
      <c r="K102" s="3"/>
      <c r="L102" s="3"/>
      <c r="M102" s="3"/>
      <c r="N102" s="3"/>
      <c r="O102" s="3"/>
      <c r="P102" s="4"/>
      <c r="Q102" s="5"/>
      <c r="R102" s="5"/>
      <c r="S102" s="5"/>
      <c r="T102" s="6"/>
      <c r="U102" s="5"/>
      <c r="V102" s="6"/>
      <c r="W102" s="7"/>
      <c r="X102" s="8"/>
      <c r="Y102" s="6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6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C102" s="6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M102" s="19"/>
      <c r="JN102" s="1">
        <v>100</v>
      </c>
      <c r="JO102" s="5">
        <f>HLOOKUP(JM102,HC$2:JK102,2+JN101,0)-IF(KE102&gt;0,KE102,0)</f>
        <v>0</v>
      </c>
      <c r="JP102" s="5"/>
      <c r="JQ102" s="5"/>
      <c r="JR102" s="5"/>
      <c r="JS102" s="6"/>
      <c r="JT102" s="23"/>
      <c r="JU102" s="13"/>
      <c r="JV102" s="6"/>
      <c r="JW102" s="6"/>
      <c r="JX102" s="6"/>
      <c r="JY102" s="6"/>
      <c r="JZ102" s="10"/>
      <c r="KA102" s="10"/>
      <c r="KB102" s="10"/>
      <c r="KC102" s="10"/>
      <c r="KD102" s="5"/>
      <c r="KE102" s="6"/>
    </row>
    <row r="103" spans="6:291" x14ac:dyDescent="0.3">
      <c r="F103" s="17"/>
      <c r="G103" s="9"/>
      <c r="H103" s="3"/>
      <c r="I103" s="3"/>
      <c r="J103" s="3"/>
      <c r="K103" s="3"/>
      <c r="L103" s="3"/>
      <c r="M103" s="3"/>
      <c r="N103" s="3"/>
      <c r="O103" s="3"/>
      <c r="P103" s="4"/>
      <c r="Q103" s="5"/>
      <c r="R103" s="5"/>
      <c r="S103" s="5"/>
      <c r="T103" s="6"/>
      <c r="U103" s="5"/>
      <c r="V103" s="6"/>
      <c r="W103" s="7"/>
      <c r="X103" s="8"/>
      <c r="Y103" s="6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6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C103" s="6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M103" s="19"/>
      <c r="JN103" s="1">
        <v>101</v>
      </c>
      <c r="JO103" s="5">
        <f>HLOOKUP(JM103,HC$2:JK103,2+JN102,0)-IF(KE103&gt;0,KE103,0)</f>
        <v>0</v>
      </c>
      <c r="JP103" s="5"/>
      <c r="JQ103" s="5"/>
      <c r="JR103" s="5"/>
      <c r="JS103" s="6"/>
      <c r="JT103" s="23"/>
      <c r="JU103" s="13"/>
      <c r="JV103" s="6"/>
      <c r="JW103" s="6"/>
      <c r="JX103" s="6"/>
      <c r="JY103" s="6"/>
      <c r="JZ103" s="10"/>
      <c r="KA103" s="10"/>
      <c r="KB103" s="10"/>
      <c r="KC103" s="10"/>
      <c r="KD103" s="5"/>
      <c r="KE103" s="6"/>
    </row>
    <row r="104" spans="6:291" x14ac:dyDescent="0.3">
      <c r="F104" s="17"/>
      <c r="G104" s="9"/>
      <c r="H104" s="3"/>
      <c r="I104" s="3"/>
      <c r="J104" s="3"/>
      <c r="K104" s="3"/>
      <c r="L104" s="3"/>
      <c r="M104" s="3"/>
      <c r="N104" s="3"/>
      <c r="O104" s="3"/>
      <c r="P104" s="4"/>
      <c r="Q104" s="5"/>
      <c r="R104" s="5"/>
      <c r="S104" s="5"/>
      <c r="T104" s="6"/>
      <c r="U104" s="5"/>
      <c r="V104" s="6"/>
      <c r="W104" s="7"/>
      <c r="X104" s="8"/>
      <c r="Y104" s="6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6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C104" s="6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  <c r="JC104" s="5"/>
      <c r="JD104" s="5"/>
      <c r="JE104" s="5"/>
      <c r="JF104" s="5"/>
      <c r="JG104" s="5"/>
      <c r="JH104" s="5"/>
      <c r="JI104" s="5"/>
      <c r="JJ104" s="5"/>
      <c r="JK104" s="5"/>
      <c r="JM104" s="19"/>
      <c r="JN104" s="1">
        <v>102</v>
      </c>
      <c r="JO104" s="5">
        <f>HLOOKUP(JM104,HC$2:JK104,2+JN103,0)-IF(KE104&gt;0,KE104,0)</f>
        <v>0</v>
      </c>
      <c r="JP104" s="5"/>
      <c r="JQ104" s="5"/>
      <c r="JR104" s="5"/>
      <c r="JS104" s="6"/>
      <c r="JT104" s="23"/>
      <c r="JU104" s="13"/>
      <c r="JV104" s="6"/>
      <c r="JW104" s="6"/>
      <c r="JX104" s="6"/>
      <c r="JY104" s="6"/>
      <c r="JZ104" s="10"/>
      <c r="KA104" s="10"/>
      <c r="KB104" s="10"/>
      <c r="KC104" s="10"/>
      <c r="KD104" s="5"/>
      <c r="KE104" s="6"/>
    </row>
    <row r="105" spans="6:291" x14ac:dyDescent="0.3">
      <c r="F105" s="17"/>
      <c r="G105" s="9"/>
      <c r="H105" s="3"/>
      <c r="I105" s="3"/>
      <c r="J105" s="3"/>
      <c r="K105" s="3"/>
      <c r="L105" s="3"/>
      <c r="M105" s="3"/>
      <c r="N105" s="3"/>
      <c r="O105" s="3"/>
      <c r="P105" s="4"/>
      <c r="Q105" s="5"/>
      <c r="R105" s="5"/>
      <c r="S105" s="5"/>
      <c r="T105" s="6"/>
      <c r="U105" s="5"/>
      <c r="V105" s="6"/>
      <c r="W105" s="7"/>
      <c r="X105" s="8"/>
      <c r="Y105" s="6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6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C105" s="6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M105" s="19"/>
      <c r="JN105" s="1">
        <v>103</v>
      </c>
      <c r="JO105" s="5">
        <f>HLOOKUP(JM105,HC$2:JK105,2+JN104,0)-IF(KE105&gt;0,KE105,0)</f>
        <v>0</v>
      </c>
      <c r="JP105" s="5"/>
      <c r="JQ105" s="5"/>
      <c r="JR105" s="5"/>
      <c r="JS105" s="6"/>
      <c r="JT105" s="23"/>
      <c r="JU105" s="13"/>
      <c r="JV105" s="6"/>
      <c r="JW105" s="6"/>
      <c r="JX105" s="6"/>
      <c r="JY105" s="6"/>
      <c r="JZ105" s="10"/>
      <c r="KA105" s="10"/>
      <c r="KB105" s="10"/>
      <c r="KC105" s="10"/>
      <c r="KD105" s="5"/>
      <c r="KE105" s="6"/>
    </row>
    <row r="106" spans="6:291" x14ac:dyDescent="0.3">
      <c r="F106" s="17"/>
      <c r="G106" s="9"/>
      <c r="H106" s="3"/>
      <c r="I106" s="3"/>
      <c r="J106" s="3"/>
      <c r="K106" s="3"/>
      <c r="L106" s="3"/>
      <c r="M106" s="3"/>
      <c r="N106" s="3"/>
      <c r="O106" s="3"/>
      <c r="P106" s="4"/>
      <c r="Q106" s="5"/>
      <c r="R106" s="5"/>
      <c r="S106" s="5"/>
      <c r="T106" s="6"/>
      <c r="U106" s="5"/>
      <c r="V106" s="6"/>
      <c r="W106" s="7"/>
      <c r="X106" s="8"/>
      <c r="Y106" s="6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6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C106" s="6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M106" s="19"/>
      <c r="JN106" s="1">
        <v>104</v>
      </c>
      <c r="JO106" s="5">
        <f>HLOOKUP(JM106,HC$2:JK106,2+JN105,0)-IF(KE106&gt;0,KE106,0)</f>
        <v>0</v>
      </c>
      <c r="JP106" s="5"/>
      <c r="JQ106" s="5"/>
      <c r="JR106" s="5"/>
      <c r="JS106" s="6"/>
      <c r="JT106" s="23"/>
      <c r="JU106" s="13"/>
      <c r="JV106" s="6"/>
      <c r="JW106" s="6"/>
      <c r="JX106" s="6"/>
      <c r="JY106" s="6"/>
      <c r="JZ106" s="10"/>
      <c r="KA106" s="10"/>
      <c r="KB106" s="10"/>
      <c r="KC106" s="10"/>
      <c r="KD106" s="5"/>
      <c r="KE106" s="6"/>
    </row>
    <row r="107" spans="6:291" x14ac:dyDescent="0.3">
      <c r="F107" s="17"/>
      <c r="G107" s="9"/>
      <c r="H107" s="3"/>
      <c r="I107" s="3"/>
      <c r="J107" s="3"/>
      <c r="K107" s="3"/>
      <c r="L107" s="3"/>
      <c r="M107" s="3"/>
      <c r="N107" s="3"/>
      <c r="O107" s="3"/>
      <c r="P107" s="4"/>
      <c r="Q107" s="5"/>
      <c r="R107" s="5"/>
      <c r="S107" s="5"/>
      <c r="T107" s="6"/>
      <c r="U107" s="5"/>
      <c r="V107" s="6"/>
      <c r="W107" s="7"/>
      <c r="X107" s="8"/>
      <c r="Y107" s="6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6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C107" s="6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M107" s="19"/>
      <c r="JN107" s="1">
        <v>105</v>
      </c>
      <c r="JO107" s="5">
        <f>HLOOKUP(JM107,HC$2:JK107,2+JN106,0)-IF(KE107&gt;0,KE107,0)</f>
        <v>0</v>
      </c>
      <c r="JP107" s="5"/>
      <c r="JQ107" s="5"/>
      <c r="JR107" s="5"/>
      <c r="JS107" s="6"/>
      <c r="JT107" s="23"/>
      <c r="JU107" s="13"/>
      <c r="JV107" s="6"/>
      <c r="JW107" s="6"/>
      <c r="JX107" s="6"/>
      <c r="JY107" s="6"/>
      <c r="JZ107" s="10"/>
      <c r="KA107" s="10"/>
      <c r="KB107" s="10"/>
      <c r="KC107" s="10"/>
      <c r="KD107" s="5"/>
      <c r="KE107" s="6"/>
    </row>
    <row r="108" spans="6:291" x14ac:dyDescent="0.3">
      <c r="F108" s="17"/>
      <c r="G108" s="9"/>
      <c r="H108" s="3"/>
      <c r="I108" s="3"/>
      <c r="J108" s="3"/>
      <c r="K108" s="3"/>
      <c r="L108" s="3"/>
      <c r="M108" s="3"/>
      <c r="N108" s="3"/>
      <c r="O108" s="3"/>
      <c r="P108" s="4"/>
      <c r="Q108" s="5"/>
      <c r="R108" s="5"/>
      <c r="S108" s="5"/>
      <c r="T108" s="6"/>
      <c r="U108" s="5"/>
      <c r="V108" s="6"/>
      <c r="W108" s="7"/>
      <c r="X108" s="8"/>
      <c r="Y108" s="6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6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C108" s="6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  <c r="JC108" s="5"/>
      <c r="JD108" s="5"/>
      <c r="JE108" s="5"/>
      <c r="JF108" s="5"/>
      <c r="JG108" s="5"/>
      <c r="JH108" s="5"/>
      <c r="JI108" s="5"/>
      <c r="JJ108" s="5"/>
      <c r="JK108" s="5"/>
      <c r="JM108" s="19"/>
      <c r="JN108" s="1">
        <v>106</v>
      </c>
      <c r="JO108" s="5">
        <f>HLOOKUP(JM108,HC$2:JK108,2+JN107,0)-IF(KE108&gt;0,KE108,0)</f>
        <v>0</v>
      </c>
      <c r="JP108" s="5"/>
      <c r="JQ108" s="5"/>
      <c r="JR108" s="5"/>
      <c r="JS108" s="6"/>
      <c r="JT108" s="23"/>
      <c r="JU108" s="13"/>
      <c r="JV108" s="6"/>
      <c r="JW108" s="6"/>
      <c r="JX108" s="6"/>
      <c r="JY108" s="6"/>
      <c r="JZ108" s="10"/>
      <c r="KA108" s="10"/>
      <c r="KB108" s="10"/>
      <c r="KC108" s="10"/>
      <c r="KD108" s="5"/>
      <c r="KE108" s="6"/>
    </row>
    <row r="109" spans="6:291" x14ac:dyDescent="0.3">
      <c r="F109" s="17"/>
      <c r="G109" s="9"/>
      <c r="H109" s="3"/>
      <c r="I109" s="3"/>
      <c r="J109" s="3"/>
      <c r="K109" s="3"/>
      <c r="L109" s="3"/>
      <c r="M109" s="3"/>
      <c r="N109" s="3"/>
      <c r="O109" s="3"/>
      <c r="P109" s="4"/>
      <c r="Q109" s="5"/>
      <c r="R109" s="5"/>
      <c r="S109" s="5"/>
      <c r="T109" s="6"/>
      <c r="U109" s="5"/>
      <c r="V109" s="6"/>
      <c r="W109" s="7"/>
      <c r="X109" s="8"/>
      <c r="Y109" s="6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6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C109" s="6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M109" s="19"/>
      <c r="JN109" s="1">
        <v>107</v>
      </c>
      <c r="JO109" s="5">
        <f>HLOOKUP(JM109,HC$2:JK109,2+JN108,0)-IF(KE109&gt;0,KE109,0)</f>
        <v>0</v>
      </c>
      <c r="JP109" s="5"/>
      <c r="JQ109" s="5"/>
      <c r="JR109" s="5"/>
      <c r="JS109" s="6"/>
      <c r="JT109" s="23"/>
      <c r="JU109" s="13"/>
      <c r="JV109" s="6"/>
      <c r="JW109" s="6"/>
      <c r="JX109" s="6"/>
      <c r="JY109" s="6"/>
      <c r="JZ109" s="10"/>
      <c r="KA109" s="10"/>
      <c r="KB109" s="10"/>
      <c r="KC109" s="10"/>
      <c r="KD109" s="5"/>
      <c r="KE109" s="6"/>
    </row>
    <row r="110" spans="6:291" x14ac:dyDescent="0.3">
      <c r="F110" s="17"/>
      <c r="G110" s="9"/>
      <c r="H110" s="3"/>
      <c r="I110" s="3"/>
      <c r="J110" s="3"/>
      <c r="K110" s="3"/>
      <c r="L110" s="3"/>
      <c r="M110" s="3"/>
      <c r="N110" s="3"/>
      <c r="O110" s="3"/>
      <c r="P110" s="4"/>
      <c r="Q110" s="5"/>
      <c r="R110" s="5"/>
      <c r="S110" s="5"/>
      <c r="T110" s="6"/>
      <c r="U110" s="5"/>
      <c r="V110" s="6"/>
      <c r="W110" s="7"/>
      <c r="X110" s="8"/>
      <c r="Y110" s="6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6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C110" s="6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M110" s="19"/>
      <c r="JN110" s="1">
        <v>108</v>
      </c>
      <c r="JO110" s="5">
        <f>HLOOKUP(JM110,HC$2:JK110,2+JN109,0)-IF(KE110&gt;0,KE110,0)</f>
        <v>0</v>
      </c>
      <c r="JP110" s="5"/>
      <c r="JQ110" s="5"/>
      <c r="JR110" s="5"/>
      <c r="JS110" s="6"/>
      <c r="JT110" s="23"/>
      <c r="JU110" s="13"/>
      <c r="JV110" s="6"/>
      <c r="JW110" s="6"/>
      <c r="JX110" s="6"/>
      <c r="JY110" s="6"/>
      <c r="JZ110" s="10"/>
      <c r="KA110" s="10"/>
      <c r="KB110" s="10"/>
      <c r="KC110" s="10"/>
      <c r="KD110" s="5"/>
      <c r="KE110" s="6"/>
    </row>
    <row r="111" spans="6:291" x14ac:dyDescent="0.3">
      <c r="F111" s="17"/>
      <c r="G111" s="9"/>
      <c r="H111" s="3"/>
      <c r="I111" s="3"/>
      <c r="J111" s="3"/>
      <c r="K111" s="3"/>
      <c r="L111" s="3"/>
      <c r="M111" s="3"/>
      <c r="N111" s="3"/>
      <c r="O111" s="3"/>
      <c r="P111" s="4"/>
      <c r="Q111" s="5"/>
      <c r="R111" s="5"/>
      <c r="S111" s="5"/>
      <c r="T111" s="6"/>
      <c r="U111" s="5"/>
      <c r="V111" s="6"/>
      <c r="W111" s="7"/>
      <c r="X111" s="8"/>
      <c r="Y111" s="6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6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C111" s="6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M111" s="19"/>
      <c r="JN111" s="1">
        <v>109</v>
      </c>
      <c r="JO111" s="5">
        <f>HLOOKUP(JM111,HC$2:JK111,2+JN110,0)-IF(KE111&gt;0,KE111,0)</f>
        <v>0</v>
      </c>
      <c r="JP111" s="5"/>
      <c r="JQ111" s="5"/>
      <c r="JR111" s="5"/>
      <c r="JS111" s="6"/>
      <c r="JT111" s="23"/>
      <c r="JU111" s="13"/>
      <c r="JV111" s="6"/>
      <c r="JW111" s="6"/>
      <c r="JX111" s="6"/>
      <c r="JY111" s="6"/>
      <c r="JZ111" s="10"/>
      <c r="KA111" s="10"/>
      <c r="KB111" s="10"/>
      <c r="KC111" s="10"/>
      <c r="KD111" s="5"/>
      <c r="KE111" s="6"/>
    </row>
    <row r="112" spans="6:291" x14ac:dyDescent="0.3">
      <c r="F112" s="17"/>
      <c r="G112" s="9"/>
      <c r="H112" s="3"/>
      <c r="I112" s="3"/>
      <c r="J112" s="3"/>
      <c r="K112" s="3"/>
      <c r="L112" s="3"/>
      <c r="M112" s="3"/>
      <c r="N112" s="3"/>
      <c r="O112" s="3"/>
      <c r="P112" s="4"/>
      <c r="Q112" s="5"/>
      <c r="R112" s="5"/>
      <c r="S112" s="5"/>
      <c r="T112" s="6"/>
      <c r="U112" s="5"/>
      <c r="V112" s="6"/>
      <c r="W112" s="7"/>
      <c r="X112" s="8"/>
      <c r="Y112" s="6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6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C112" s="6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  <c r="JC112" s="5"/>
      <c r="JD112" s="5"/>
      <c r="JE112" s="5"/>
      <c r="JF112" s="5"/>
      <c r="JG112" s="5"/>
      <c r="JH112" s="5"/>
      <c r="JI112" s="5"/>
      <c r="JJ112" s="5"/>
      <c r="JK112" s="5"/>
      <c r="JM112" s="19"/>
      <c r="JN112" s="1">
        <v>110</v>
      </c>
      <c r="JO112" s="5">
        <f>HLOOKUP(JM112,HC$2:JK112,2+JN111,0)-IF(KE112&gt;0,KE112,0)</f>
        <v>0</v>
      </c>
      <c r="JP112" s="5"/>
      <c r="JQ112" s="5"/>
      <c r="JR112" s="5"/>
      <c r="JS112" s="6"/>
      <c r="JT112" s="23"/>
      <c r="JU112" s="13"/>
      <c r="JV112" s="6"/>
      <c r="JW112" s="6"/>
      <c r="JX112" s="6"/>
      <c r="JY112" s="6"/>
      <c r="JZ112" s="10"/>
      <c r="KA112" s="10"/>
      <c r="KB112" s="10"/>
      <c r="KC112" s="10"/>
      <c r="KD112" s="5"/>
      <c r="KE112" s="6"/>
    </row>
    <row r="113" spans="6:291" x14ac:dyDescent="0.3">
      <c r="F113" s="17"/>
      <c r="G113" s="9"/>
      <c r="H113" s="3"/>
      <c r="I113" s="3"/>
      <c r="J113" s="3"/>
      <c r="K113" s="3"/>
      <c r="L113" s="3"/>
      <c r="M113" s="3"/>
      <c r="N113" s="3"/>
      <c r="O113" s="3"/>
      <c r="P113" s="4"/>
      <c r="Q113" s="5"/>
      <c r="R113" s="5"/>
      <c r="S113" s="5"/>
      <c r="T113" s="6"/>
      <c r="U113" s="5"/>
      <c r="V113" s="6"/>
      <c r="W113" s="7"/>
      <c r="X113" s="8"/>
      <c r="Y113" s="6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6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C113" s="6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M113" s="19"/>
      <c r="JN113" s="1">
        <v>111</v>
      </c>
      <c r="JO113" s="5">
        <f>HLOOKUP(JM113,HC$2:JK113,2+JN112,0)-IF(KE113&gt;0,KE113,0)</f>
        <v>0</v>
      </c>
      <c r="JP113" s="5"/>
      <c r="JQ113" s="5"/>
      <c r="JR113" s="5"/>
      <c r="JS113" s="6"/>
      <c r="JT113" s="23"/>
      <c r="JU113" s="13"/>
      <c r="JV113" s="6"/>
      <c r="JW113" s="6"/>
      <c r="JX113" s="6"/>
      <c r="JY113" s="6"/>
      <c r="JZ113" s="10"/>
      <c r="KA113" s="10"/>
      <c r="KB113" s="10"/>
      <c r="KC113" s="10"/>
      <c r="KD113" s="5"/>
      <c r="KE113" s="6"/>
    </row>
    <row r="114" spans="6:291" x14ac:dyDescent="0.3">
      <c r="F114" s="17"/>
      <c r="G114" s="9"/>
      <c r="H114" s="3"/>
      <c r="I114" s="3"/>
      <c r="J114" s="3"/>
      <c r="K114" s="3"/>
      <c r="L114" s="3"/>
      <c r="M114" s="3"/>
      <c r="N114" s="3"/>
      <c r="O114" s="3"/>
      <c r="P114" s="4"/>
      <c r="Q114" s="5"/>
      <c r="R114" s="5"/>
      <c r="S114" s="5"/>
      <c r="T114" s="6"/>
      <c r="U114" s="5"/>
      <c r="V114" s="6"/>
      <c r="W114" s="7"/>
      <c r="X114" s="8"/>
      <c r="Y114" s="6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6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C114" s="6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M114" s="19"/>
      <c r="JN114" s="1">
        <v>112</v>
      </c>
      <c r="JO114" s="5">
        <f>HLOOKUP(JM114,HC$2:JK114,2+JN113,0)-IF(KE114&gt;0,KE114,0)</f>
        <v>0</v>
      </c>
      <c r="JP114" s="5"/>
      <c r="JQ114" s="5"/>
      <c r="JR114" s="5"/>
      <c r="JS114" s="6"/>
      <c r="JT114" s="23"/>
      <c r="JU114" s="13"/>
      <c r="JV114" s="6"/>
      <c r="JW114" s="6"/>
      <c r="JX114" s="6"/>
      <c r="JY114" s="6"/>
      <c r="JZ114" s="10"/>
      <c r="KA114" s="10"/>
      <c r="KB114" s="10"/>
      <c r="KC114" s="10"/>
      <c r="KD114" s="5"/>
      <c r="KE114" s="6"/>
    </row>
    <row r="115" spans="6:291" x14ac:dyDescent="0.3">
      <c r="F115" s="17"/>
      <c r="G115" s="9"/>
      <c r="H115" s="3"/>
      <c r="I115" s="3"/>
      <c r="J115" s="3"/>
      <c r="K115" s="3"/>
      <c r="L115" s="3"/>
      <c r="M115" s="3"/>
      <c r="N115" s="3"/>
      <c r="O115" s="3"/>
      <c r="P115" s="4"/>
      <c r="Q115" s="5"/>
      <c r="R115" s="5"/>
      <c r="S115" s="5"/>
      <c r="T115" s="6"/>
      <c r="U115" s="5"/>
      <c r="V115" s="6"/>
      <c r="W115" s="7"/>
      <c r="X115" s="8"/>
      <c r="Y115" s="6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6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C115" s="6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M115" s="19"/>
      <c r="JN115" s="1">
        <v>113</v>
      </c>
      <c r="JO115" s="5">
        <f>HLOOKUP(JM115,HC$2:JK115,2+JN114,0)-IF(KE115&gt;0,KE115,0)</f>
        <v>0</v>
      </c>
      <c r="JP115" s="5"/>
      <c r="JQ115" s="5"/>
      <c r="JR115" s="5"/>
      <c r="JS115" s="6"/>
      <c r="JT115" s="23"/>
      <c r="JU115" s="13"/>
      <c r="JV115" s="6"/>
      <c r="JW115" s="6"/>
      <c r="JX115" s="6"/>
      <c r="JY115" s="6"/>
      <c r="JZ115" s="10"/>
      <c r="KA115" s="10"/>
      <c r="KB115" s="10"/>
      <c r="KC115" s="10"/>
      <c r="KD115" s="5"/>
      <c r="KE115" s="6"/>
    </row>
    <row r="116" spans="6:291" x14ac:dyDescent="0.3">
      <c r="F116" s="17"/>
      <c r="G116" s="9"/>
      <c r="H116" s="3"/>
      <c r="I116" s="3"/>
      <c r="J116" s="3"/>
      <c r="K116" s="3"/>
      <c r="L116" s="3"/>
      <c r="M116" s="3"/>
      <c r="N116" s="3"/>
      <c r="O116" s="3"/>
      <c r="P116" s="4"/>
      <c r="Q116" s="5"/>
      <c r="R116" s="5"/>
      <c r="S116" s="5"/>
      <c r="T116" s="6"/>
      <c r="U116" s="5"/>
      <c r="V116" s="6"/>
      <c r="W116" s="7"/>
      <c r="X116" s="8"/>
      <c r="Y116" s="6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6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C116" s="6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  <c r="JC116" s="5"/>
      <c r="JD116" s="5"/>
      <c r="JE116" s="5"/>
      <c r="JF116" s="5"/>
      <c r="JG116" s="5"/>
      <c r="JH116" s="5"/>
      <c r="JI116" s="5"/>
      <c r="JJ116" s="5"/>
      <c r="JK116" s="5"/>
      <c r="JM116" s="19"/>
      <c r="JN116" s="1">
        <v>114</v>
      </c>
      <c r="JO116" s="5">
        <f>HLOOKUP(JM116,HC$2:JK116,2+JN115,0)-IF(KE116&gt;0,KE116,0)</f>
        <v>0</v>
      </c>
      <c r="JP116" s="5"/>
      <c r="JQ116" s="5"/>
      <c r="JR116" s="5"/>
      <c r="JS116" s="6"/>
      <c r="JT116" s="23"/>
      <c r="JU116" s="13"/>
      <c r="JV116" s="6"/>
      <c r="JW116" s="6"/>
      <c r="JX116" s="6"/>
      <c r="JY116" s="6"/>
      <c r="JZ116" s="10"/>
      <c r="KA116" s="10"/>
      <c r="KB116" s="10"/>
      <c r="KC116" s="10"/>
      <c r="KD116" s="5"/>
      <c r="KE116" s="6"/>
    </row>
    <row r="117" spans="6:291" x14ac:dyDescent="0.3">
      <c r="F117" s="17"/>
      <c r="G117" s="9"/>
      <c r="H117" s="3"/>
      <c r="I117" s="3"/>
      <c r="J117" s="3"/>
      <c r="K117" s="3"/>
      <c r="L117" s="3"/>
      <c r="M117" s="3"/>
      <c r="N117" s="3"/>
      <c r="O117" s="3"/>
      <c r="P117" s="4"/>
      <c r="Q117" s="5"/>
      <c r="R117" s="5"/>
      <c r="S117" s="5"/>
      <c r="T117" s="6"/>
      <c r="U117" s="5"/>
      <c r="V117" s="6"/>
      <c r="W117" s="7"/>
      <c r="X117" s="8"/>
      <c r="Y117" s="6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6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C117" s="6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M117" s="19"/>
      <c r="JN117" s="1">
        <v>115</v>
      </c>
      <c r="JO117" s="5">
        <f>HLOOKUP(JM117,HC$2:JK117,2+JN116,0)-IF(KE117&gt;0,KE117,0)</f>
        <v>0</v>
      </c>
      <c r="JP117" s="5"/>
      <c r="JQ117" s="5"/>
      <c r="JR117" s="5"/>
      <c r="JS117" s="6"/>
      <c r="JT117" s="23"/>
      <c r="JU117" s="13"/>
      <c r="JV117" s="6"/>
      <c r="JW117" s="6"/>
      <c r="JX117" s="6"/>
      <c r="JY117" s="6"/>
      <c r="JZ117" s="10"/>
      <c r="KA117" s="10"/>
      <c r="KB117" s="10"/>
      <c r="KC117" s="10"/>
      <c r="KD117" s="5"/>
      <c r="KE117" s="6"/>
    </row>
    <row r="118" spans="6:291" x14ac:dyDescent="0.3">
      <c r="F118" s="17"/>
      <c r="G118" s="9"/>
      <c r="H118" s="3"/>
      <c r="I118" s="3"/>
      <c r="J118" s="3"/>
      <c r="K118" s="3"/>
      <c r="L118" s="3"/>
      <c r="M118" s="3"/>
      <c r="N118" s="3"/>
      <c r="O118" s="3"/>
      <c r="P118" s="4"/>
      <c r="Q118" s="5"/>
      <c r="R118" s="5"/>
      <c r="S118" s="5"/>
      <c r="T118" s="6"/>
      <c r="U118" s="5"/>
      <c r="V118" s="6"/>
      <c r="W118" s="7"/>
      <c r="X118" s="8"/>
      <c r="Y118" s="6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6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C118" s="6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M118" s="19"/>
      <c r="JN118" s="1">
        <v>116</v>
      </c>
      <c r="JO118" s="5">
        <f>HLOOKUP(JM118,HC$2:JK118,2+JN117,0)-IF(KE118&gt;0,KE118,0)</f>
        <v>0</v>
      </c>
      <c r="JP118" s="5"/>
      <c r="JQ118" s="5"/>
      <c r="JR118" s="5"/>
      <c r="JS118" s="6"/>
      <c r="JT118" s="23"/>
      <c r="JU118" s="13"/>
      <c r="JV118" s="6"/>
      <c r="JW118" s="6"/>
      <c r="JX118" s="6"/>
      <c r="JY118" s="6"/>
      <c r="JZ118" s="10"/>
      <c r="KA118" s="10"/>
      <c r="KB118" s="10"/>
      <c r="KC118" s="10"/>
      <c r="KD118" s="5"/>
      <c r="KE118" s="6"/>
    </row>
    <row r="119" spans="6:291" x14ac:dyDescent="0.3">
      <c r="F119" s="17"/>
      <c r="G119" s="9"/>
      <c r="H119" s="3"/>
      <c r="I119" s="3"/>
      <c r="J119" s="3"/>
      <c r="K119" s="3"/>
      <c r="L119" s="3"/>
      <c r="M119" s="3"/>
      <c r="N119" s="3"/>
      <c r="O119" s="3"/>
      <c r="P119" s="4"/>
      <c r="Q119" s="5"/>
      <c r="R119" s="5"/>
      <c r="S119" s="5"/>
      <c r="T119" s="6"/>
      <c r="U119" s="5"/>
      <c r="V119" s="6"/>
      <c r="W119" s="7"/>
      <c r="X119" s="8"/>
      <c r="Y119" s="6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6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C119" s="6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M119" s="19"/>
      <c r="JN119" s="1">
        <v>117</v>
      </c>
      <c r="JO119" s="5">
        <f>HLOOKUP(JM119,HC$2:JK119,2+JN118,0)-IF(KE119&gt;0,KE119,0)</f>
        <v>0</v>
      </c>
      <c r="JP119" s="5"/>
      <c r="JQ119" s="5"/>
      <c r="JR119" s="5"/>
      <c r="JS119" s="6"/>
      <c r="JT119" s="23"/>
      <c r="JU119" s="13"/>
      <c r="JV119" s="6"/>
      <c r="JW119" s="6"/>
      <c r="JX119" s="6"/>
      <c r="JY119" s="6"/>
      <c r="JZ119" s="10"/>
      <c r="KA119" s="10"/>
      <c r="KB119" s="10"/>
      <c r="KC119" s="10"/>
      <c r="KD119" s="5"/>
      <c r="KE119" s="6"/>
    </row>
    <row r="120" spans="6:291" x14ac:dyDescent="0.3">
      <c r="F120" s="17"/>
      <c r="G120" s="9"/>
      <c r="H120" s="3"/>
      <c r="I120" s="3"/>
      <c r="J120" s="3"/>
      <c r="K120" s="3"/>
      <c r="L120" s="3"/>
      <c r="M120" s="3"/>
      <c r="N120" s="3"/>
      <c r="O120" s="3"/>
      <c r="P120" s="4"/>
      <c r="Q120" s="5"/>
      <c r="R120" s="5"/>
      <c r="S120" s="5"/>
      <c r="T120" s="6"/>
      <c r="U120" s="5"/>
      <c r="V120" s="6"/>
      <c r="W120" s="7"/>
      <c r="X120" s="8"/>
      <c r="Y120" s="6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6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C120" s="6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  <c r="JE120" s="5"/>
      <c r="JF120" s="5"/>
      <c r="JG120" s="5"/>
      <c r="JH120" s="5"/>
      <c r="JI120" s="5"/>
      <c r="JJ120" s="5"/>
      <c r="JK120" s="5"/>
      <c r="JM120" s="19"/>
      <c r="JN120" s="1">
        <v>118</v>
      </c>
      <c r="JO120" s="5">
        <f>HLOOKUP(JM120,HC$2:JK120,2+JN119,0)-IF(KE120&gt;0,KE120,0)</f>
        <v>0</v>
      </c>
      <c r="JP120" s="5"/>
      <c r="JQ120" s="5"/>
      <c r="JR120" s="5"/>
      <c r="JS120" s="6"/>
      <c r="JT120" s="23"/>
      <c r="JU120" s="13"/>
      <c r="JV120" s="6"/>
      <c r="JW120" s="6"/>
      <c r="JX120" s="6"/>
      <c r="JY120" s="6"/>
      <c r="JZ120" s="10"/>
      <c r="KA120" s="10"/>
      <c r="KB120" s="10"/>
      <c r="KC120" s="10"/>
      <c r="KD120" s="5"/>
      <c r="KE120" s="6"/>
    </row>
    <row r="121" spans="6:291" x14ac:dyDescent="0.3">
      <c r="F121" s="17"/>
      <c r="G121" s="9"/>
      <c r="H121" s="3"/>
      <c r="I121" s="3"/>
      <c r="J121" s="3"/>
      <c r="K121" s="3"/>
      <c r="L121" s="3"/>
      <c r="M121" s="3"/>
      <c r="N121" s="3"/>
      <c r="O121" s="3"/>
      <c r="P121" s="4"/>
      <c r="Q121" s="5"/>
      <c r="R121" s="5"/>
      <c r="S121" s="5"/>
      <c r="T121" s="6"/>
      <c r="U121" s="5"/>
      <c r="V121" s="6"/>
      <c r="W121" s="7"/>
      <c r="X121" s="8"/>
      <c r="Y121" s="6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6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C121" s="6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M121" s="19"/>
      <c r="JN121" s="1">
        <v>119</v>
      </c>
      <c r="JO121" s="5">
        <f>HLOOKUP(JM121,HC$2:JK121,2+JN120,0)-IF(KE121&gt;0,KE121,0)</f>
        <v>0</v>
      </c>
      <c r="JP121" s="5"/>
      <c r="JQ121" s="5"/>
      <c r="JR121" s="5"/>
      <c r="JS121" s="6"/>
      <c r="JT121" s="23"/>
      <c r="JU121" s="13"/>
      <c r="JV121" s="6"/>
      <c r="JW121" s="6"/>
      <c r="JX121" s="6"/>
      <c r="JY121" s="6"/>
      <c r="JZ121" s="10"/>
      <c r="KA121" s="10"/>
      <c r="KB121" s="10"/>
      <c r="KC121" s="10"/>
      <c r="KD121" s="5"/>
      <c r="KE121" s="6"/>
    </row>
    <row r="122" spans="6:291" x14ac:dyDescent="0.3">
      <c r="F122" s="17"/>
      <c r="G122" s="9"/>
      <c r="H122" s="3"/>
      <c r="I122" s="3"/>
      <c r="J122" s="3"/>
      <c r="K122" s="3"/>
      <c r="L122" s="3"/>
      <c r="M122" s="3"/>
      <c r="N122" s="3"/>
      <c r="O122" s="3"/>
      <c r="P122" s="4"/>
      <c r="Q122" s="5"/>
      <c r="R122" s="5"/>
      <c r="S122" s="5"/>
      <c r="T122" s="6"/>
      <c r="U122" s="5"/>
      <c r="V122" s="6"/>
      <c r="W122" s="7"/>
      <c r="X122" s="8"/>
      <c r="Y122" s="6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6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C122" s="6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M122" s="19"/>
      <c r="JN122" s="1">
        <v>120</v>
      </c>
      <c r="JO122" s="5">
        <f>HLOOKUP(JM122,HC$2:JK122,2+JN121,0)-IF(KE122&gt;0,KE122,0)</f>
        <v>0</v>
      </c>
      <c r="JP122" s="5"/>
      <c r="JQ122" s="5"/>
      <c r="JR122" s="5"/>
      <c r="JS122" s="6"/>
      <c r="JT122" s="23"/>
      <c r="JU122" s="13"/>
      <c r="JV122" s="6"/>
      <c r="JW122" s="6"/>
      <c r="JX122" s="6"/>
      <c r="JY122" s="6"/>
      <c r="JZ122" s="10"/>
      <c r="KA122" s="10"/>
      <c r="KB122" s="10"/>
      <c r="KC122" s="10"/>
      <c r="KD122" s="5"/>
      <c r="KE122" s="6"/>
    </row>
    <row r="123" spans="6:291" x14ac:dyDescent="0.3">
      <c r="F123" s="17"/>
      <c r="G123" s="9"/>
      <c r="H123" s="3"/>
      <c r="I123" s="3"/>
      <c r="J123" s="3"/>
      <c r="K123" s="3"/>
      <c r="L123" s="3"/>
      <c r="M123" s="3"/>
      <c r="N123" s="3"/>
      <c r="O123" s="3"/>
      <c r="P123" s="4"/>
      <c r="Q123" s="5"/>
      <c r="R123" s="5"/>
      <c r="S123" s="5"/>
      <c r="T123" s="6"/>
      <c r="U123" s="5"/>
      <c r="V123" s="6"/>
      <c r="W123" s="7"/>
      <c r="X123" s="8"/>
      <c r="Y123" s="6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6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C123" s="6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M123" s="19"/>
      <c r="JN123" s="1">
        <v>121</v>
      </c>
      <c r="JO123" s="5">
        <f>HLOOKUP(JM123,HC$2:JK123,2+JN122,0)-IF(KE123&gt;0,KE123,0)</f>
        <v>0</v>
      </c>
      <c r="JP123" s="5"/>
      <c r="JQ123" s="5"/>
      <c r="JR123" s="5"/>
      <c r="JS123" s="6"/>
      <c r="JT123" s="23"/>
      <c r="JU123" s="13"/>
      <c r="JV123" s="6"/>
      <c r="JW123" s="6"/>
      <c r="JX123" s="6"/>
      <c r="JY123" s="6"/>
      <c r="JZ123" s="10"/>
      <c r="KA123" s="10"/>
      <c r="KB123" s="10"/>
      <c r="KC123" s="10"/>
      <c r="KD123" s="5"/>
      <c r="KE123" s="6"/>
    </row>
    <row r="124" spans="6:291" x14ac:dyDescent="0.3">
      <c r="F124" s="17"/>
      <c r="G124" s="9"/>
      <c r="H124" s="3"/>
      <c r="I124" s="3"/>
      <c r="J124" s="3"/>
      <c r="K124" s="3"/>
      <c r="L124" s="3"/>
      <c r="M124" s="3"/>
      <c r="N124" s="3"/>
      <c r="O124" s="3"/>
      <c r="P124" s="4"/>
      <c r="Q124" s="5"/>
      <c r="R124" s="5"/>
      <c r="S124" s="5"/>
      <c r="T124" s="6"/>
      <c r="U124" s="5"/>
      <c r="V124" s="6"/>
      <c r="W124" s="7"/>
      <c r="X124" s="8"/>
      <c r="Y124" s="6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6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C124" s="6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  <c r="JE124" s="5"/>
      <c r="JF124" s="5"/>
      <c r="JG124" s="5"/>
      <c r="JH124" s="5"/>
      <c r="JI124" s="5"/>
      <c r="JJ124" s="5"/>
      <c r="JK124" s="5"/>
      <c r="JM124" s="19"/>
      <c r="JN124" s="1">
        <v>122</v>
      </c>
      <c r="JO124" s="5">
        <f>HLOOKUP(JM124,HC$2:JK124,2+JN123,0)-IF(KE124&gt;0,KE124,0)</f>
        <v>0</v>
      </c>
      <c r="JP124" s="5"/>
      <c r="JQ124" s="5"/>
      <c r="JR124" s="5"/>
      <c r="JS124" s="6"/>
      <c r="JT124" s="23"/>
      <c r="JU124" s="13"/>
      <c r="JV124" s="6"/>
      <c r="JW124" s="6"/>
      <c r="JX124" s="6"/>
      <c r="JY124" s="6"/>
      <c r="JZ124" s="10"/>
      <c r="KA124" s="10"/>
      <c r="KB124" s="10"/>
      <c r="KC124" s="10"/>
      <c r="KD124" s="5"/>
      <c r="KE124" s="6"/>
    </row>
    <row r="125" spans="6:291" x14ac:dyDescent="0.3">
      <c r="F125" s="17"/>
      <c r="G125" s="9"/>
      <c r="H125" s="3"/>
      <c r="I125" s="3"/>
      <c r="J125" s="3"/>
      <c r="K125" s="3"/>
      <c r="L125" s="3"/>
      <c r="M125" s="3"/>
      <c r="N125" s="3"/>
      <c r="O125" s="3"/>
      <c r="P125" s="4"/>
      <c r="Q125" s="5"/>
      <c r="R125" s="5"/>
      <c r="S125" s="5"/>
      <c r="T125" s="6"/>
      <c r="U125" s="5"/>
      <c r="V125" s="6"/>
      <c r="W125" s="7"/>
      <c r="X125" s="8"/>
      <c r="Y125" s="6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6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C125" s="6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M125" s="19"/>
      <c r="JN125" s="1">
        <v>123</v>
      </c>
      <c r="JO125" s="5">
        <f>HLOOKUP(JM125,HC$2:JK125,2+JN124,0)-IF(KE125&gt;0,KE125,0)</f>
        <v>0</v>
      </c>
      <c r="JP125" s="5"/>
      <c r="JQ125" s="5"/>
      <c r="JR125" s="5"/>
      <c r="JS125" s="6"/>
      <c r="JT125" s="23"/>
      <c r="JU125" s="13"/>
      <c r="JV125" s="6"/>
      <c r="JW125" s="6"/>
      <c r="JX125" s="6"/>
      <c r="JY125" s="6"/>
      <c r="JZ125" s="10"/>
      <c r="KA125" s="10"/>
      <c r="KB125" s="10"/>
      <c r="KC125" s="10"/>
      <c r="KD125" s="5"/>
      <c r="KE125" s="6"/>
    </row>
    <row r="126" spans="6:291" x14ac:dyDescent="0.3">
      <c r="F126" s="17"/>
      <c r="G126" s="9"/>
      <c r="H126" s="3"/>
      <c r="I126" s="3"/>
      <c r="J126" s="3"/>
      <c r="K126" s="3"/>
      <c r="L126" s="3"/>
      <c r="M126" s="3"/>
      <c r="N126" s="3"/>
      <c r="O126" s="3"/>
      <c r="P126" s="4"/>
      <c r="Q126" s="5"/>
      <c r="R126" s="5"/>
      <c r="S126" s="5"/>
      <c r="T126" s="6"/>
      <c r="U126" s="5"/>
      <c r="V126" s="6"/>
      <c r="W126" s="7"/>
      <c r="X126" s="8"/>
      <c r="Y126" s="6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6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C126" s="6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M126" s="19"/>
      <c r="JN126" s="1">
        <v>124</v>
      </c>
      <c r="JO126" s="5">
        <f>HLOOKUP(JM126,HC$2:JK126,2+JN125,0)-IF(KE126&gt;0,KE126,0)</f>
        <v>0</v>
      </c>
      <c r="JP126" s="5"/>
      <c r="JQ126" s="5"/>
      <c r="JR126" s="5"/>
      <c r="JS126" s="6"/>
      <c r="JT126" s="23"/>
      <c r="JU126" s="13"/>
      <c r="JV126" s="6"/>
      <c r="JW126" s="6"/>
      <c r="JX126" s="6"/>
      <c r="JY126" s="6"/>
      <c r="JZ126" s="10"/>
      <c r="KA126" s="10"/>
      <c r="KB126" s="10"/>
      <c r="KC126" s="10"/>
      <c r="KD126" s="5"/>
      <c r="KE126" s="6"/>
    </row>
    <row r="127" spans="6:291" x14ac:dyDescent="0.3">
      <c r="F127" s="17"/>
      <c r="G127" s="9"/>
      <c r="H127" s="3"/>
      <c r="I127" s="3"/>
      <c r="J127" s="3"/>
      <c r="K127" s="3"/>
      <c r="L127" s="3"/>
      <c r="M127" s="3"/>
      <c r="N127" s="3"/>
      <c r="O127" s="3"/>
      <c r="P127" s="4"/>
      <c r="Q127" s="5"/>
      <c r="R127" s="5"/>
      <c r="S127" s="5"/>
      <c r="T127" s="6"/>
      <c r="U127" s="5"/>
      <c r="V127" s="6"/>
      <c r="W127" s="7"/>
      <c r="X127" s="8"/>
      <c r="Y127" s="6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6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C127" s="6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M127" s="19"/>
      <c r="JN127" s="1">
        <v>125</v>
      </c>
      <c r="JO127" s="5">
        <f>HLOOKUP(JM127,HC$2:JK127,2+JN126,0)-IF(KE127&gt;0,KE127,0)</f>
        <v>0</v>
      </c>
      <c r="JP127" s="5"/>
      <c r="JQ127" s="5"/>
      <c r="JR127" s="5"/>
      <c r="JS127" s="6"/>
      <c r="JT127" s="23"/>
      <c r="JU127" s="13"/>
      <c r="JV127" s="6"/>
      <c r="JW127" s="6"/>
      <c r="JX127" s="6"/>
      <c r="JY127" s="6"/>
      <c r="JZ127" s="10"/>
      <c r="KA127" s="10"/>
      <c r="KB127" s="10"/>
      <c r="KC127" s="10"/>
      <c r="KD127" s="5"/>
      <c r="KE127" s="6"/>
    </row>
    <row r="128" spans="6:291" x14ac:dyDescent="0.3">
      <c r="F128" s="17"/>
      <c r="G128" s="9"/>
      <c r="H128" s="3"/>
      <c r="I128" s="3"/>
      <c r="J128" s="3"/>
      <c r="K128" s="3"/>
      <c r="L128" s="3"/>
      <c r="M128" s="3"/>
      <c r="N128" s="3"/>
      <c r="O128" s="3"/>
      <c r="P128" s="4"/>
      <c r="Q128" s="5"/>
      <c r="R128" s="5"/>
      <c r="S128" s="5"/>
      <c r="T128" s="6"/>
      <c r="U128" s="5"/>
      <c r="V128" s="6"/>
      <c r="W128" s="7"/>
      <c r="X128" s="8"/>
      <c r="Y128" s="6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6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C128" s="6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  <c r="JC128" s="5"/>
      <c r="JD128" s="5"/>
      <c r="JE128" s="5"/>
      <c r="JF128" s="5"/>
      <c r="JG128" s="5"/>
      <c r="JH128" s="5"/>
      <c r="JI128" s="5"/>
      <c r="JJ128" s="5"/>
      <c r="JK128" s="5"/>
      <c r="JM128" s="19"/>
      <c r="JN128" s="1">
        <v>126</v>
      </c>
      <c r="JO128" s="5">
        <f>HLOOKUP(JM128,HC$2:JK128,2+JN127,0)-IF(KE128&gt;0,KE128,0)</f>
        <v>0</v>
      </c>
      <c r="JP128" s="5"/>
      <c r="JQ128" s="5"/>
      <c r="JR128" s="5"/>
      <c r="JS128" s="6"/>
      <c r="JT128" s="23"/>
      <c r="JU128" s="13"/>
      <c r="JV128" s="6"/>
      <c r="JW128" s="6"/>
      <c r="JX128" s="6"/>
      <c r="JY128" s="6"/>
      <c r="JZ128" s="10"/>
      <c r="KA128" s="10"/>
      <c r="KB128" s="10"/>
      <c r="KC128" s="10"/>
      <c r="KD128" s="5"/>
      <c r="KE128" s="6"/>
    </row>
    <row r="129" spans="6:291" x14ac:dyDescent="0.3">
      <c r="F129" s="17"/>
      <c r="G129" s="9"/>
      <c r="H129" s="3"/>
      <c r="I129" s="3"/>
      <c r="J129" s="3"/>
      <c r="K129" s="3"/>
      <c r="L129" s="3"/>
      <c r="M129" s="3"/>
      <c r="N129" s="3"/>
      <c r="O129" s="3"/>
      <c r="P129" s="4"/>
      <c r="Q129" s="5"/>
      <c r="R129" s="5"/>
      <c r="S129" s="5"/>
      <c r="T129" s="6"/>
      <c r="U129" s="5"/>
      <c r="V129" s="6"/>
      <c r="W129" s="7"/>
      <c r="X129" s="8"/>
      <c r="Y129" s="6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6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C129" s="6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M129" s="19"/>
      <c r="JN129" s="1">
        <v>127</v>
      </c>
      <c r="JO129" s="5">
        <f>HLOOKUP(JM129,HC$2:JK129,2+JN128,0)-IF(KE129&gt;0,KE129,0)</f>
        <v>0</v>
      </c>
      <c r="JP129" s="5"/>
      <c r="JQ129" s="5"/>
      <c r="JR129" s="5"/>
      <c r="JS129" s="6"/>
      <c r="JT129" s="23"/>
      <c r="JU129" s="13"/>
      <c r="JV129" s="6"/>
      <c r="JW129" s="6"/>
      <c r="JX129" s="6"/>
      <c r="JY129" s="6"/>
      <c r="JZ129" s="10"/>
      <c r="KA129" s="10"/>
      <c r="KB129" s="10"/>
      <c r="KC129" s="10"/>
      <c r="KD129" s="5"/>
      <c r="KE129" s="6"/>
    </row>
    <row r="130" spans="6:291" x14ac:dyDescent="0.3">
      <c r="F130" s="17"/>
      <c r="G130" s="9"/>
      <c r="H130" s="3"/>
      <c r="I130" s="3"/>
      <c r="J130" s="3"/>
      <c r="K130" s="3"/>
      <c r="L130" s="3"/>
      <c r="M130" s="3"/>
      <c r="N130" s="3"/>
      <c r="O130" s="3"/>
      <c r="P130" s="4"/>
      <c r="Q130" s="5"/>
      <c r="R130" s="5"/>
      <c r="S130" s="5"/>
      <c r="T130" s="6"/>
      <c r="U130" s="5"/>
      <c r="V130" s="6"/>
      <c r="W130" s="7"/>
      <c r="X130" s="8"/>
      <c r="Y130" s="6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6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C130" s="6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M130" s="19"/>
      <c r="JN130" s="1">
        <v>128</v>
      </c>
      <c r="JO130" s="5">
        <f>HLOOKUP(JM130,HC$2:JK130,2+JN129,0)-IF(KE130&gt;0,KE130,0)</f>
        <v>0</v>
      </c>
      <c r="JP130" s="5"/>
      <c r="JQ130" s="5"/>
      <c r="JR130" s="5"/>
      <c r="JS130" s="6"/>
      <c r="JT130" s="23"/>
      <c r="JU130" s="13"/>
      <c r="JV130" s="6"/>
      <c r="JW130" s="6"/>
      <c r="JX130" s="6"/>
      <c r="JY130" s="6"/>
      <c r="JZ130" s="10"/>
      <c r="KA130" s="10"/>
      <c r="KB130" s="10"/>
      <c r="KC130" s="10"/>
      <c r="KD130" s="5"/>
      <c r="KE130" s="6"/>
    </row>
    <row r="131" spans="6:291" x14ac:dyDescent="0.3">
      <c r="F131" s="17"/>
      <c r="G131" s="9"/>
      <c r="H131" s="3"/>
      <c r="I131" s="3"/>
      <c r="J131" s="3"/>
      <c r="K131" s="3"/>
      <c r="L131" s="3"/>
      <c r="M131" s="3"/>
      <c r="N131" s="3"/>
      <c r="O131" s="3"/>
      <c r="P131" s="4"/>
      <c r="Q131" s="5"/>
      <c r="R131" s="5"/>
      <c r="S131" s="5"/>
      <c r="T131" s="6"/>
      <c r="U131" s="5"/>
      <c r="V131" s="6"/>
      <c r="W131" s="7"/>
      <c r="X131" s="8"/>
      <c r="Y131" s="6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6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C131" s="6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M131" s="19"/>
      <c r="JN131" s="1">
        <v>129</v>
      </c>
      <c r="JO131" s="5">
        <f>HLOOKUP(JM131,HC$2:JK131,2+JN130,0)-IF(KE131&gt;0,KE131,0)</f>
        <v>0</v>
      </c>
      <c r="JP131" s="5"/>
      <c r="JQ131" s="5"/>
      <c r="JR131" s="5"/>
      <c r="JS131" s="6"/>
      <c r="JT131" s="23"/>
      <c r="JU131" s="13"/>
      <c r="JV131" s="6"/>
      <c r="JW131" s="6"/>
      <c r="JX131" s="6"/>
      <c r="JY131" s="6"/>
      <c r="JZ131" s="10"/>
      <c r="KA131" s="10"/>
      <c r="KB131" s="10"/>
      <c r="KC131" s="10"/>
      <c r="KD131" s="5"/>
      <c r="KE131" s="6"/>
    </row>
    <row r="132" spans="6:291" x14ac:dyDescent="0.3">
      <c r="F132" s="17"/>
      <c r="G132" s="9"/>
      <c r="H132" s="3"/>
      <c r="I132" s="3"/>
      <c r="J132" s="3"/>
      <c r="K132" s="3"/>
      <c r="L132" s="3"/>
      <c r="M132" s="3"/>
      <c r="N132" s="3"/>
      <c r="O132" s="3"/>
      <c r="P132" s="4"/>
      <c r="Q132" s="5"/>
      <c r="R132" s="5"/>
      <c r="S132" s="5"/>
      <c r="T132" s="6"/>
      <c r="U132" s="5"/>
      <c r="V132" s="6"/>
      <c r="W132" s="7"/>
      <c r="X132" s="8"/>
      <c r="Y132" s="6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6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C132" s="6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  <c r="JC132" s="5"/>
      <c r="JD132" s="5"/>
      <c r="JE132" s="5"/>
      <c r="JF132" s="5"/>
      <c r="JG132" s="5"/>
      <c r="JH132" s="5"/>
      <c r="JI132" s="5"/>
      <c r="JJ132" s="5"/>
      <c r="JK132" s="5"/>
      <c r="JM132" s="19"/>
      <c r="JN132" s="1">
        <v>130</v>
      </c>
      <c r="JO132" s="5">
        <f>HLOOKUP(JM132,HC$2:JK132,2+JN131,0)-IF(KE132&gt;0,KE132,0)</f>
        <v>0</v>
      </c>
      <c r="JP132" s="5"/>
      <c r="JQ132" s="5"/>
      <c r="JR132" s="5"/>
      <c r="JS132" s="6"/>
      <c r="JT132" s="23"/>
      <c r="JU132" s="13"/>
      <c r="JV132" s="6"/>
      <c r="JW132" s="6"/>
      <c r="JX132" s="6"/>
      <c r="JY132" s="6"/>
      <c r="JZ132" s="10"/>
      <c r="KA132" s="10"/>
      <c r="KB132" s="10"/>
      <c r="KC132" s="10"/>
      <c r="KD132" s="5"/>
      <c r="KE132" s="6"/>
    </row>
    <row r="133" spans="6:291" x14ac:dyDescent="0.3">
      <c r="F133" s="17"/>
      <c r="G133" s="9"/>
      <c r="H133" s="3"/>
      <c r="I133" s="3"/>
      <c r="J133" s="3"/>
      <c r="K133" s="3"/>
      <c r="L133" s="3"/>
      <c r="M133" s="3"/>
      <c r="N133" s="3"/>
      <c r="O133" s="3"/>
      <c r="P133" s="4"/>
      <c r="Q133" s="5"/>
      <c r="R133" s="5"/>
      <c r="S133" s="5"/>
      <c r="T133" s="6"/>
      <c r="U133" s="5"/>
      <c r="V133" s="6"/>
      <c r="W133" s="7"/>
      <c r="X133" s="8"/>
      <c r="Y133" s="6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6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C133" s="6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M133" s="19"/>
      <c r="JN133" s="1">
        <v>131</v>
      </c>
      <c r="JO133" s="5">
        <f>HLOOKUP(JM133,HC$2:JK133,2+JN132,0)-IF(KE133&gt;0,KE133,0)</f>
        <v>0</v>
      </c>
      <c r="JP133" s="5"/>
      <c r="JQ133" s="5"/>
      <c r="JR133" s="5"/>
      <c r="JS133" s="6"/>
      <c r="JT133" s="23"/>
      <c r="JU133" s="13"/>
      <c r="JV133" s="6"/>
      <c r="JW133" s="6"/>
      <c r="JX133" s="6"/>
      <c r="JY133" s="6"/>
      <c r="JZ133" s="10"/>
      <c r="KA133" s="10"/>
      <c r="KB133" s="10"/>
      <c r="KC133" s="10"/>
      <c r="KD133" s="5"/>
      <c r="KE133" s="6"/>
    </row>
    <row r="134" spans="6:291" x14ac:dyDescent="0.3">
      <c r="F134" s="17"/>
      <c r="G134" s="9"/>
      <c r="H134" s="3"/>
      <c r="I134" s="3"/>
      <c r="J134" s="3"/>
      <c r="K134" s="3"/>
      <c r="L134" s="3"/>
      <c r="M134" s="3"/>
      <c r="N134" s="3"/>
      <c r="O134" s="3"/>
      <c r="P134" s="4"/>
      <c r="Q134" s="5"/>
      <c r="R134" s="5"/>
      <c r="S134" s="5"/>
      <c r="T134" s="6"/>
      <c r="U134" s="5"/>
      <c r="V134" s="6"/>
      <c r="W134" s="7"/>
      <c r="X134" s="8"/>
      <c r="Y134" s="6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6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C134" s="6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M134" s="19"/>
      <c r="JN134" s="1">
        <v>132</v>
      </c>
      <c r="JO134" s="5">
        <f>HLOOKUP(JM134,HC$2:JK134,2+JN133,0)-IF(KE134&gt;0,KE134,0)</f>
        <v>0</v>
      </c>
      <c r="JP134" s="5"/>
      <c r="JQ134" s="5"/>
      <c r="JR134" s="5"/>
      <c r="JS134" s="6"/>
      <c r="JT134" s="23"/>
      <c r="JU134" s="13"/>
      <c r="JV134" s="6"/>
      <c r="JW134" s="6"/>
      <c r="JX134" s="6"/>
      <c r="JY134" s="6"/>
      <c r="JZ134" s="10"/>
      <c r="KA134" s="10"/>
      <c r="KB134" s="10"/>
      <c r="KC134" s="10"/>
      <c r="KD134" s="5"/>
      <c r="KE134" s="6"/>
    </row>
    <row r="135" spans="6:291" x14ac:dyDescent="0.3">
      <c r="F135" s="17"/>
      <c r="G135" s="9"/>
      <c r="H135" s="3"/>
      <c r="I135" s="3"/>
      <c r="J135" s="3"/>
      <c r="K135" s="3"/>
      <c r="L135" s="3"/>
      <c r="M135" s="3"/>
      <c r="N135" s="3"/>
      <c r="O135" s="3"/>
      <c r="P135" s="4"/>
      <c r="Q135" s="5"/>
      <c r="R135" s="5"/>
      <c r="S135" s="5"/>
      <c r="T135" s="6"/>
      <c r="U135" s="5"/>
      <c r="V135" s="6"/>
      <c r="W135" s="7"/>
      <c r="X135" s="8"/>
      <c r="Y135" s="6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6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C135" s="6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M135" s="19"/>
      <c r="JN135" s="1">
        <v>133</v>
      </c>
      <c r="JO135" s="5">
        <f>HLOOKUP(JM135,HC$2:JK135,2+JN134,0)-IF(KE135&gt;0,KE135,0)</f>
        <v>0</v>
      </c>
      <c r="JP135" s="5"/>
      <c r="JQ135" s="5"/>
      <c r="JR135" s="5"/>
      <c r="JS135" s="6"/>
      <c r="JT135" s="23"/>
      <c r="JU135" s="13"/>
      <c r="JV135" s="6"/>
      <c r="JW135" s="6"/>
      <c r="JX135" s="6"/>
      <c r="JY135" s="6"/>
      <c r="JZ135" s="10"/>
      <c r="KA135" s="10"/>
      <c r="KB135" s="10"/>
      <c r="KC135" s="10"/>
      <c r="KD135" s="5"/>
      <c r="KE135" s="6"/>
    </row>
    <row r="136" spans="6:291" x14ac:dyDescent="0.3">
      <c r="F136" s="17"/>
      <c r="G136" s="9"/>
      <c r="H136" s="3"/>
      <c r="I136" s="3"/>
      <c r="J136" s="3"/>
      <c r="K136" s="3"/>
      <c r="L136" s="3"/>
      <c r="M136" s="3"/>
      <c r="N136" s="3"/>
      <c r="O136" s="3"/>
      <c r="P136" s="4"/>
      <c r="Q136" s="5"/>
      <c r="R136" s="5"/>
      <c r="S136" s="5"/>
      <c r="T136" s="6"/>
      <c r="U136" s="5"/>
      <c r="V136" s="6"/>
      <c r="W136" s="7"/>
      <c r="X136" s="8"/>
      <c r="Y136" s="6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6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C136" s="6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  <c r="JC136" s="5"/>
      <c r="JD136" s="5"/>
      <c r="JE136" s="5"/>
      <c r="JF136" s="5"/>
      <c r="JG136" s="5"/>
      <c r="JH136" s="5"/>
      <c r="JI136" s="5"/>
      <c r="JJ136" s="5"/>
      <c r="JK136" s="5"/>
      <c r="JM136" s="19"/>
      <c r="JN136" s="1">
        <v>134</v>
      </c>
      <c r="JO136" s="5">
        <f>HLOOKUP(JM136,HC$2:JK136,2+JN135,0)-IF(KE136&gt;0,KE136,0)</f>
        <v>0</v>
      </c>
      <c r="JP136" s="5"/>
      <c r="JQ136" s="5"/>
      <c r="JR136" s="5"/>
      <c r="JS136" s="6"/>
      <c r="JT136" s="23"/>
      <c r="JU136" s="13"/>
      <c r="JV136" s="6"/>
      <c r="JW136" s="6"/>
      <c r="JX136" s="6"/>
      <c r="JY136" s="6"/>
      <c r="JZ136" s="10"/>
      <c r="KA136" s="10"/>
      <c r="KB136" s="10"/>
      <c r="KC136" s="10"/>
      <c r="KD136" s="5"/>
      <c r="KE136" s="6"/>
    </row>
    <row r="137" spans="6:291" x14ac:dyDescent="0.3">
      <c r="F137" s="17"/>
      <c r="G137" s="9"/>
      <c r="H137" s="3"/>
      <c r="I137" s="3"/>
      <c r="J137" s="3"/>
      <c r="K137" s="3"/>
      <c r="L137" s="3"/>
      <c r="M137" s="3"/>
      <c r="N137" s="3"/>
      <c r="O137" s="3"/>
      <c r="P137" s="4"/>
      <c r="Q137" s="5"/>
      <c r="R137" s="5"/>
      <c r="S137" s="5"/>
      <c r="T137" s="6"/>
      <c r="U137" s="5"/>
      <c r="V137" s="6"/>
      <c r="W137" s="7"/>
      <c r="X137" s="8"/>
      <c r="Y137" s="6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6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C137" s="6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M137" s="19"/>
      <c r="JN137" s="1">
        <v>135</v>
      </c>
      <c r="JO137" s="5">
        <f>HLOOKUP(JM137,HC$2:JK137,2+JN136,0)-IF(KE137&gt;0,KE137,0)</f>
        <v>0</v>
      </c>
      <c r="JP137" s="5"/>
      <c r="JQ137" s="5"/>
      <c r="JR137" s="5"/>
      <c r="JS137" s="6"/>
      <c r="JT137" s="23"/>
      <c r="JU137" s="13"/>
      <c r="JV137" s="6"/>
      <c r="JW137" s="6"/>
      <c r="JX137" s="6"/>
      <c r="JY137" s="6"/>
      <c r="JZ137" s="10"/>
      <c r="KA137" s="10"/>
      <c r="KB137" s="10"/>
      <c r="KC137" s="10"/>
      <c r="KD137" s="5"/>
      <c r="KE137" s="6"/>
    </row>
    <row r="138" spans="6:291" x14ac:dyDescent="0.3">
      <c r="F138" s="17"/>
      <c r="G138" s="9"/>
      <c r="H138" s="3"/>
      <c r="I138" s="3"/>
      <c r="J138" s="3"/>
      <c r="K138" s="3"/>
      <c r="L138" s="3"/>
      <c r="M138" s="3"/>
      <c r="N138" s="3"/>
      <c r="O138" s="3"/>
      <c r="P138" s="4"/>
      <c r="Q138" s="5"/>
      <c r="R138" s="5"/>
      <c r="S138" s="5"/>
      <c r="T138" s="6"/>
      <c r="U138" s="5"/>
      <c r="V138" s="6"/>
      <c r="W138" s="7"/>
      <c r="X138" s="8"/>
      <c r="Y138" s="6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6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C138" s="6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M138" s="19"/>
      <c r="JN138" s="1">
        <v>136</v>
      </c>
      <c r="JO138" s="5">
        <f>HLOOKUP(JM138,HC$2:JK138,2+JN137,0)-IF(KE138&gt;0,KE138,0)</f>
        <v>0</v>
      </c>
      <c r="JP138" s="5"/>
      <c r="JQ138" s="5"/>
      <c r="JR138" s="5"/>
      <c r="JS138" s="6"/>
      <c r="JT138" s="23"/>
      <c r="JU138" s="13"/>
      <c r="JV138" s="6"/>
      <c r="JW138" s="6"/>
      <c r="JX138" s="6"/>
      <c r="JY138" s="6"/>
      <c r="JZ138" s="10"/>
      <c r="KA138" s="10"/>
      <c r="KB138" s="10"/>
      <c r="KC138" s="10"/>
      <c r="KD138" s="5"/>
      <c r="KE138" s="6"/>
    </row>
    <row r="139" spans="6:291" x14ac:dyDescent="0.3">
      <c r="F139" s="17"/>
      <c r="G139" s="9"/>
      <c r="H139" s="3"/>
      <c r="I139" s="3"/>
      <c r="J139" s="3"/>
      <c r="K139" s="3"/>
      <c r="L139" s="3"/>
      <c r="M139" s="3"/>
      <c r="N139" s="3"/>
      <c r="O139" s="3"/>
      <c r="P139" s="4"/>
      <c r="Q139" s="5"/>
      <c r="R139" s="5"/>
      <c r="S139" s="5"/>
      <c r="T139" s="6"/>
      <c r="U139" s="5"/>
      <c r="V139" s="6"/>
      <c r="W139" s="7"/>
      <c r="X139" s="8"/>
      <c r="Y139" s="6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6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C139" s="6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M139" s="19"/>
      <c r="JN139" s="1">
        <v>137</v>
      </c>
      <c r="JO139" s="5">
        <f>HLOOKUP(JM139,HC$2:JK139,2+JN138,0)-IF(KE139&gt;0,KE139,0)</f>
        <v>0</v>
      </c>
      <c r="JP139" s="5"/>
      <c r="JQ139" s="5"/>
      <c r="JR139" s="5"/>
      <c r="JS139" s="6"/>
      <c r="JT139" s="23"/>
      <c r="JU139" s="13"/>
      <c r="JV139" s="6"/>
      <c r="JW139" s="6"/>
      <c r="JX139" s="6"/>
      <c r="JY139" s="6"/>
      <c r="JZ139" s="10"/>
      <c r="KA139" s="10"/>
      <c r="KB139" s="10"/>
      <c r="KC139" s="10"/>
      <c r="KD139" s="5"/>
      <c r="KE139" s="6"/>
    </row>
    <row r="140" spans="6:291" x14ac:dyDescent="0.3">
      <c r="F140" s="17"/>
      <c r="G140" s="9"/>
      <c r="H140" s="3"/>
      <c r="I140" s="3"/>
      <c r="J140" s="3"/>
      <c r="K140" s="3"/>
      <c r="L140" s="3"/>
      <c r="M140" s="3"/>
      <c r="N140" s="3"/>
      <c r="O140" s="3"/>
      <c r="P140" s="4"/>
      <c r="Q140" s="5"/>
      <c r="R140" s="5"/>
      <c r="S140" s="5"/>
      <c r="T140" s="6"/>
      <c r="U140" s="5"/>
      <c r="V140" s="6"/>
      <c r="W140" s="7"/>
      <c r="X140" s="8"/>
      <c r="Y140" s="6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6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C140" s="6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  <c r="JC140" s="5"/>
      <c r="JD140" s="5"/>
      <c r="JE140" s="5"/>
      <c r="JF140" s="5"/>
      <c r="JG140" s="5"/>
      <c r="JH140" s="5"/>
      <c r="JI140" s="5"/>
      <c r="JJ140" s="5"/>
      <c r="JK140" s="5"/>
      <c r="JM140" s="19"/>
      <c r="JN140" s="1">
        <v>138</v>
      </c>
      <c r="JO140" s="5">
        <f>HLOOKUP(JM140,HC$2:JK140,2+JN139,0)-IF(KE140&gt;0,KE140,0)</f>
        <v>0</v>
      </c>
      <c r="JP140" s="5"/>
      <c r="JQ140" s="5"/>
      <c r="JR140" s="5"/>
      <c r="JS140" s="6"/>
      <c r="JT140" s="23"/>
      <c r="JU140" s="13"/>
      <c r="JV140" s="6"/>
      <c r="JW140" s="6"/>
      <c r="JX140" s="6"/>
      <c r="JY140" s="6"/>
      <c r="JZ140" s="10"/>
      <c r="KA140" s="10"/>
      <c r="KB140" s="10"/>
      <c r="KC140" s="10"/>
      <c r="KD140" s="5"/>
      <c r="KE140" s="6"/>
    </row>
    <row r="141" spans="6:291" x14ac:dyDescent="0.3">
      <c r="F141" s="17"/>
      <c r="G141" s="9"/>
      <c r="H141" s="3"/>
      <c r="I141" s="3"/>
      <c r="J141" s="3"/>
      <c r="K141" s="3"/>
      <c r="L141" s="3"/>
      <c r="M141" s="3"/>
      <c r="N141" s="3"/>
      <c r="O141" s="3"/>
      <c r="P141" s="4"/>
      <c r="Q141" s="5"/>
      <c r="R141" s="5"/>
      <c r="S141" s="5"/>
      <c r="T141" s="6"/>
      <c r="U141" s="5"/>
      <c r="V141" s="6"/>
      <c r="W141" s="7"/>
      <c r="X141" s="8"/>
      <c r="Y141" s="6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6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C141" s="6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M141" s="19"/>
      <c r="JN141" s="1">
        <v>139</v>
      </c>
      <c r="JO141" s="5">
        <f>HLOOKUP(JM141,HC$2:JK141,2+JN140,0)-IF(KE141&gt;0,KE141,0)</f>
        <v>0</v>
      </c>
      <c r="JP141" s="5"/>
      <c r="JQ141" s="5"/>
      <c r="JR141" s="5"/>
      <c r="JS141" s="6"/>
      <c r="JT141" s="23"/>
      <c r="JU141" s="13"/>
      <c r="JV141" s="6"/>
      <c r="JW141" s="6"/>
      <c r="JX141" s="6"/>
      <c r="JY141" s="6"/>
      <c r="JZ141" s="10"/>
      <c r="KA141" s="10"/>
      <c r="KB141" s="10"/>
      <c r="KC141" s="10"/>
      <c r="KD141" s="5"/>
      <c r="KE141" s="6"/>
    </row>
    <row r="142" spans="6:291" x14ac:dyDescent="0.3">
      <c r="F142" s="17"/>
      <c r="G142" s="9"/>
      <c r="H142" s="3"/>
      <c r="I142" s="3"/>
      <c r="J142" s="3"/>
      <c r="K142" s="3"/>
      <c r="L142" s="3"/>
      <c r="M142" s="3"/>
      <c r="N142" s="3"/>
      <c r="O142" s="3"/>
      <c r="P142" s="4"/>
      <c r="Q142" s="5"/>
      <c r="R142" s="5"/>
      <c r="S142" s="5"/>
      <c r="T142" s="6"/>
      <c r="U142" s="5"/>
      <c r="V142" s="6"/>
      <c r="W142" s="7"/>
      <c r="X142" s="8"/>
      <c r="Y142" s="6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6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C142" s="6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M142" s="19"/>
      <c r="JN142" s="1">
        <v>140</v>
      </c>
      <c r="JO142" s="5">
        <f>HLOOKUP(JM142,HC$2:JK142,2+JN141,0)-IF(KE142&gt;0,KE142,0)</f>
        <v>0</v>
      </c>
      <c r="JP142" s="5"/>
      <c r="JQ142" s="5"/>
      <c r="JR142" s="5"/>
      <c r="JS142" s="6"/>
      <c r="JT142" s="23"/>
      <c r="JU142" s="13"/>
      <c r="JV142" s="6"/>
      <c r="JW142" s="6"/>
      <c r="JX142" s="6"/>
      <c r="JY142" s="6"/>
      <c r="JZ142" s="10"/>
      <c r="KA142" s="10"/>
      <c r="KB142" s="10"/>
      <c r="KC142" s="10"/>
      <c r="KD142" s="5"/>
      <c r="KE142" s="6"/>
    </row>
    <row r="143" spans="6:291" x14ac:dyDescent="0.3">
      <c r="F143" s="17"/>
      <c r="G143" s="9"/>
      <c r="H143" s="3"/>
      <c r="I143" s="3"/>
      <c r="J143" s="3"/>
      <c r="K143" s="3"/>
      <c r="L143" s="3"/>
      <c r="M143" s="3"/>
      <c r="N143" s="3"/>
      <c r="O143" s="3"/>
      <c r="P143" s="4"/>
      <c r="Q143" s="5"/>
      <c r="R143" s="5"/>
      <c r="S143" s="5"/>
      <c r="T143" s="6"/>
      <c r="U143" s="5"/>
      <c r="V143" s="6"/>
      <c r="W143" s="7"/>
      <c r="X143" s="8"/>
      <c r="Y143" s="6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6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C143" s="6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M143" s="19"/>
      <c r="JN143" s="1">
        <v>141</v>
      </c>
      <c r="JO143" s="5">
        <f>HLOOKUP(JM143,HC$2:JK143,2+JN142,0)-IF(KE143&gt;0,KE143,0)</f>
        <v>0</v>
      </c>
      <c r="JP143" s="5"/>
      <c r="JQ143" s="5"/>
      <c r="JR143" s="5"/>
      <c r="JS143" s="6"/>
      <c r="JT143" s="23"/>
      <c r="JU143" s="13"/>
      <c r="JV143" s="6"/>
      <c r="JW143" s="6"/>
      <c r="JX143" s="6"/>
      <c r="JY143" s="6"/>
      <c r="JZ143" s="10"/>
      <c r="KA143" s="10"/>
      <c r="KB143" s="10"/>
      <c r="KC143" s="10"/>
      <c r="KD143" s="5"/>
      <c r="KE143" s="6"/>
    </row>
    <row r="144" spans="6:291" x14ac:dyDescent="0.3">
      <c r="F144" s="17"/>
      <c r="G144" s="9"/>
      <c r="H144" s="3"/>
      <c r="I144" s="3"/>
      <c r="J144" s="3"/>
      <c r="K144" s="3"/>
      <c r="L144" s="3"/>
      <c r="M144" s="3"/>
      <c r="N144" s="3"/>
      <c r="O144" s="3"/>
      <c r="P144" s="4"/>
      <c r="Q144" s="5"/>
      <c r="R144" s="5"/>
      <c r="S144" s="5"/>
      <c r="T144" s="6"/>
      <c r="U144" s="5"/>
      <c r="V144" s="6"/>
      <c r="W144" s="7"/>
      <c r="X144" s="8"/>
      <c r="Y144" s="6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6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C144" s="6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  <c r="JC144" s="5"/>
      <c r="JD144" s="5"/>
      <c r="JE144" s="5"/>
      <c r="JF144" s="5"/>
      <c r="JG144" s="5"/>
      <c r="JH144" s="5"/>
      <c r="JI144" s="5"/>
      <c r="JJ144" s="5"/>
      <c r="JK144" s="5"/>
      <c r="JM144" s="19"/>
      <c r="JN144" s="1">
        <v>142</v>
      </c>
      <c r="JO144" s="5">
        <f>HLOOKUP(JM144,HC$2:JK144,2+JN143,0)-IF(KE144&gt;0,KE144,0)</f>
        <v>0</v>
      </c>
      <c r="JP144" s="5"/>
      <c r="JQ144" s="5"/>
      <c r="JR144" s="5"/>
      <c r="JS144" s="6"/>
      <c r="JT144" s="23"/>
      <c r="JU144" s="13"/>
      <c r="JV144" s="6"/>
      <c r="JW144" s="6"/>
      <c r="JX144" s="6"/>
      <c r="JY144" s="6"/>
      <c r="JZ144" s="10"/>
      <c r="KA144" s="10"/>
      <c r="KB144" s="10"/>
      <c r="KC144" s="10"/>
      <c r="KD144" s="5"/>
      <c r="KE144" s="6"/>
    </row>
    <row r="145" spans="6:291" x14ac:dyDescent="0.3">
      <c r="F145" s="17"/>
      <c r="G145" s="9"/>
      <c r="H145" s="3"/>
      <c r="I145" s="3"/>
      <c r="J145" s="3"/>
      <c r="K145" s="3"/>
      <c r="L145" s="3"/>
      <c r="M145" s="3"/>
      <c r="N145" s="3"/>
      <c r="O145" s="3"/>
      <c r="P145" s="4"/>
      <c r="Q145" s="5"/>
      <c r="R145" s="5"/>
      <c r="S145" s="5"/>
      <c r="T145" s="6"/>
      <c r="U145" s="5"/>
      <c r="V145" s="6"/>
      <c r="W145" s="7"/>
      <c r="X145" s="8"/>
      <c r="Y145" s="6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6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C145" s="6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M145" s="19"/>
      <c r="JN145" s="1">
        <v>143</v>
      </c>
      <c r="JO145" s="5">
        <f>HLOOKUP(JM145,HC$2:JK145,2+JN144,0)-IF(KE145&gt;0,KE145,0)</f>
        <v>0</v>
      </c>
      <c r="JP145" s="5"/>
      <c r="JQ145" s="5"/>
      <c r="JR145" s="5"/>
      <c r="JS145" s="6"/>
      <c r="JT145" s="23"/>
      <c r="JU145" s="13"/>
      <c r="JV145" s="6"/>
      <c r="JW145" s="6"/>
      <c r="JX145" s="6"/>
      <c r="JY145" s="6"/>
      <c r="JZ145" s="10"/>
      <c r="KA145" s="10"/>
      <c r="KB145" s="10"/>
      <c r="KC145" s="10"/>
      <c r="KD145" s="5"/>
      <c r="KE145" s="6"/>
    </row>
    <row r="146" spans="6:291" x14ac:dyDescent="0.3">
      <c r="F146" s="17"/>
      <c r="G146" s="9"/>
      <c r="H146" s="3"/>
      <c r="I146" s="3"/>
      <c r="J146" s="3"/>
      <c r="K146" s="3"/>
      <c r="L146" s="3"/>
      <c r="M146" s="3"/>
      <c r="N146" s="3"/>
      <c r="O146" s="3"/>
      <c r="P146" s="4"/>
      <c r="Q146" s="5"/>
      <c r="R146" s="5"/>
      <c r="S146" s="5"/>
      <c r="T146" s="6"/>
      <c r="U146" s="5"/>
      <c r="V146" s="6"/>
      <c r="W146" s="7"/>
      <c r="X146" s="8"/>
      <c r="Y146" s="6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6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C146" s="6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M146" s="19"/>
      <c r="JN146" s="1">
        <v>144</v>
      </c>
      <c r="JO146" s="5">
        <f>HLOOKUP(JM146,HC$2:JK146,2+JN145,0)-IF(KE146&gt;0,KE146,0)</f>
        <v>0</v>
      </c>
      <c r="JP146" s="5"/>
      <c r="JQ146" s="5"/>
      <c r="JR146" s="5"/>
      <c r="JS146" s="6"/>
      <c r="JT146" s="23"/>
      <c r="JU146" s="13"/>
      <c r="JV146" s="6"/>
      <c r="JW146" s="6"/>
      <c r="JX146" s="6"/>
      <c r="JY146" s="6"/>
      <c r="JZ146" s="10"/>
      <c r="KA146" s="10"/>
      <c r="KB146" s="10"/>
      <c r="KC146" s="10"/>
      <c r="KD146" s="5"/>
      <c r="KE146" s="6"/>
    </row>
    <row r="147" spans="6:291" x14ac:dyDescent="0.3">
      <c r="F147" s="17"/>
      <c r="G147" s="9"/>
      <c r="H147" s="3"/>
      <c r="I147" s="3"/>
      <c r="J147" s="3"/>
      <c r="K147" s="3"/>
      <c r="L147" s="3"/>
      <c r="M147" s="3"/>
      <c r="N147" s="3"/>
      <c r="O147" s="3"/>
      <c r="P147" s="4"/>
      <c r="Q147" s="5"/>
      <c r="R147" s="5"/>
      <c r="S147" s="5"/>
      <c r="T147" s="6"/>
      <c r="U147" s="5"/>
      <c r="V147" s="6"/>
      <c r="W147" s="7"/>
      <c r="X147" s="8"/>
      <c r="Y147" s="6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6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C147" s="6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M147" s="19"/>
      <c r="JN147" s="1">
        <v>145</v>
      </c>
      <c r="JO147" s="5">
        <f>HLOOKUP(JM147,HC$2:JK147,2+JN146,0)-IF(KE147&gt;0,KE147,0)</f>
        <v>0</v>
      </c>
      <c r="JP147" s="5"/>
      <c r="JQ147" s="5"/>
      <c r="JR147" s="5"/>
      <c r="JS147" s="6"/>
      <c r="JT147" s="23"/>
      <c r="JU147" s="13"/>
      <c r="JV147" s="6"/>
      <c r="JW147" s="6"/>
      <c r="JX147" s="6"/>
      <c r="JY147" s="6"/>
      <c r="JZ147" s="10"/>
      <c r="KA147" s="10"/>
      <c r="KB147" s="10"/>
      <c r="KC147" s="10"/>
      <c r="KD147" s="5"/>
      <c r="KE147" s="6"/>
    </row>
    <row r="148" spans="6:291" x14ac:dyDescent="0.3">
      <c r="F148" s="17"/>
      <c r="G148" s="9"/>
      <c r="H148" s="3"/>
      <c r="I148" s="3"/>
      <c r="J148" s="3"/>
      <c r="K148" s="3"/>
      <c r="L148" s="3"/>
      <c r="M148" s="3"/>
      <c r="N148" s="3"/>
      <c r="O148" s="3"/>
      <c r="P148" s="4"/>
      <c r="Q148" s="5"/>
      <c r="R148" s="5"/>
      <c r="S148" s="5"/>
      <c r="T148" s="6"/>
      <c r="U148" s="5"/>
      <c r="V148" s="6"/>
      <c r="W148" s="7"/>
      <c r="X148" s="8"/>
      <c r="Y148" s="6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6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C148" s="6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  <c r="JC148" s="5"/>
      <c r="JD148" s="5"/>
      <c r="JE148" s="5"/>
      <c r="JF148" s="5"/>
      <c r="JG148" s="5"/>
      <c r="JH148" s="5"/>
      <c r="JI148" s="5"/>
      <c r="JJ148" s="5"/>
      <c r="JK148" s="5"/>
      <c r="JM148" s="19"/>
      <c r="JN148" s="1">
        <v>146</v>
      </c>
      <c r="JO148" s="5">
        <f>HLOOKUP(JM148,HC$2:JK148,2+JN147,0)-IF(KE148&gt;0,KE148,0)</f>
        <v>0</v>
      </c>
      <c r="JP148" s="5"/>
      <c r="JQ148" s="5"/>
      <c r="JR148" s="5"/>
      <c r="JS148" s="6"/>
      <c r="JT148" s="23"/>
      <c r="JU148" s="13"/>
      <c r="JV148" s="6"/>
      <c r="JW148" s="6"/>
      <c r="JX148" s="6"/>
      <c r="JY148" s="6"/>
      <c r="JZ148" s="10"/>
      <c r="KA148" s="10"/>
      <c r="KB148" s="10"/>
      <c r="KC148" s="10"/>
      <c r="KD148" s="5"/>
      <c r="KE148" s="6"/>
    </row>
    <row r="149" spans="6:291" x14ac:dyDescent="0.3">
      <c r="F149" s="17"/>
      <c r="G149" s="9"/>
      <c r="H149" s="3"/>
      <c r="I149" s="3"/>
      <c r="J149" s="3"/>
      <c r="K149" s="3"/>
      <c r="L149" s="3"/>
      <c r="M149" s="3"/>
      <c r="N149" s="3"/>
      <c r="O149" s="3"/>
      <c r="P149" s="4"/>
      <c r="Q149" s="5"/>
      <c r="R149" s="5"/>
      <c r="S149" s="5"/>
      <c r="T149" s="6"/>
      <c r="U149" s="5"/>
      <c r="V149" s="6"/>
      <c r="W149" s="7"/>
      <c r="X149" s="8"/>
      <c r="Y149" s="6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6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C149" s="6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M149" s="19"/>
      <c r="JN149" s="1">
        <v>147</v>
      </c>
      <c r="JO149" s="5">
        <f>HLOOKUP(JM149,HC$2:JK149,2+JN148,0)-IF(KE149&gt;0,KE149,0)</f>
        <v>0</v>
      </c>
      <c r="JP149" s="5"/>
      <c r="JQ149" s="5"/>
      <c r="JR149" s="5"/>
      <c r="JS149" s="6"/>
      <c r="JT149" s="23"/>
      <c r="JU149" s="13"/>
      <c r="JV149" s="6"/>
      <c r="JW149" s="6"/>
      <c r="JX149" s="6"/>
      <c r="JY149" s="6"/>
      <c r="JZ149" s="10"/>
      <c r="KA149" s="10"/>
      <c r="KB149" s="10"/>
      <c r="KC149" s="10"/>
      <c r="KD149" s="5"/>
      <c r="KE149" s="6"/>
    </row>
    <row r="150" spans="6:291" x14ac:dyDescent="0.3">
      <c r="F150" s="17"/>
      <c r="G150" s="9"/>
      <c r="H150" s="3"/>
      <c r="I150" s="3"/>
      <c r="J150" s="3"/>
      <c r="K150" s="3"/>
      <c r="L150" s="3"/>
      <c r="M150" s="3"/>
      <c r="N150" s="3"/>
      <c r="O150" s="3"/>
      <c r="P150" s="4"/>
      <c r="Q150" s="5"/>
      <c r="R150" s="5"/>
      <c r="S150" s="5"/>
      <c r="T150" s="6"/>
      <c r="U150" s="5"/>
      <c r="V150" s="6"/>
      <c r="W150" s="7"/>
      <c r="X150" s="8"/>
      <c r="Y150" s="6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6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C150" s="6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M150" s="19"/>
      <c r="JN150" s="1">
        <v>148</v>
      </c>
      <c r="JO150" s="5">
        <f>HLOOKUP(JM150,HC$2:JK150,2+JN149,0)-IF(KE150&gt;0,KE150,0)</f>
        <v>0</v>
      </c>
      <c r="JP150" s="5"/>
      <c r="JQ150" s="5"/>
      <c r="JR150" s="5"/>
      <c r="JS150" s="6"/>
      <c r="JT150" s="23"/>
      <c r="JU150" s="13"/>
      <c r="JV150" s="6"/>
      <c r="JW150" s="6"/>
      <c r="JX150" s="6"/>
      <c r="JY150" s="6"/>
      <c r="JZ150" s="10"/>
      <c r="KA150" s="10"/>
      <c r="KB150" s="10"/>
      <c r="KC150" s="10"/>
      <c r="KD150" s="5"/>
      <c r="KE150" s="6"/>
    </row>
    <row r="151" spans="6:291" x14ac:dyDescent="0.3">
      <c r="F151" s="17"/>
      <c r="G151" s="9"/>
      <c r="H151" s="3"/>
      <c r="I151" s="3"/>
      <c r="J151" s="3"/>
      <c r="K151" s="3"/>
      <c r="L151" s="3"/>
      <c r="M151" s="3"/>
      <c r="N151" s="3"/>
      <c r="O151" s="3"/>
      <c r="P151" s="4"/>
      <c r="Q151" s="5"/>
      <c r="R151" s="5"/>
      <c r="S151" s="5"/>
      <c r="T151" s="6"/>
      <c r="U151" s="5"/>
      <c r="V151" s="6"/>
      <c r="W151" s="7"/>
      <c r="X151" s="8"/>
      <c r="Y151" s="6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6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C151" s="6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M151" s="19"/>
      <c r="JN151" s="1">
        <v>149</v>
      </c>
      <c r="JO151" s="5">
        <f>HLOOKUP(JM151,HC$2:JK151,2+JN150,0)-IF(KE151&gt;0,KE151,0)</f>
        <v>0</v>
      </c>
      <c r="JP151" s="5"/>
      <c r="JQ151" s="5"/>
      <c r="JR151" s="5"/>
      <c r="JS151" s="6"/>
      <c r="JT151" s="23"/>
      <c r="JU151" s="13"/>
      <c r="JV151" s="6"/>
      <c r="JW151" s="6"/>
      <c r="JX151" s="6"/>
      <c r="JY151" s="6"/>
      <c r="JZ151" s="10"/>
      <c r="KA151" s="10"/>
      <c r="KB151" s="10"/>
      <c r="KC151" s="10"/>
      <c r="KD151" s="5"/>
      <c r="KE151" s="6"/>
    </row>
    <row r="152" spans="6:291" x14ac:dyDescent="0.3">
      <c r="F152" s="17"/>
      <c r="G152" s="9"/>
      <c r="H152" s="3"/>
      <c r="I152" s="3"/>
      <c r="J152" s="3"/>
      <c r="K152" s="3"/>
      <c r="L152" s="3"/>
      <c r="M152" s="3"/>
      <c r="N152" s="3"/>
      <c r="O152" s="3"/>
      <c r="P152" s="4"/>
      <c r="Q152" s="5"/>
      <c r="R152" s="5"/>
      <c r="S152" s="5"/>
      <c r="T152" s="6"/>
      <c r="U152" s="5"/>
      <c r="V152" s="6"/>
      <c r="W152" s="7"/>
      <c r="X152" s="8"/>
      <c r="Y152" s="6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6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C152" s="6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  <c r="JC152" s="5"/>
      <c r="JD152" s="5"/>
      <c r="JE152" s="5"/>
      <c r="JF152" s="5"/>
      <c r="JG152" s="5"/>
      <c r="JH152" s="5"/>
      <c r="JI152" s="5"/>
      <c r="JJ152" s="5"/>
      <c r="JK152" s="5"/>
      <c r="JM152" s="19"/>
      <c r="JN152" s="1">
        <v>150</v>
      </c>
      <c r="JO152" s="5">
        <f>HLOOKUP(JM152,HC$2:JK152,2+JN151,0)-IF(KE152&gt;0,KE152,0)</f>
        <v>0</v>
      </c>
      <c r="JP152" s="5"/>
      <c r="JQ152" s="5"/>
      <c r="JR152" s="5"/>
      <c r="JS152" s="6"/>
      <c r="JT152" s="23"/>
      <c r="JU152" s="13"/>
      <c r="JV152" s="6"/>
      <c r="JW152" s="6"/>
      <c r="JX152" s="6"/>
      <c r="JY152" s="6"/>
      <c r="JZ152" s="10"/>
      <c r="KA152" s="10"/>
      <c r="KB152" s="10"/>
      <c r="KC152" s="10"/>
      <c r="KD152" s="5"/>
      <c r="KE152" s="6"/>
    </row>
    <row r="153" spans="6:291" x14ac:dyDescent="0.3">
      <c r="F153" s="17"/>
      <c r="G153" s="9"/>
      <c r="H153" s="3"/>
      <c r="I153" s="3"/>
      <c r="J153" s="3"/>
      <c r="K153" s="3"/>
      <c r="L153" s="3"/>
      <c r="M153" s="3"/>
      <c r="N153" s="3"/>
      <c r="O153" s="3"/>
      <c r="P153" s="4"/>
      <c r="Q153" s="5"/>
      <c r="R153" s="5"/>
      <c r="S153" s="5"/>
      <c r="T153" s="6"/>
      <c r="U153" s="5"/>
      <c r="V153" s="6"/>
      <c r="W153" s="7"/>
      <c r="X153" s="8"/>
      <c r="Y153" s="6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6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C153" s="6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M153" s="19"/>
      <c r="JN153" s="1">
        <v>151</v>
      </c>
      <c r="JO153" s="5">
        <f>HLOOKUP(JM153,HC$2:JK153,2+JN152,0)-IF(KE153&gt;0,KE153,0)</f>
        <v>0</v>
      </c>
      <c r="JP153" s="5"/>
      <c r="JQ153" s="5"/>
      <c r="JR153" s="5"/>
      <c r="JS153" s="6"/>
      <c r="JT153" s="23"/>
      <c r="JU153" s="13"/>
      <c r="JV153" s="6"/>
      <c r="JW153" s="6"/>
      <c r="JX153" s="6"/>
      <c r="JY153" s="6"/>
      <c r="JZ153" s="10"/>
      <c r="KA153" s="10"/>
      <c r="KB153" s="10"/>
      <c r="KC153" s="10"/>
      <c r="KD153" s="5"/>
      <c r="KE153" s="6"/>
    </row>
    <row r="154" spans="6:291" x14ac:dyDescent="0.3">
      <c r="F154" s="17"/>
      <c r="G154" s="9"/>
      <c r="H154" s="3"/>
      <c r="I154" s="3"/>
      <c r="J154" s="3"/>
      <c r="K154" s="3"/>
      <c r="L154" s="3"/>
      <c r="M154" s="3"/>
      <c r="N154" s="3"/>
      <c r="O154" s="3"/>
      <c r="P154" s="4"/>
      <c r="Q154" s="5"/>
      <c r="R154" s="5"/>
      <c r="S154" s="5"/>
      <c r="T154" s="6"/>
      <c r="U154" s="5"/>
      <c r="V154" s="6"/>
      <c r="W154" s="7"/>
      <c r="X154" s="8"/>
      <c r="Y154" s="6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6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C154" s="6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M154" s="19"/>
      <c r="JN154" s="1">
        <v>152</v>
      </c>
      <c r="JO154" s="5">
        <f>HLOOKUP(JM154,HC$2:JK154,2+JN153,0)-IF(KE154&gt;0,KE154,0)</f>
        <v>0</v>
      </c>
      <c r="JP154" s="5"/>
      <c r="JQ154" s="5"/>
      <c r="JR154" s="5"/>
      <c r="JS154" s="6"/>
      <c r="JT154" s="23"/>
      <c r="JU154" s="13"/>
      <c r="JV154" s="6"/>
      <c r="JW154" s="6"/>
      <c r="JX154" s="6"/>
      <c r="JY154" s="6"/>
      <c r="JZ154" s="10"/>
      <c r="KA154" s="10"/>
      <c r="KB154" s="10"/>
      <c r="KC154" s="10"/>
      <c r="KD154" s="5"/>
      <c r="KE154" s="6"/>
    </row>
    <row r="155" spans="6:291" x14ac:dyDescent="0.3">
      <c r="F155" s="17"/>
      <c r="G155" s="9"/>
      <c r="H155" s="3"/>
      <c r="I155" s="3"/>
      <c r="J155" s="3"/>
      <c r="K155" s="3"/>
      <c r="L155" s="3"/>
      <c r="M155" s="3"/>
      <c r="N155" s="3"/>
      <c r="O155" s="3"/>
      <c r="P155" s="4"/>
      <c r="Q155" s="5"/>
      <c r="R155" s="5"/>
      <c r="S155" s="5"/>
      <c r="T155" s="6"/>
      <c r="U155" s="5"/>
      <c r="V155" s="6"/>
      <c r="W155" s="7"/>
      <c r="X155" s="8"/>
      <c r="Y155" s="6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6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C155" s="6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M155" s="19"/>
      <c r="JN155" s="1">
        <v>153</v>
      </c>
      <c r="JO155" s="5">
        <f>HLOOKUP(JM155,HC$2:JK155,2+JN154,0)-IF(KE155&gt;0,KE155,0)</f>
        <v>0</v>
      </c>
      <c r="JP155" s="5"/>
      <c r="JQ155" s="5"/>
      <c r="JR155" s="5"/>
      <c r="JS155" s="6"/>
      <c r="JT155" s="23"/>
      <c r="JU155" s="13"/>
      <c r="JV155" s="6"/>
      <c r="JW155" s="6"/>
      <c r="JX155" s="6"/>
      <c r="JY155" s="6"/>
      <c r="JZ155" s="10"/>
      <c r="KA155" s="10"/>
      <c r="KB155" s="10"/>
      <c r="KC155" s="10"/>
      <c r="KD155" s="5"/>
      <c r="KE155" s="6"/>
    </row>
    <row r="156" spans="6:291" x14ac:dyDescent="0.3">
      <c r="F156" s="17"/>
      <c r="G156" s="9"/>
      <c r="H156" s="3"/>
      <c r="I156" s="3"/>
      <c r="J156" s="3"/>
      <c r="K156" s="3"/>
      <c r="L156" s="3"/>
      <c r="M156" s="3"/>
      <c r="N156" s="3"/>
      <c r="O156" s="3"/>
      <c r="P156" s="4"/>
      <c r="Q156" s="5"/>
      <c r="R156" s="5"/>
      <c r="S156" s="5"/>
      <c r="T156" s="6"/>
      <c r="U156" s="5"/>
      <c r="V156" s="6"/>
      <c r="W156" s="7"/>
      <c r="X156" s="8"/>
      <c r="Y156" s="6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6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C156" s="6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  <c r="JC156" s="5"/>
      <c r="JD156" s="5"/>
      <c r="JE156" s="5"/>
      <c r="JF156" s="5"/>
      <c r="JG156" s="5"/>
      <c r="JH156" s="5"/>
      <c r="JI156" s="5"/>
      <c r="JJ156" s="5"/>
      <c r="JK156" s="5"/>
      <c r="JM156" s="19"/>
      <c r="JN156" s="1">
        <v>154</v>
      </c>
      <c r="JO156" s="5">
        <f>HLOOKUP(JM156,HC$2:JK156,2+JN155,0)-IF(KE156&gt;0,KE156,0)+S156</f>
        <v>0</v>
      </c>
      <c r="JP156" s="5"/>
      <c r="JQ156" s="5"/>
      <c r="JR156" s="5"/>
      <c r="JS156" s="6"/>
      <c r="JT156" s="23"/>
      <c r="JU156" s="13"/>
      <c r="JV156" s="6"/>
      <c r="JW156" s="6"/>
      <c r="JX156" s="6"/>
      <c r="JY156" s="6"/>
      <c r="JZ156" s="10"/>
      <c r="KA156" s="10"/>
      <c r="KB156" s="10"/>
      <c r="KC156" s="10"/>
      <c r="KD156" s="5"/>
      <c r="KE156" s="6"/>
    </row>
    <row r="157" spans="6:291" x14ac:dyDescent="0.3">
      <c r="F157" s="17"/>
      <c r="G157" s="9"/>
      <c r="H157" s="3"/>
      <c r="I157" s="3"/>
      <c r="J157" s="3"/>
      <c r="K157" s="3"/>
      <c r="L157" s="3"/>
      <c r="M157" s="3"/>
      <c r="N157" s="3"/>
      <c r="O157" s="3"/>
      <c r="P157" s="4"/>
      <c r="Q157" s="5"/>
      <c r="R157" s="5"/>
      <c r="S157" s="5"/>
      <c r="T157" s="6"/>
      <c r="U157" s="5"/>
      <c r="V157" s="6"/>
      <c r="W157" s="7"/>
      <c r="X157" s="8"/>
      <c r="Y157" s="6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6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C157" s="6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M157" s="19"/>
      <c r="JN157" s="1">
        <v>155</v>
      </c>
      <c r="JO157" s="5">
        <f>HLOOKUP(JM157,HC$2:JK157,2+JN156,0)-IF(KE157&gt;0,KE157,0)</f>
        <v>0</v>
      </c>
      <c r="JP157" s="5"/>
      <c r="JQ157" s="5"/>
      <c r="JR157" s="5"/>
      <c r="JS157" s="6"/>
      <c r="JT157" s="23"/>
      <c r="JU157" s="13"/>
      <c r="JV157" s="6"/>
      <c r="JW157" s="6"/>
      <c r="JX157" s="6"/>
      <c r="JY157" s="6"/>
      <c r="JZ157" s="10"/>
      <c r="KA157" s="10"/>
      <c r="KB157" s="10"/>
      <c r="KC157" s="10"/>
      <c r="KD157" s="5"/>
      <c r="KE157" s="6"/>
    </row>
    <row r="158" spans="6:291" x14ac:dyDescent="0.3">
      <c r="F158" s="17"/>
      <c r="G158" s="9"/>
      <c r="H158" s="3"/>
      <c r="I158" s="3"/>
      <c r="J158" s="3"/>
      <c r="K158" s="3"/>
      <c r="L158" s="3"/>
      <c r="M158" s="3"/>
      <c r="N158" s="3"/>
      <c r="O158" s="3"/>
      <c r="P158" s="4"/>
      <c r="Q158" s="5"/>
      <c r="R158" s="5"/>
      <c r="S158" s="5"/>
      <c r="T158" s="6"/>
      <c r="U158" s="5"/>
      <c r="V158" s="6"/>
      <c r="W158" s="7"/>
      <c r="X158" s="8"/>
      <c r="Y158" s="6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6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C158" s="6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M158" s="19"/>
      <c r="JN158" s="1">
        <v>156</v>
      </c>
      <c r="JO158" s="5">
        <f>HLOOKUP(JM158,HC$2:JK158,2+JN157,0)-IF(KE158&gt;0,KE158,0)</f>
        <v>0</v>
      </c>
      <c r="JP158" s="5"/>
      <c r="JQ158" s="5"/>
      <c r="JR158" s="5"/>
      <c r="JS158" s="6"/>
      <c r="JT158" s="23"/>
      <c r="JU158" s="13"/>
      <c r="JV158" s="6"/>
      <c r="JW158" s="6"/>
      <c r="JX158" s="6"/>
      <c r="JY158" s="6"/>
      <c r="JZ158" s="10"/>
      <c r="KA158" s="10"/>
      <c r="KB158" s="10"/>
      <c r="KC158" s="10"/>
      <c r="KD158" s="5"/>
      <c r="KE158" s="6"/>
    </row>
    <row r="159" spans="6:291" x14ac:dyDescent="0.3">
      <c r="F159" s="17"/>
      <c r="G159" s="9"/>
      <c r="H159" s="3"/>
      <c r="I159" s="3"/>
      <c r="J159" s="3"/>
      <c r="K159" s="3"/>
      <c r="L159" s="3"/>
      <c r="M159" s="3"/>
      <c r="N159" s="3"/>
      <c r="O159" s="3"/>
      <c r="P159" s="4"/>
      <c r="Q159" s="5"/>
      <c r="R159" s="5"/>
      <c r="S159" s="5"/>
      <c r="T159" s="6"/>
      <c r="U159" s="5"/>
      <c r="V159" s="6"/>
      <c r="W159" s="7"/>
      <c r="X159" s="8"/>
      <c r="Y159" s="6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6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C159" s="6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M159" s="19"/>
      <c r="JN159" s="1">
        <v>157</v>
      </c>
      <c r="JO159" s="5">
        <f>HLOOKUP(JM159,HC$2:JK159,2+JN158,0)-IF(KE159&gt;0,KE159,0)</f>
        <v>0</v>
      </c>
      <c r="JP159" s="5"/>
      <c r="JQ159" s="5"/>
      <c r="JR159" s="5"/>
      <c r="JS159" s="6"/>
      <c r="JT159" s="23"/>
      <c r="JU159" s="13"/>
      <c r="JV159" s="6"/>
      <c r="JW159" s="6"/>
      <c r="JX159" s="6"/>
      <c r="JY159" s="6"/>
      <c r="JZ159" s="10"/>
      <c r="KA159" s="10"/>
      <c r="KB159" s="10"/>
      <c r="KC159" s="10"/>
      <c r="KD159" s="5"/>
      <c r="KE159" s="6"/>
    </row>
    <row r="160" spans="6:291" x14ac:dyDescent="0.3">
      <c r="F160" s="17"/>
      <c r="G160" s="9"/>
      <c r="H160" s="3"/>
      <c r="I160" s="3"/>
      <c r="J160" s="3"/>
      <c r="K160" s="3"/>
      <c r="L160" s="3"/>
      <c r="M160" s="3"/>
      <c r="N160" s="3"/>
      <c r="O160" s="3"/>
      <c r="P160" s="4"/>
      <c r="Q160" s="5"/>
      <c r="R160" s="5"/>
      <c r="S160" s="5"/>
      <c r="T160" s="6"/>
      <c r="U160" s="5"/>
      <c r="V160" s="6"/>
      <c r="W160" s="7"/>
      <c r="X160" s="8"/>
      <c r="Y160" s="6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6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C160" s="6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  <c r="JC160" s="5"/>
      <c r="JD160" s="5"/>
      <c r="JE160" s="5"/>
      <c r="JF160" s="5"/>
      <c r="JG160" s="5"/>
      <c r="JH160" s="5"/>
      <c r="JI160" s="5"/>
      <c r="JJ160" s="5"/>
      <c r="JK160" s="5"/>
      <c r="JM160" s="19"/>
      <c r="JN160" s="1">
        <v>158</v>
      </c>
      <c r="JO160" s="5">
        <f>HLOOKUP(JM160,HC$2:JK160,2+JN159,0)-IF(KE160&gt;0,KE160,0)</f>
        <v>0</v>
      </c>
      <c r="JP160" s="5"/>
      <c r="JQ160" s="5"/>
      <c r="JR160" s="5"/>
      <c r="JS160" s="6"/>
      <c r="JT160" s="23"/>
      <c r="JU160" s="13"/>
      <c r="JV160" s="6"/>
      <c r="JW160" s="6"/>
      <c r="JX160" s="6"/>
      <c r="JY160" s="6"/>
      <c r="JZ160" s="10"/>
      <c r="KA160" s="10"/>
      <c r="KB160" s="10"/>
      <c r="KC160" s="10"/>
      <c r="KD160" s="5"/>
      <c r="KE160" s="6"/>
    </row>
    <row r="161" spans="6:291" x14ac:dyDescent="0.3">
      <c r="F161" s="17"/>
      <c r="G161" s="9"/>
      <c r="H161" s="3"/>
      <c r="I161" s="3"/>
      <c r="J161" s="3"/>
      <c r="K161" s="3"/>
      <c r="L161" s="3"/>
      <c r="M161" s="3"/>
      <c r="N161" s="3"/>
      <c r="O161" s="3"/>
      <c r="P161" s="4"/>
      <c r="Q161" s="5"/>
      <c r="R161" s="5"/>
      <c r="S161" s="5"/>
      <c r="T161" s="6"/>
      <c r="U161" s="5"/>
      <c r="V161" s="6"/>
      <c r="W161" s="7"/>
      <c r="X161" s="8"/>
      <c r="Y161" s="6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6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C161" s="6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M161" s="19"/>
      <c r="JN161" s="1">
        <v>159</v>
      </c>
      <c r="JO161" s="5">
        <f>HLOOKUP(JM161,HC$2:JK161,2+JN160,0)-IF(KE161&gt;0,KE161,0)</f>
        <v>0</v>
      </c>
      <c r="JP161" s="5"/>
      <c r="JQ161" s="5"/>
      <c r="JR161" s="5"/>
      <c r="JS161" s="6"/>
      <c r="JT161" s="23"/>
      <c r="JU161" s="13"/>
      <c r="JV161" s="6"/>
      <c r="JW161" s="6"/>
      <c r="JX161" s="6"/>
      <c r="JY161" s="6"/>
      <c r="JZ161" s="10"/>
      <c r="KA161" s="10"/>
      <c r="KB161" s="10"/>
      <c r="KC161" s="10"/>
      <c r="KD161" s="5"/>
      <c r="KE161" s="6"/>
    </row>
    <row r="162" spans="6:291" x14ac:dyDescent="0.3">
      <c r="F162" s="17"/>
      <c r="G162" s="9"/>
      <c r="H162" s="3"/>
      <c r="I162" s="3"/>
      <c r="J162" s="3"/>
      <c r="K162" s="3"/>
      <c r="L162" s="3"/>
      <c r="M162" s="3"/>
      <c r="N162" s="3"/>
      <c r="O162" s="3"/>
      <c r="P162" s="4"/>
      <c r="Q162" s="5"/>
      <c r="R162" s="5"/>
      <c r="S162" s="5"/>
      <c r="T162" s="6"/>
      <c r="U162" s="5"/>
      <c r="V162" s="6"/>
      <c r="W162" s="7"/>
      <c r="X162" s="8"/>
      <c r="Y162" s="6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6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C162" s="6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M162" s="19"/>
      <c r="JN162" s="1">
        <v>160</v>
      </c>
      <c r="JO162" s="5">
        <f>HLOOKUP(JM162,HC$2:JK162,2+JN161,0)-IF(KE162&gt;0,KE162,0)</f>
        <v>0</v>
      </c>
      <c r="JP162" s="5"/>
      <c r="JQ162" s="5"/>
      <c r="JR162" s="5"/>
      <c r="JS162" s="6"/>
      <c r="JT162" s="23"/>
      <c r="JU162" s="13"/>
      <c r="JV162" s="6"/>
      <c r="JW162" s="6"/>
      <c r="JX162" s="6"/>
      <c r="JY162" s="6"/>
      <c r="JZ162" s="10"/>
      <c r="KA162" s="10"/>
      <c r="KB162" s="10"/>
      <c r="KC162" s="10"/>
      <c r="KD162" s="5"/>
      <c r="KE162" s="6"/>
    </row>
    <row r="163" spans="6:291" x14ac:dyDescent="0.3">
      <c r="F163" s="17"/>
      <c r="G163" s="9"/>
      <c r="H163" s="3"/>
      <c r="I163" s="3"/>
      <c r="J163" s="3"/>
      <c r="K163" s="3"/>
      <c r="L163" s="3"/>
      <c r="M163" s="3"/>
      <c r="N163" s="3"/>
      <c r="O163" s="3"/>
      <c r="P163" s="4"/>
      <c r="Q163" s="5"/>
      <c r="R163" s="5"/>
      <c r="S163" s="5"/>
      <c r="T163" s="6"/>
      <c r="U163" s="5"/>
      <c r="V163" s="6"/>
      <c r="W163" s="7"/>
      <c r="X163" s="8"/>
      <c r="Y163" s="6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6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C163" s="6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M163" s="19"/>
      <c r="JN163" s="1">
        <v>161</v>
      </c>
      <c r="JO163" s="5">
        <f>HLOOKUP(JM163,HC$2:JK163,2+JN162,0)-IF(KE163&gt;0,KE163,0)</f>
        <v>0</v>
      </c>
      <c r="JP163" s="5"/>
      <c r="JQ163" s="5"/>
      <c r="JR163" s="5"/>
      <c r="JS163" s="6"/>
      <c r="JT163" s="23"/>
      <c r="JU163" s="13"/>
      <c r="JV163" s="6"/>
      <c r="JW163" s="6"/>
      <c r="JX163" s="6"/>
      <c r="JY163" s="6"/>
      <c r="JZ163" s="10"/>
      <c r="KA163" s="10"/>
      <c r="KB163" s="10"/>
      <c r="KC163" s="10"/>
      <c r="KD163" s="5"/>
      <c r="KE163" s="6"/>
    </row>
    <row r="164" spans="6:291" x14ac:dyDescent="0.3">
      <c r="F164" s="17"/>
      <c r="G164" s="9"/>
      <c r="H164" s="3"/>
      <c r="I164" s="3"/>
      <c r="J164" s="3"/>
      <c r="K164" s="3"/>
      <c r="L164" s="3"/>
      <c r="M164" s="3"/>
      <c r="N164" s="3"/>
      <c r="O164" s="3"/>
      <c r="P164" s="4"/>
      <c r="Q164" s="5"/>
      <c r="R164" s="5"/>
      <c r="S164" s="5"/>
      <c r="T164" s="6"/>
      <c r="U164" s="5"/>
      <c r="V164" s="6"/>
      <c r="W164" s="7"/>
      <c r="X164" s="8"/>
      <c r="Y164" s="6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6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C164" s="6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  <c r="JC164" s="5"/>
      <c r="JD164" s="5"/>
      <c r="JE164" s="5"/>
      <c r="JF164" s="5"/>
      <c r="JG164" s="5"/>
      <c r="JH164" s="5"/>
      <c r="JI164" s="5"/>
      <c r="JJ164" s="5"/>
      <c r="JK164" s="5"/>
      <c r="JM164" s="19"/>
      <c r="JN164" s="1">
        <v>162</v>
      </c>
      <c r="JO164" s="5">
        <f>HLOOKUP(JM164,HC$2:JK164,2+JN163,0)-IF(KE164&gt;0,KE164,0)</f>
        <v>0</v>
      </c>
      <c r="JP164" s="5"/>
      <c r="JQ164" s="5"/>
      <c r="JR164" s="5"/>
      <c r="JS164" s="6"/>
      <c r="JT164" s="23"/>
      <c r="JU164" s="13"/>
      <c r="JV164" s="6"/>
      <c r="JW164" s="6"/>
      <c r="JX164" s="6"/>
      <c r="JY164" s="6"/>
      <c r="JZ164" s="10"/>
      <c r="KA164" s="10"/>
      <c r="KB164" s="10"/>
      <c r="KC164" s="10"/>
      <c r="KD164" s="5"/>
      <c r="KE164" s="6"/>
    </row>
    <row r="165" spans="6:291" x14ac:dyDescent="0.3">
      <c r="F165" s="17"/>
      <c r="G165" s="9"/>
      <c r="H165" s="3"/>
      <c r="I165" s="3"/>
      <c r="J165" s="3"/>
      <c r="K165" s="3"/>
      <c r="L165" s="3"/>
      <c r="M165" s="3"/>
      <c r="N165" s="3"/>
      <c r="O165" s="3"/>
      <c r="P165" s="4"/>
      <c r="Q165" s="5"/>
      <c r="R165" s="5"/>
      <c r="S165" s="5"/>
      <c r="T165" s="6"/>
      <c r="U165" s="5"/>
      <c r="V165" s="6"/>
      <c r="W165" s="7"/>
      <c r="X165" s="8"/>
      <c r="Y165" s="6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6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C165" s="6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M165" s="19"/>
      <c r="JN165" s="1">
        <v>163</v>
      </c>
      <c r="JO165" s="5">
        <f>HLOOKUP(JM165,HC$2:JK165,2+JN164,0)-IF(KE165&gt;0,KE165,0)</f>
        <v>0</v>
      </c>
      <c r="JP165" s="5"/>
      <c r="JQ165" s="5"/>
      <c r="JR165" s="5"/>
      <c r="JS165" s="6"/>
      <c r="JT165" s="23"/>
      <c r="JU165" s="13"/>
      <c r="JV165" s="6"/>
      <c r="JW165" s="6"/>
      <c r="JX165" s="6"/>
      <c r="JY165" s="6"/>
      <c r="JZ165" s="10"/>
      <c r="KA165" s="10"/>
      <c r="KB165" s="10"/>
      <c r="KC165" s="10"/>
      <c r="KD165" s="5"/>
      <c r="KE165" s="6"/>
    </row>
    <row r="166" spans="6:291" x14ac:dyDescent="0.3">
      <c r="F166" s="17"/>
      <c r="G166" s="9"/>
      <c r="H166" s="3"/>
      <c r="I166" s="3"/>
      <c r="J166" s="3"/>
      <c r="K166" s="3"/>
      <c r="L166" s="3"/>
      <c r="M166" s="3"/>
      <c r="N166" s="3"/>
      <c r="O166" s="3"/>
      <c r="P166" s="4"/>
      <c r="Q166" s="5"/>
      <c r="R166" s="5"/>
      <c r="S166" s="5"/>
      <c r="T166" s="6"/>
      <c r="U166" s="5"/>
      <c r="V166" s="6"/>
      <c r="W166" s="7"/>
      <c r="X166" s="8"/>
      <c r="Y166" s="6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6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C166" s="6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M166" s="19"/>
      <c r="JN166" s="1">
        <v>164</v>
      </c>
      <c r="JO166" s="5">
        <f>HLOOKUP(JM166,HC$2:JK166,2+JN165,0)-IF(KE166&gt;0,KE166,0)</f>
        <v>0</v>
      </c>
      <c r="JP166" s="5"/>
      <c r="JQ166" s="5"/>
      <c r="JR166" s="5"/>
      <c r="JS166" s="6"/>
      <c r="JT166" s="23"/>
      <c r="JU166" s="13"/>
      <c r="JV166" s="6"/>
      <c r="JW166" s="6"/>
      <c r="JX166" s="6"/>
      <c r="JY166" s="6"/>
      <c r="JZ166" s="10"/>
      <c r="KA166" s="10"/>
      <c r="KB166" s="10"/>
      <c r="KC166" s="10"/>
      <c r="KD166" s="5"/>
      <c r="KE166" s="6"/>
    </row>
    <row r="167" spans="6:291" x14ac:dyDescent="0.3">
      <c r="F167" s="17"/>
      <c r="G167" s="9"/>
      <c r="H167" s="3"/>
      <c r="I167" s="3"/>
      <c r="J167" s="3"/>
      <c r="K167" s="3"/>
      <c r="L167" s="3"/>
      <c r="M167" s="3"/>
      <c r="N167" s="3"/>
      <c r="O167" s="3"/>
      <c r="P167" s="4"/>
      <c r="Q167" s="5"/>
      <c r="R167" s="5"/>
      <c r="S167" s="5"/>
      <c r="T167" s="6"/>
      <c r="U167" s="5"/>
      <c r="V167" s="6"/>
      <c r="W167" s="7"/>
      <c r="X167" s="8"/>
      <c r="Y167" s="6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6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C167" s="6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M167" s="19"/>
      <c r="JN167" s="1">
        <v>165</v>
      </c>
      <c r="JO167" s="5">
        <f>HLOOKUP(JM167,HC$2:JK167,2+JN166,0)-IF(KE167&gt;0,KE167,0)</f>
        <v>0</v>
      </c>
      <c r="JP167" s="5"/>
      <c r="JQ167" s="5"/>
      <c r="JR167" s="5"/>
      <c r="JS167" s="6"/>
      <c r="JT167" s="23"/>
      <c r="JU167" s="13"/>
      <c r="JV167" s="6"/>
      <c r="JW167" s="6"/>
      <c r="JX167" s="6"/>
      <c r="JY167" s="6"/>
      <c r="JZ167" s="10"/>
      <c r="KA167" s="10"/>
      <c r="KB167" s="10"/>
      <c r="KC167" s="10"/>
      <c r="KD167" s="5"/>
      <c r="KE167" s="6"/>
    </row>
    <row r="168" spans="6:291" x14ac:dyDescent="0.3">
      <c r="F168" s="17"/>
      <c r="G168" s="9"/>
      <c r="H168" s="3"/>
      <c r="I168" s="3"/>
      <c r="J168" s="3"/>
      <c r="K168" s="3"/>
      <c r="L168" s="3"/>
      <c r="M168" s="3"/>
      <c r="N168" s="3"/>
      <c r="O168" s="3"/>
      <c r="P168" s="4"/>
      <c r="Q168" s="5"/>
      <c r="R168" s="5"/>
      <c r="S168" s="5"/>
      <c r="T168" s="6"/>
      <c r="U168" s="5"/>
      <c r="V168" s="6"/>
      <c r="W168" s="7"/>
      <c r="X168" s="8"/>
      <c r="Y168" s="6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6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C168" s="6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  <c r="JC168" s="5"/>
      <c r="JD168" s="5"/>
      <c r="JE168" s="5"/>
      <c r="JF168" s="5"/>
      <c r="JG168" s="5"/>
      <c r="JH168" s="5"/>
      <c r="JI168" s="5"/>
      <c r="JJ168" s="5"/>
      <c r="JK168" s="5"/>
      <c r="JM168" s="19"/>
      <c r="JN168" s="1">
        <v>166</v>
      </c>
      <c r="JO168" s="5">
        <f>HLOOKUP(JM168,HC$2:JK168,2+JN167,0)-IF(KE168&gt;0,KE168,0)</f>
        <v>0</v>
      </c>
      <c r="JP168" s="5"/>
      <c r="JQ168" s="5"/>
      <c r="JR168" s="5"/>
      <c r="JS168" s="6"/>
      <c r="JT168" s="23"/>
      <c r="JU168" s="13"/>
      <c r="JV168" s="6"/>
      <c r="JW168" s="6"/>
      <c r="JX168" s="6"/>
      <c r="JY168" s="6"/>
      <c r="JZ168" s="10"/>
      <c r="KA168" s="10"/>
      <c r="KB168" s="10"/>
      <c r="KC168" s="10"/>
      <c r="KD168" s="5"/>
      <c r="KE168" s="6"/>
    </row>
    <row r="169" spans="6:291" x14ac:dyDescent="0.3">
      <c r="F169" s="17"/>
      <c r="G169" s="9"/>
      <c r="H169" s="3"/>
      <c r="I169" s="3"/>
      <c r="J169" s="3"/>
      <c r="K169" s="3"/>
      <c r="L169" s="3"/>
      <c r="M169" s="3"/>
      <c r="N169" s="3"/>
      <c r="O169" s="3"/>
      <c r="P169" s="4"/>
      <c r="Q169" s="5"/>
      <c r="R169" s="5"/>
      <c r="S169" s="5"/>
      <c r="T169" s="6"/>
      <c r="U169" s="5"/>
      <c r="V169" s="6"/>
      <c r="W169" s="7"/>
      <c r="X169" s="8"/>
      <c r="Y169" s="6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6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C169" s="6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M169" s="19"/>
      <c r="JN169" s="1">
        <v>167</v>
      </c>
      <c r="JO169" s="5">
        <f>HLOOKUP(JM169,HC$2:JK169,2+JN168,0)-IF(KE169&gt;0,KE169,0)</f>
        <v>0</v>
      </c>
      <c r="JP169" s="5"/>
      <c r="JQ169" s="5"/>
      <c r="JR169" s="5"/>
      <c r="JS169" s="6"/>
      <c r="JT169" s="23"/>
      <c r="JU169" s="13"/>
      <c r="JV169" s="6"/>
      <c r="JW169" s="6"/>
      <c r="JX169" s="6"/>
      <c r="JY169" s="6"/>
      <c r="JZ169" s="10"/>
      <c r="KA169" s="10"/>
      <c r="KB169" s="10"/>
      <c r="KC169" s="10"/>
      <c r="KD169" s="5"/>
      <c r="KE169" s="6"/>
    </row>
    <row r="170" spans="6:291" x14ac:dyDescent="0.3">
      <c r="F170" s="17"/>
      <c r="G170" s="9"/>
      <c r="H170" s="3"/>
      <c r="I170" s="3"/>
      <c r="J170" s="3"/>
      <c r="K170" s="3"/>
      <c r="L170" s="3"/>
      <c r="M170" s="3"/>
      <c r="N170" s="3"/>
      <c r="O170" s="3"/>
      <c r="P170" s="4"/>
      <c r="Q170" s="5"/>
      <c r="R170" s="5"/>
      <c r="S170" s="5"/>
      <c r="T170" s="6"/>
      <c r="U170" s="5"/>
      <c r="V170" s="6"/>
      <c r="W170" s="7"/>
      <c r="X170" s="8"/>
      <c r="Y170" s="6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6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C170" s="6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M170" s="19"/>
      <c r="JN170" s="1">
        <v>168</v>
      </c>
      <c r="JO170" s="5">
        <f>HLOOKUP(JM170,HC$2:JK170,2+JN169,0)-IF(KE170&gt;0,KE170,0)</f>
        <v>0</v>
      </c>
      <c r="JP170" s="5"/>
      <c r="JQ170" s="5"/>
      <c r="JR170" s="5"/>
      <c r="JS170" s="6"/>
      <c r="JT170" s="23"/>
      <c r="JU170" s="13"/>
      <c r="JV170" s="6"/>
      <c r="JW170" s="6"/>
      <c r="JX170" s="6"/>
      <c r="JY170" s="6"/>
      <c r="JZ170" s="10"/>
      <c r="KA170" s="10"/>
      <c r="KB170" s="10"/>
      <c r="KC170" s="10"/>
      <c r="KD170" s="5"/>
      <c r="KE170" s="6"/>
    </row>
    <row r="171" spans="6:291" x14ac:dyDescent="0.3">
      <c r="F171" s="17"/>
      <c r="G171" s="9"/>
      <c r="H171" s="3"/>
      <c r="I171" s="3"/>
      <c r="J171" s="3"/>
      <c r="K171" s="3"/>
      <c r="L171" s="3"/>
      <c r="M171" s="3"/>
      <c r="N171" s="3"/>
      <c r="O171" s="3"/>
      <c r="P171" s="4"/>
      <c r="Q171" s="5"/>
      <c r="R171" s="5"/>
      <c r="S171" s="5"/>
      <c r="T171" s="6"/>
      <c r="U171" s="5"/>
      <c r="V171" s="6"/>
      <c r="W171" s="7"/>
      <c r="X171" s="8"/>
      <c r="Y171" s="6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6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C171" s="6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M171" s="19"/>
      <c r="JN171" s="1">
        <v>169</v>
      </c>
      <c r="JO171" s="5">
        <f>HLOOKUP(JM171,HC$2:JK171,2+JN170,0)-IF(KE171&gt;0,KE171,0)</f>
        <v>0</v>
      </c>
      <c r="JP171" s="5"/>
      <c r="JQ171" s="5"/>
      <c r="JR171" s="5"/>
      <c r="JS171" s="6"/>
      <c r="JT171" s="23"/>
      <c r="JU171" s="13"/>
      <c r="JV171" s="6"/>
      <c r="JW171" s="6"/>
      <c r="JX171" s="6"/>
      <c r="JY171" s="6"/>
      <c r="JZ171" s="10"/>
      <c r="KA171" s="10"/>
      <c r="KB171" s="10"/>
      <c r="KC171" s="10"/>
      <c r="KD171" s="5"/>
      <c r="KE171" s="6"/>
    </row>
    <row r="172" spans="6:291" x14ac:dyDescent="0.3">
      <c r="F172" s="17"/>
      <c r="G172" s="9"/>
      <c r="H172" s="3"/>
      <c r="I172" s="3"/>
      <c r="J172" s="3"/>
      <c r="K172" s="3"/>
      <c r="L172" s="3"/>
      <c r="M172" s="3"/>
      <c r="N172" s="3"/>
      <c r="O172" s="3"/>
      <c r="P172" s="4"/>
      <c r="Q172" s="5"/>
      <c r="R172" s="5"/>
      <c r="S172" s="5"/>
      <c r="T172" s="6"/>
      <c r="U172" s="5"/>
      <c r="V172" s="6"/>
      <c r="W172" s="7"/>
      <c r="X172" s="8"/>
      <c r="Y172" s="6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6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C172" s="6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  <c r="JC172" s="5"/>
      <c r="JD172" s="5"/>
      <c r="JE172" s="5"/>
      <c r="JF172" s="5"/>
      <c r="JG172" s="5"/>
      <c r="JH172" s="5"/>
      <c r="JI172" s="5"/>
      <c r="JJ172" s="5"/>
      <c r="JK172" s="5"/>
      <c r="JM172" s="19"/>
      <c r="JN172" s="1">
        <v>170</v>
      </c>
      <c r="JO172" s="5">
        <f>HLOOKUP(JM172,HC$2:JK172,2+JN171,0)-IF(KE172&gt;0,KE172,0)</f>
        <v>0</v>
      </c>
      <c r="JP172" s="5"/>
      <c r="JQ172" s="5"/>
      <c r="JR172" s="5"/>
      <c r="JS172" s="6"/>
      <c r="JT172" s="23"/>
      <c r="JU172" s="13"/>
      <c r="JV172" s="6"/>
      <c r="JW172" s="6"/>
      <c r="JX172" s="6"/>
      <c r="JY172" s="6"/>
      <c r="JZ172" s="10"/>
      <c r="KA172" s="10"/>
      <c r="KB172" s="10"/>
      <c r="KC172" s="10"/>
      <c r="KD172" s="5"/>
      <c r="KE172" s="6"/>
    </row>
    <row r="173" spans="6:291" x14ac:dyDescent="0.3">
      <c r="F173" s="17"/>
      <c r="G173" s="9"/>
      <c r="H173" s="3"/>
      <c r="I173" s="3"/>
      <c r="J173" s="3"/>
      <c r="K173" s="3"/>
      <c r="L173" s="3"/>
      <c r="M173" s="3"/>
      <c r="N173" s="3"/>
      <c r="O173" s="3"/>
      <c r="P173" s="4"/>
      <c r="Q173" s="5"/>
      <c r="R173" s="5"/>
      <c r="S173" s="5"/>
      <c r="T173" s="6"/>
      <c r="U173" s="5"/>
      <c r="V173" s="6"/>
      <c r="W173" s="7"/>
      <c r="X173" s="8"/>
      <c r="Y173" s="6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6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C173" s="6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M173" s="19"/>
      <c r="JN173" s="1">
        <v>171</v>
      </c>
      <c r="JO173" s="5">
        <f>HLOOKUP(JM173,HC$2:JK173,2+JN172,0)-IF(KE173&gt;0,KE173,0)</f>
        <v>0</v>
      </c>
      <c r="JP173" s="5"/>
      <c r="JQ173" s="5"/>
      <c r="JR173" s="5"/>
      <c r="JS173" s="6"/>
      <c r="JT173" s="23"/>
      <c r="JU173" s="13"/>
      <c r="JV173" s="6"/>
      <c r="JW173" s="6"/>
      <c r="JX173" s="6"/>
      <c r="JY173" s="6"/>
      <c r="JZ173" s="10"/>
      <c r="KA173" s="10"/>
      <c r="KB173" s="10"/>
      <c r="KC173" s="10"/>
      <c r="KD173" s="5"/>
      <c r="KE173" s="6"/>
    </row>
    <row r="174" spans="6:291" x14ac:dyDescent="0.3">
      <c r="F174" s="17"/>
      <c r="G174" s="9"/>
      <c r="H174" s="3"/>
      <c r="I174" s="3"/>
      <c r="J174" s="3"/>
      <c r="K174" s="3"/>
      <c r="L174" s="3"/>
      <c r="M174" s="3"/>
      <c r="N174" s="3"/>
      <c r="O174" s="3"/>
      <c r="P174" s="4"/>
      <c r="Q174" s="5"/>
      <c r="R174" s="5"/>
      <c r="S174" s="5"/>
      <c r="T174" s="6"/>
      <c r="U174" s="5"/>
      <c r="V174" s="6"/>
      <c r="W174" s="7"/>
      <c r="X174" s="8"/>
      <c r="Y174" s="6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6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C174" s="6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M174" s="19"/>
      <c r="JN174" s="1">
        <v>172</v>
      </c>
      <c r="JO174" s="5">
        <f>HLOOKUP(JM174,HC$2:JK174,2+JN173,0)-IF(KE174&gt;0,KE174,0)</f>
        <v>0</v>
      </c>
      <c r="JP174" s="5"/>
      <c r="JQ174" s="5"/>
      <c r="JR174" s="5"/>
      <c r="JS174" s="6"/>
      <c r="JT174" s="23"/>
      <c r="JU174" s="13"/>
      <c r="JV174" s="6"/>
      <c r="JW174" s="6"/>
      <c r="JX174" s="6"/>
      <c r="JY174" s="6"/>
      <c r="JZ174" s="10"/>
      <c r="KA174" s="10"/>
      <c r="KB174" s="10"/>
      <c r="KC174" s="10"/>
      <c r="KD174" s="5"/>
      <c r="KE174" s="6"/>
    </row>
    <row r="175" spans="6:291" x14ac:dyDescent="0.3">
      <c r="F175" s="17"/>
      <c r="G175" s="9"/>
      <c r="H175" s="3"/>
      <c r="I175" s="3"/>
      <c r="J175" s="3"/>
      <c r="K175" s="3"/>
      <c r="L175" s="3"/>
      <c r="M175" s="3"/>
      <c r="N175" s="3"/>
      <c r="O175" s="3"/>
      <c r="P175" s="4"/>
      <c r="Q175" s="5"/>
      <c r="R175" s="5"/>
      <c r="S175" s="5"/>
      <c r="T175" s="6"/>
      <c r="U175" s="5"/>
      <c r="V175" s="6"/>
      <c r="W175" s="7"/>
      <c r="X175" s="8"/>
      <c r="Y175" s="6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6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C175" s="6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M175" s="19"/>
      <c r="JN175" s="1">
        <v>173</v>
      </c>
      <c r="JO175" s="5">
        <f>HLOOKUP(JM175,HC$2:JK175,2+JN174,0)-IF(KE175&gt;0,KE175,0)</f>
        <v>0</v>
      </c>
      <c r="JP175" s="5"/>
      <c r="JQ175" s="5"/>
      <c r="JR175" s="5"/>
      <c r="JS175" s="6"/>
      <c r="JT175" s="23"/>
      <c r="JU175" s="13"/>
      <c r="JV175" s="6"/>
      <c r="JW175" s="6"/>
      <c r="JX175" s="6"/>
      <c r="JY175" s="6"/>
      <c r="JZ175" s="10"/>
      <c r="KA175" s="10"/>
      <c r="KB175" s="10"/>
      <c r="KC175" s="10"/>
      <c r="KD175" s="5"/>
      <c r="KE175" s="6"/>
    </row>
    <row r="176" spans="6:291" x14ac:dyDescent="0.3">
      <c r="F176" s="17"/>
      <c r="G176" s="9"/>
      <c r="H176" s="3"/>
      <c r="I176" s="3"/>
      <c r="J176" s="3"/>
      <c r="K176" s="3"/>
      <c r="L176" s="3"/>
      <c r="M176" s="3"/>
      <c r="N176" s="3"/>
      <c r="O176" s="3"/>
      <c r="P176" s="4"/>
      <c r="Q176" s="5"/>
      <c r="R176" s="5"/>
      <c r="S176" s="5"/>
      <c r="T176" s="6"/>
      <c r="U176" s="5"/>
      <c r="V176" s="6"/>
      <c r="W176" s="7"/>
      <c r="X176" s="8"/>
      <c r="Y176" s="6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6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C176" s="6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  <c r="JC176" s="5"/>
      <c r="JD176" s="5"/>
      <c r="JE176" s="5"/>
      <c r="JF176" s="5"/>
      <c r="JG176" s="5"/>
      <c r="JH176" s="5"/>
      <c r="JI176" s="5"/>
      <c r="JJ176" s="5"/>
      <c r="JK176" s="5"/>
      <c r="JM176" s="19"/>
      <c r="JN176" s="1">
        <v>174</v>
      </c>
      <c r="JO176" s="5">
        <f>HLOOKUP(JM176,HC$2:JK176,2+JN175,0)-IF(KE176&gt;0,KE176,0)</f>
        <v>0</v>
      </c>
      <c r="JP176" s="5"/>
      <c r="JQ176" s="5"/>
      <c r="JR176" s="5"/>
      <c r="JS176" s="6"/>
      <c r="JT176" s="23"/>
      <c r="JU176" s="13"/>
      <c r="JV176" s="6"/>
      <c r="JW176" s="6"/>
      <c r="JX176" s="6"/>
      <c r="JY176" s="6"/>
      <c r="JZ176" s="10"/>
      <c r="KA176" s="10"/>
      <c r="KB176" s="10"/>
      <c r="KC176" s="10"/>
      <c r="KD176" s="5"/>
      <c r="KE176" s="6"/>
    </row>
    <row r="177" spans="6:291" x14ac:dyDescent="0.3">
      <c r="F177" s="17"/>
      <c r="G177" s="9"/>
      <c r="H177" s="3"/>
      <c r="I177" s="3"/>
      <c r="J177" s="3"/>
      <c r="K177" s="3"/>
      <c r="L177" s="3"/>
      <c r="M177" s="3"/>
      <c r="N177" s="3"/>
      <c r="O177" s="3"/>
      <c r="P177" s="4"/>
      <c r="Q177" s="5"/>
      <c r="R177" s="5"/>
      <c r="S177" s="5"/>
      <c r="T177" s="6"/>
      <c r="U177" s="5"/>
      <c r="V177" s="6"/>
      <c r="W177" s="7"/>
      <c r="X177" s="8"/>
      <c r="Y177" s="6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6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C177" s="6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M177" s="19"/>
      <c r="JN177" s="1">
        <v>175</v>
      </c>
      <c r="JO177" s="5">
        <f>HLOOKUP(JM177,HC$2:JK177,2+JN176,0)-IF(KE177&gt;0,KE177,0)</f>
        <v>0</v>
      </c>
      <c r="JP177" s="5"/>
      <c r="JQ177" s="5"/>
      <c r="JR177" s="5"/>
      <c r="JS177" s="6"/>
      <c r="JT177" s="23"/>
      <c r="JU177" s="13"/>
      <c r="JV177" s="6"/>
      <c r="JW177" s="6"/>
      <c r="JX177" s="6"/>
      <c r="JY177" s="6"/>
      <c r="JZ177" s="10"/>
      <c r="KA177" s="10"/>
      <c r="KB177" s="10"/>
      <c r="KC177" s="10"/>
      <c r="KD177" s="5"/>
      <c r="KE177" s="6"/>
    </row>
    <row r="178" spans="6:291" x14ac:dyDescent="0.3">
      <c r="F178" s="17"/>
      <c r="G178" s="9"/>
      <c r="H178" s="3"/>
      <c r="I178" s="3"/>
      <c r="J178" s="3"/>
      <c r="K178" s="3"/>
      <c r="L178" s="3"/>
      <c r="M178" s="3"/>
      <c r="N178" s="3"/>
      <c r="O178" s="3"/>
      <c r="P178" s="4"/>
      <c r="Q178" s="5"/>
      <c r="R178" s="5"/>
      <c r="S178" s="5"/>
      <c r="T178" s="6"/>
      <c r="U178" s="5"/>
      <c r="V178" s="6"/>
      <c r="W178" s="7"/>
      <c r="X178" s="8"/>
      <c r="Y178" s="6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6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C178" s="6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M178" s="19"/>
      <c r="JN178" s="1">
        <v>176</v>
      </c>
      <c r="JO178" s="5">
        <f>HLOOKUP(JM178,HC$2:JK178,2+JN177,0)-IF(KE178&gt;0,KE178,0)</f>
        <v>0</v>
      </c>
      <c r="JP178" s="5"/>
      <c r="JQ178" s="5"/>
      <c r="JR178" s="5"/>
      <c r="JS178" s="6"/>
      <c r="JT178" s="23"/>
      <c r="JU178" s="13"/>
      <c r="JV178" s="6"/>
      <c r="JW178" s="6"/>
      <c r="JX178" s="6"/>
      <c r="JY178" s="6"/>
      <c r="JZ178" s="10"/>
      <c r="KA178" s="10"/>
      <c r="KB178" s="10"/>
      <c r="KC178" s="10"/>
      <c r="KD178" s="5"/>
      <c r="KE178" s="6"/>
    </row>
    <row r="179" spans="6:291" x14ac:dyDescent="0.3">
      <c r="F179" s="17"/>
      <c r="G179" s="9"/>
      <c r="H179" s="3"/>
      <c r="I179" s="3"/>
      <c r="J179" s="3"/>
      <c r="K179" s="3"/>
      <c r="L179" s="3"/>
      <c r="M179" s="3"/>
      <c r="N179" s="3"/>
      <c r="O179" s="3"/>
      <c r="P179" s="4"/>
      <c r="Q179" s="5"/>
      <c r="R179" s="5"/>
      <c r="S179" s="5"/>
      <c r="T179" s="6"/>
      <c r="U179" s="5"/>
      <c r="V179" s="6"/>
      <c r="W179" s="7"/>
      <c r="X179" s="8"/>
      <c r="Y179" s="6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6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C179" s="6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M179" s="19"/>
      <c r="JN179" s="1">
        <v>177</v>
      </c>
      <c r="JO179" s="5">
        <f>HLOOKUP(JM179,HC$2:JK179,2+JN178,0)-IF(KE179&gt;0,KE179,0)</f>
        <v>0</v>
      </c>
      <c r="JP179" s="5"/>
      <c r="JQ179" s="5"/>
      <c r="JR179" s="5"/>
      <c r="JS179" s="6"/>
      <c r="JT179" s="23"/>
      <c r="JU179" s="13"/>
      <c r="JV179" s="6"/>
      <c r="JW179" s="6"/>
      <c r="JX179" s="6"/>
      <c r="JY179" s="6"/>
      <c r="JZ179" s="10"/>
      <c r="KA179" s="10"/>
      <c r="KB179" s="10"/>
      <c r="KC179" s="10"/>
      <c r="KD179" s="5"/>
      <c r="KE179" s="6"/>
    </row>
    <row r="180" spans="6:291" x14ac:dyDescent="0.3">
      <c r="F180" s="17"/>
      <c r="G180" s="9"/>
      <c r="H180" s="3"/>
      <c r="I180" s="3"/>
      <c r="J180" s="3"/>
      <c r="K180" s="3"/>
      <c r="L180" s="3"/>
      <c r="M180" s="3"/>
      <c r="N180" s="3"/>
      <c r="O180" s="3"/>
      <c r="P180" s="4"/>
      <c r="Q180" s="5"/>
      <c r="R180" s="5"/>
      <c r="S180" s="5"/>
      <c r="T180" s="6"/>
      <c r="U180" s="5"/>
      <c r="V180" s="6"/>
      <c r="W180" s="7"/>
      <c r="X180" s="8"/>
      <c r="Y180" s="6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6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C180" s="6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M180" s="19"/>
      <c r="JN180" s="1">
        <v>178</v>
      </c>
      <c r="JO180" s="5">
        <f>HLOOKUP(JM180,HC$2:JK180,2+JN179,0)-IF(KE180&gt;0,KE180,0)</f>
        <v>0</v>
      </c>
      <c r="JP180" s="5"/>
      <c r="JQ180" s="5"/>
      <c r="JR180" s="5"/>
      <c r="JS180" s="6"/>
      <c r="JT180" s="23"/>
      <c r="JU180" s="13"/>
      <c r="JV180" s="6"/>
      <c r="JW180" s="6"/>
      <c r="JX180" s="6"/>
      <c r="JY180" s="6"/>
      <c r="JZ180" s="10"/>
      <c r="KA180" s="10"/>
      <c r="KB180" s="10"/>
      <c r="KC180" s="10"/>
      <c r="KD180" s="5"/>
      <c r="KE180" s="6"/>
    </row>
    <row r="181" spans="6:291" x14ac:dyDescent="0.3">
      <c r="F181" s="17"/>
      <c r="G181" s="9"/>
      <c r="H181" s="3"/>
      <c r="I181" s="3"/>
      <c r="J181" s="3"/>
      <c r="K181" s="3"/>
      <c r="L181" s="3"/>
      <c r="M181" s="3"/>
      <c r="N181" s="3"/>
      <c r="O181" s="3"/>
      <c r="P181" s="4"/>
      <c r="Q181" s="5"/>
      <c r="R181" s="5"/>
      <c r="S181" s="5"/>
      <c r="T181" s="6"/>
      <c r="U181" s="5"/>
      <c r="V181" s="6"/>
      <c r="W181" s="7"/>
      <c r="X181" s="8"/>
      <c r="Y181" s="6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6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C181" s="6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M181" s="19"/>
      <c r="JN181" s="1">
        <v>179</v>
      </c>
      <c r="JO181" s="5">
        <f>HLOOKUP(JM181,HC$2:JK181,2+JN180,0)-IF(KE181&gt;0,KE181,0)</f>
        <v>0</v>
      </c>
      <c r="JP181" s="5"/>
      <c r="JQ181" s="5"/>
      <c r="JR181" s="5"/>
      <c r="JS181" s="6"/>
      <c r="JT181" s="23"/>
      <c r="JU181" s="13"/>
      <c r="JV181" s="6"/>
      <c r="JW181" s="6"/>
      <c r="JX181" s="6"/>
      <c r="JY181" s="6"/>
      <c r="JZ181" s="10"/>
      <c r="KA181" s="10"/>
      <c r="KB181" s="10"/>
      <c r="KC181" s="10"/>
      <c r="KD181" s="5"/>
      <c r="KE181" s="6"/>
    </row>
    <row r="182" spans="6:291" x14ac:dyDescent="0.3">
      <c r="F182" s="17"/>
      <c r="G182" s="9"/>
      <c r="H182" s="3"/>
      <c r="I182" s="3"/>
      <c r="J182" s="3"/>
      <c r="K182" s="3"/>
      <c r="L182" s="3"/>
      <c r="M182" s="3"/>
      <c r="N182" s="3"/>
      <c r="O182" s="3"/>
      <c r="P182" s="4"/>
      <c r="Q182" s="5"/>
      <c r="R182" s="5"/>
      <c r="S182" s="5"/>
      <c r="T182" s="6"/>
      <c r="U182" s="5"/>
      <c r="V182" s="6"/>
      <c r="W182" s="7"/>
      <c r="X182" s="8"/>
      <c r="Y182" s="6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6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C182" s="6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  <c r="JC182" s="5"/>
      <c r="JD182" s="5"/>
      <c r="JE182" s="5"/>
      <c r="JF182" s="5"/>
      <c r="JG182" s="5"/>
      <c r="JH182" s="5"/>
      <c r="JI182" s="5"/>
      <c r="JJ182" s="5"/>
      <c r="JK182" s="5"/>
      <c r="JM182" s="19"/>
      <c r="JN182" s="1">
        <v>180</v>
      </c>
      <c r="JO182" s="5">
        <f>HLOOKUP(JM182,HC$2:JK182,2+JN181,0)-IF(KE182&gt;0,KE182,0)</f>
        <v>0</v>
      </c>
      <c r="JP182" s="5"/>
      <c r="JQ182" s="5"/>
      <c r="JR182" s="5"/>
      <c r="JS182" s="6"/>
      <c r="JT182" s="23"/>
      <c r="JU182" s="13"/>
      <c r="JV182" s="6"/>
      <c r="JW182" s="6"/>
      <c r="JX182" s="6"/>
      <c r="JY182" s="6"/>
      <c r="JZ182" s="10"/>
      <c r="KA182" s="10"/>
      <c r="KB182" s="10"/>
      <c r="KC182" s="10"/>
      <c r="KD182" s="5"/>
      <c r="KE182" s="6"/>
    </row>
    <row r="183" spans="6:291" x14ac:dyDescent="0.3">
      <c r="F183" s="17"/>
      <c r="G183" s="9"/>
      <c r="H183" s="3"/>
      <c r="I183" s="3"/>
      <c r="J183" s="3"/>
      <c r="K183" s="3"/>
      <c r="L183" s="3"/>
      <c r="M183" s="3"/>
      <c r="N183" s="3"/>
      <c r="O183" s="3"/>
      <c r="P183" s="4"/>
      <c r="Q183" s="5"/>
      <c r="R183" s="5"/>
      <c r="S183" s="5"/>
      <c r="T183" s="6"/>
      <c r="U183" s="5"/>
      <c r="V183" s="6"/>
      <c r="W183" s="7"/>
      <c r="X183" s="8"/>
      <c r="Y183" s="6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6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C183" s="6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  <c r="JC183" s="5"/>
      <c r="JD183" s="5"/>
      <c r="JE183" s="5"/>
      <c r="JF183" s="5"/>
      <c r="JG183" s="5"/>
      <c r="JH183" s="5"/>
      <c r="JI183" s="5"/>
      <c r="JJ183" s="5"/>
      <c r="JK183" s="5"/>
      <c r="JM183" s="19"/>
      <c r="JN183" s="1">
        <v>181</v>
      </c>
      <c r="JO183" s="5">
        <f>HLOOKUP(JM183,HC$2:JK183,2+JN182,0)-IF(KE183&gt;0,KE183,0)</f>
        <v>0</v>
      </c>
      <c r="JP183" s="5"/>
      <c r="JQ183" s="5"/>
      <c r="JR183" s="5"/>
      <c r="JS183" s="6"/>
      <c r="JT183" s="23"/>
      <c r="JU183" s="13"/>
      <c r="JV183" s="6"/>
      <c r="JW183" s="6"/>
      <c r="JX183" s="6"/>
      <c r="JY183" s="6"/>
      <c r="JZ183" s="10"/>
      <c r="KA183" s="10"/>
      <c r="KB183" s="10"/>
      <c r="KC183" s="10"/>
      <c r="KD183" s="5"/>
      <c r="KE183" s="6"/>
    </row>
    <row r="184" spans="6:291" x14ac:dyDescent="0.3">
      <c r="F184" s="17"/>
      <c r="G184" s="9"/>
      <c r="H184" s="3"/>
      <c r="I184" s="3"/>
      <c r="J184" s="3"/>
      <c r="K184" s="3"/>
      <c r="L184" s="3"/>
      <c r="M184" s="3"/>
      <c r="N184" s="3"/>
      <c r="O184" s="3"/>
      <c r="P184" s="4"/>
      <c r="Q184" s="5"/>
      <c r="R184" s="5"/>
      <c r="S184" s="5"/>
      <c r="T184" s="6"/>
      <c r="U184" s="5"/>
      <c r="V184" s="6"/>
      <c r="W184" s="7"/>
      <c r="X184" s="8"/>
      <c r="Y184" s="6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6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C184" s="6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  <c r="JC184" s="5"/>
      <c r="JD184" s="5"/>
      <c r="JE184" s="5"/>
      <c r="JF184" s="5"/>
      <c r="JG184" s="5"/>
      <c r="JH184" s="5"/>
      <c r="JI184" s="5"/>
      <c r="JJ184" s="5"/>
      <c r="JK184" s="5"/>
      <c r="JM184" s="19"/>
      <c r="JN184" s="1">
        <v>182</v>
      </c>
      <c r="JO184" s="5">
        <f>HLOOKUP(JM184,HC$2:JK184,2+JN183,0)-IF(KE184&gt;0,KE184,0)</f>
        <v>0</v>
      </c>
      <c r="JP184" s="5"/>
      <c r="JQ184" s="5"/>
      <c r="JR184" s="5"/>
      <c r="JS184" s="6"/>
      <c r="JT184" s="23"/>
      <c r="JU184" s="13"/>
      <c r="JV184" s="6"/>
      <c r="JW184" s="6"/>
      <c r="JX184" s="6"/>
      <c r="JY184" s="6"/>
      <c r="JZ184" s="10"/>
      <c r="KA184" s="10"/>
      <c r="KB184" s="10"/>
      <c r="KC184" s="10"/>
      <c r="KD184" s="5"/>
      <c r="KE184" s="6"/>
    </row>
    <row r="185" spans="6:291" x14ac:dyDescent="0.3">
      <c r="F185" s="17"/>
      <c r="G185" s="9"/>
      <c r="H185" s="3"/>
      <c r="I185" s="3"/>
      <c r="J185" s="3"/>
      <c r="K185" s="3"/>
      <c r="L185" s="3"/>
      <c r="M185" s="3"/>
      <c r="N185" s="3"/>
      <c r="O185" s="3"/>
      <c r="P185" s="4"/>
      <c r="Q185" s="5"/>
      <c r="R185" s="5"/>
      <c r="S185" s="5"/>
      <c r="T185" s="6"/>
      <c r="U185" s="5"/>
      <c r="V185" s="6"/>
      <c r="W185" s="7"/>
      <c r="X185" s="8"/>
      <c r="Y185" s="6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6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C185" s="6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  <c r="JC185" s="5"/>
      <c r="JD185" s="5"/>
      <c r="JE185" s="5"/>
      <c r="JF185" s="5"/>
      <c r="JG185" s="5"/>
      <c r="JH185" s="5"/>
      <c r="JI185" s="5"/>
      <c r="JJ185" s="5"/>
      <c r="JK185" s="5"/>
      <c r="JM185" s="19"/>
      <c r="JN185" s="1">
        <v>183</v>
      </c>
      <c r="JO185" s="5">
        <f>HLOOKUP(JM185,HC$2:JK185,2+JN184,0)-IF(KE185&gt;0,KE185,0)</f>
        <v>0</v>
      </c>
      <c r="JP185" s="5"/>
      <c r="JQ185" s="5"/>
      <c r="JR185" s="5"/>
      <c r="JS185" s="6"/>
      <c r="JT185" s="23"/>
      <c r="JU185" s="13"/>
      <c r="JV185" s="6"/>
      <c r="JW185" s="6"/>
      <c r="JX185" s="6"/>
      <c r="JY185" s="6"/>
      <c r="JZ185" s="10"/>
      <c r="KA185" s="10"/>
      <c r="KB185" s="10"/>
      <c r="KC185" s="10"/>
      <c r="KD185" s="5"/>
      <c r="KE185" s="6"/>
    </row>
    <row r="186" spans="6:291" x14ac:dyDescent="0.3">
      <c r="F186" s="17"/>
      <c r="G186" s="9"/>
      <c r="H186" s="3"/>
      <c r="I186" s="3"/>
      <c r="J186" s="3"/>
      <c r="K186" s="3"/>
      <c r="L186" s="3"/>
      <c r="M186" s="3"/>
      <c r="N186" s="3"/>
      <c r="O186" s="3"/>
      <c r="P186" s="4"/>
      <c r="Q186" s="5"/>
      <c r="R186" s="5"/>
      <c r="S186" s="5"/>
      <c r="T186" s="6"/>
      <c r="U186" s="5"/>
      <c r="V186" s="6"/>
      <c r="W186" s="7"/>
      <c r="X186" s="8"/>
      <c r="Y186" s="6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6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C186" s="6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  <c r="JC186" s="5"/>
      <c r="JD186" s="5"/>
      <c r="JE186" s="5"/>
      <c r="JF186" s="5"/>
      <c r="JG186" s="5"/>
      <c r="JH186" s="5"/>
      <c r="JI186" s="5"/>
      <c r="JJ186" s="5"/>
      <c r="JK186" s="5"/>
      <c r="JM186" s="19"/>
      <c r="JN186" s="1">
        <v>184</v>
      </c>
      <c r="JO186" s="5">
        <f>HLOOKUP(JM186,HC$2:JK186,2+JN185,0)-IF(KE186&gt;0,KE186,0)</f>
        <v>0</v>
      </c>
      <c r="JP186" s="5"/>
      <c r="JQ186" s="5"/>
      <c r="JR186" s="5"/>
      <c r="JS186" s="6"/>
      <c r="JT186" s="23"/>
      <c r="JU186" s="13"/>
      <c r="JV186" s="6"/>
      <c r="JW186" s="6"/>
      <c r="JX186" s="6"/>
      <c r="JY186" s="6"/>
      <c r="JZ186" s="10"/>
      <c r="KA186" s="10"/>
      <c r="KB186" s="10"/>
      <c r="KC186" s="10"/>
      <c r="KD186" s="5"/>
      <c r="KE186" s="6"/>
    </row>
    <row r="187" spans="6:291" x14ac:dyDescent="0.3">
      <c r="F187" s="17"/>
      <c r="G187" s="9"/>
      <c r="H187" s="3"/>
      <c r="I187" s="3"/>
      <c r="J187" s="3"/>
      <c r="K187" s="3"/>
      <c r="L187" s="3"/>
      <c r="M187" s="3"/>
      <c r="N187" s="3"/>
      <c r="O187" s="3"/>
      <c r="P187" s="4"/>
      <c r="Q187" s="5"/>
      <c r="R187" s="5"/>
      <c r="S187" s="5"/>
      <c r="T187" s="6"/>
      <c r="U187" s="5"/>
      <c r="V187" s="6"/>
      <c r="W187" s="7"/>
      <c r="X187" s="8"/>
      <c r="Y187" s="6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6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C187" s="6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  <c r="JC187" s="5"/>
      <c r="JD187" s="5"/>
      <c r="JE187" s="5"/>
      <c r="JF187" s="5"/>
      <c r="JG187" s="5"/>
      <c r="JH187" s="5"/>
      <c r="JI187" s="5"/>
      <c r="JJ187" s="5"/>
      <c r="JK187" s="5"/>
      <c r="JM187" s="19"/>
      <c r="JN187" s="1">
        <v>185</v>
      </c>
      <c r="JO187" s="5">
        <f>HLOOKUP(JM187,HC$2:JK187,2+JN186,0)-IF(KE187&gt;0,KE187,0)</f>
        <v>0</v>
      </c>
      <c r="JP187" s="5"/>
      <c r="JQ187" s="5"/>
      <c r="JR187" s="5"/>
      <c r="JS187" s="6"/>
      <c r="JT187" s="23"/>
      <c r="JU187" s="13"/>
      <c r="JV187" s="6"/>
      <c r="JW187" s="6"/>
      <c r="JX187" s="6"/>
      <c r="JY187" s="6"/>
      <c r="JZ187" s="10"/>
      <c r="KA187" s="10"/>
      <c r="KB187" s="10"/>
      <c r="KC187" s="10"/>
      <c r="KD187" s="5"/>
      <c r="KE187" s="6"/>
    </row>
    <row r="188" spans="6:291" x14ac:dyDescent="0.3">
      <c r="F188" s="17"/>
      <c r="G188" s="9"/>
      <c r="H188" s="3"/>
      <c r="I188" s="3"/>
      <c r="J188" s="3"/>
      <c r="K188" s="3"/>
      <c r="L188" s="3"/>
      <c r="M188" s="3"/>
      <c r="N188" s="3"/>
      <c r="O188" s="3"/>
      <c r="P188" s="4"/>
      <c r="Q188" s="5"/>
      <c r="R188" s="5"/>
      <c r="S188" s="5"/>
      <c r="T188" s="6"/>
      <c r="U188" s="5"/>
      <c r="V188" s="6"/>
      <c r="W188" s="7"/>
      <c r="X188" s="8"/>
      <c r="Y188" s="6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6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C188" s="6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  <c r="JE188" s="5"/>
      <c r="JF188" s="5"/>
      <c r="JG188" s="5"/>
      <c r="JH188" s="5"/>
      <c r="JI188" s="5"/>
      <c r="JJ188" s="5"/>
      <c r="JK188" s="5"/>
      <c r="JM188" s="19"/>
      <c r="JN188" s="1">
        <v>186</v>
      </c>
      <c r="JO188" s="5">
        <f>HLOOKUP(JM188,HC$2:JK188,2+JN187,0)-IF(KE188&gt;0,KE188,0)</f>
        <v>0</v>
      </c>
      <c r="JP188" s="5"/>
      <c r="JQ188" s="5"/>
      <c r="JR188" s="5"/>
      <c r="JS188" s="6"/>
      <c r="JT188" s="23"/>
      <c r="JU188" s="13"/>
      <c r="JV188" s="6"/>
      <c r="JW188" s="6"/>
      <c r="JX188" s="6"/>
      <c r="JY188" s="6"/>
      <c r="JZ188" s="10"/>
      <c r="KA188" s="10"/>
      <c r="KB188" s="10"/>
      <c r="KC188" s="10"/>
      <c r="KD188" s="5"/>
      <c r="KE188" s="6"/>
    </row>
    <row r="189" spans="6:291" x14ac:dyDescent="0.3">
      <c r="F189" s="17"/>
      <c r="G189" s="9"/>
      <c r="H189" s="3"/>
      <c r="I189" s="3"/>
      <c r="J189" s="3"/>
      <c r="K189" s="3"/>
      <c r="L189" s="3"/>
      <c r="M189" s="3"/>
      <c r="N189" s="3"/>
      <c r="O189" s="3"/>
      <c r="P189" s="4"/>
      <c r="Q189" s="5"/>
      <c r="R189" s="5"/>
      <c r="S189" s="5"/>
      <c r="T189" s="6"/>
      <c r="U189" s="5"/>
      <c r="V189" s="6"/>
      <c r="W189" s="7"/>
      <c r="X189" s="8"/>
      <c r="Y189" s="6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6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C189" s="6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  <c r="JE189" s="5"/>
      <c r="JF189" s="5"/>
      <c r="JG189" s="5"/>
      <c r="JH189" s="5"/>
      <c r="JI189" s="5"/>
      <c r="JJ189" s="5"/>
      <c r="JK189" s="5"/>
      <c r="JM189" s="19"/>
      <c r="JN189" s="1">
        <v>187</v>
      </c>
      <c r="JO189" s="5">
        <f>HLOOKUP(JM189,HC$2:JK189,2+JN188,0)-IF(KE189&gt;0,KE189,0)</f>
        <v>0</v>
      </c>
      <c r="JP189" s="5"/>
      <c r="JQ189" s="5"/>
      <c r="JR189" s="5"/>
      <c r="JS189" s="6"/>
      <c r="JT189" s="23"/>
      <c r="JU189" s="13"/>
      <c r="JV189" s="6"/>
      <c r="JW189" s="6"/>
      <c r="JX189" s="6"/>
      <c r="JY189" s="6"/>
      <c r="JZ189" s="10"/>
      <c r="KA189" s="10"/>
      <c r="KB189" s="10"/>
      <c r="KC189" s="10"/>
      <c r="KD189" s="5"/>
      <c r="KE189" s="6"/>
    </row>
    <row r="190" spans="6:291" x14ac:dyDescent="0.3">
      <c r="F190" s="17"/>
      <c r="G190" s="9"/>
      <c r="H190" s="3"/>
      <c r="I190" s="3"/>
      <c r="J190" s="3"/>
      <c r="K190" s="3"/>
      <c r="L190" s="3"/>
      <c r="M190" s="3"/>
      <c r="N190" s="3"/>
      <c r="O190" s="3"/>
      <c r="P190" s="4"/>
      <c r="Q190" s="5"/>
      <c r="R190" s="5"/>
      <c r="S190" s="5"/>
      <c r="T190" s="6"/>
      <c r="U190" s="5"/>
      <c r="V190" s="6"/>
      <c r="W190" s="7"/>
      <c r="X190" s="8"/>
      <c r="Y190" s="6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6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C190" s="6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  <c r="JE190" s="5"/>
      <c r="JF190" s="5"/>
      <c r="JG190" s="5"/>
      <c r="JH190" s="5"/>
      <c r="JI190" s="5"/>
      <c r="JJ190" s="5"/>
      <c r="JK190" s="5"/>
      <c r="JM190" s="19"/>
      <c r="JN190" s="1">
        <v>188</v>
      </c>
      <c r="JO190" s="5">
        <f>HLOOKUP(JM190,HC$2:JK190,2+JN189,0)-IF(KE190&gt;0,KE190,0)</f>
        <v>0</v>
      </c>
      <c r="JP190" s="5"/>
      <c r="JQ190" s="5"/>
      <c r="JR190" s="5"/>
      <c r="JS190" s="6"/>
      <c r="JT190" s="23"/>
      <c r="JU190" s="13"/>
      <c r="JV190" s="6"/>
      <c r="JW190" s="6"/>
      <c r="JX190" s="6"/>
      <c r="JY190" s="6"/>
      <c r="JZ190" s="10"/>
      <c r="KA190" s="10"/>
      <c r="KB190" s="10"/>
      <c r="KC190" s="10"/>
      <c r="KD190" s="5"/>
      <c r="KE190" s="6"/>
    </row>
    <row r="191" spans="6:291" x14ac:dyDescent="0.3">
      <c r="F191" s="17"/>
      <c r="G191" s="9"/>
      <c r="H191" s="3"/>
      <c r="I191" s="3"/>
      <c r="J191" s="3"/>
      <c r="K191" s="3"/>
      <c r="L191" s="3"/>
      <c r="M191" s="3"/>
      <c r="N191" s="3"/>
      <c r="O191" s="3"/>
      <c r="P191" s="4"/>
      <c r="Q191" s="5"/>
      <c r="R191" s="5"/>
      <c r="S191" s="5"/>
      <c r="T191" s="6"/>
      <c r="U191" s="5"/>
      <c r="V191" s="6"/>
      <c r="W191" s="7"/>
      <c r="X191" s="8"/>
      <c r="Y191" s="6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6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C191" s="6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  <c r="JE191" s="5"/>
      <c r="JF191" s="5"/>
      <c r="JG191" s="5"/>
      <c r="JH191" s="5"/>
      <c r="JI191" s="5"/>
      <c r="JJ191" s="5"/>
      <c r="JK191" s="5"/>
      <c r="JM191" s="19"/>
      <c r="JN191" s="1">
        <v>189</v>
      </c>
      <c r="JO191" s="5">
        <f>HLOOKUP(JM191,HC$2:JK191,2+JN190,0)-IF(KE191&gt;0,KE191,0)</f>
        <v>0</v>
      </c>
      <c r="JP191" s="5"/>
      <c r="JQ191" s="5"/>
      <c r="JR191" s="5"/>
      <c r="JS191" s="6"/>
      <c r="JT191" s="23"/>
      <c r="JU191" s="13"/>
      <c r="JV191" s="6"/>
      <c r="JW191" s="6"/>
      <c r="JX191" s="6"/>
      <c r="JY191" s="6"/>
      <c r="JZ191" s="10"/>
      <c r="KA191" s="10"/>
      <c r="KB191" s="10"/>
      <c r="KC191" s="10"/>
      <c r="KD191" s="5"/>
      <c r="KE191" s="6"/>
    </row>
    <row r="192" spans="6:291" x14ac:dyDescent="0.3">
      <c r="F192" s="17"/>
      <c r="G192" s="9"/>
      <c r="H192" s="3"/>
      <c r="I192" s="3"/>
      <c r="J192" s="3"/>
      <c r="K192" s="3"/>
      <c r="L192" s="3"/>
      <c r="M192" s="3"/>
      <c r="N192" s="3"/>
      <c r="O192" s="3"/>
      <c r="P192" s="4"/>
      <c r="Q192" s="5"/>
      <c r="R192" s="5"/>
      <c r="S192" s="5"/>
      <c r="T192" s="6"/>
      <c r="U192" s="5"/>
      <c r="V192" s="6"/>
      <c r="W192" s="7"/>
      <c r="X192" s="8"/>
      <c r="Y192" s="6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6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C192" s="6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  <c r="JE192" s="5"/>
      <c r="JF192" s="5"/>
      <c r="JG192" s="5"/>
      <c r="JH192" s="5"/>
      <c r="JI192" s="5"/>
      <c r="JJ192" s="5"/>
      <c r="JK192" s="5"/>
      <c r="JM192" s="19"/>
      <c r="JN192" s="1">
        <v>190</v>
      </c>
      <c r="JO192" s="5">
        <f>HLOOKUP(JM192,HC$2:JK192,2+JN191,0)-IF(KE192&gt;0,KE192,0)</f>
        <v>0</v>
      </c>
      <c r="JP192" s="5"/>
      <c r="JQ192" s="5"/>
      <c r="JR192" s="5"/>
      <c r="JS192" s="6"/>
      <c r="JT192" s="23"/>
      <c r="JU192" s="13"/>
      <c r="JV192" s="6"/>
      <c r="JW192" s="6"/>
      <c r="JX192" s="6"/>
      <c r="JY192" s="6"/>
      <c r="JZ192" s="10"/>
      <c r="KA192" s="10"/>
      <c r="KB192" s="10"/>
      <c r="KC192" s="10"/>
      <c r="KD192" s="5"/>
      <c r="KE192" s="6"/>
    </row>
    <row r="193" spans="6:291" x14ac:dyDescent="0.3">
      <c r="F193" s="17"/>
      <c r="G193" s="9"/>
      <c r="H193" s="3"/>
      <c r="I193" s="3"/>
      <c r="J193" s="3"/>
      <c r="K193" s="3"/>
      <c r="L193" s="3"/>
      <c r="M193" s="3"/>
      <c r="N193" s="3"/>
      <c r="O193" s="3"/>
      <c r="P193" s="4"/>
      <c r="Q193" s="5"/>
      <c r="R193" s="5"/>
      <c r="S193" s="5"/>
      <c r="T193" s="6"/>
      <c r="U193" s="5"/>
      <c r="V193" s="6"/>
      <c r="W193" s="7"/>
      <c r="X193" s="8"/>
      <c r="Y193" s="6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6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C193" s="6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  <c r="JE193" s="5"/>
      <c r="JF193" s="5"/>
      <c r="JG193" s="5"/>
      <c r="JH193" s="5"/>
      <c r="JI193" s="5"/>
      <c r="JJ193" s="5"/>
      <c r="JK193" s="5"/>
      <c r="JM193" s="19"/>
      <c r="JN193" s="1">
        <v>191</v>
      </c>
      <c r="JO193" s="5">
        <f>HLOOKUP(JM193,HC$2:JK193,2+JN192,0)-IF(KE193&gt;0,KE193,0)</f>
        <v>0</v>
      </c>
      <c r="JP193" s="5"/>
      <c r="JQ193" s="5"/>
      <c r="JR193" s="5"/>
      <c r="JS193" s="6"/>
      <c r="JT193" s="23"/>
      <c r="JU193" s="13"/>
      <c r="JV193" s="6"/>
      <c r="JW193" s="6"/>
      <c r="JX193" s="6"/>
      <c r="JY193" s="6"/>
      <c r="JZ193" s="10"/>
      <c r="KA193" s="10"/>
      <c r="KB193" s="10"/>
      <c r="KC193" s="10"/>
      <c r="KD193" s="5"/>
      <c r="KE193" s="6"/>
    </row>
    <row r="194" spans="6:291" x14ac:dyDescent="0.3">
      <c r="F194" s="17"/>
      <c r="G194" s="9"/>
      <c r="H194" s="3"/>
      <c r="I194" s="3"/>
      <c r="J194" s="3"/>
      <c r="K194" s="3"/>
      <c r="L194" s="3"/>
      <c r="M194" s="3"/>
      <c r="N194" s="3"/>
      <c r="O194" s="3"/>
      <c r="P194" s="4"/>
      <c r="Q194" s="5"/>
      <c r="R194" s="5"/>
      <c r="S194" s="5"/>
      <c r="T194" s="6"/>
      <c r="U194" s="5"/>
      <c r="V194" s="6"/>
      <c r="W194" s="7"/>
      <c r="X194" s="8"/>
      <c r="Y194" s="6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6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C194" s="6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  <c r="JE194" s="5"/>
      <c r="JF194" s="5"/>
      <c r="JG194" s="5"/>
      <c r="JH194" s="5"/>
      <c r="JI194" s="5"/>
      <c r="JJ194" s="5"/>
      <c r="JK194" s="5"/>
      <c r="JM194" s="19"/>
      <c r="JN194" s="1">
        <v>192</v>
      </c>
      <c r="JO194" s="5">
        <f>HLOOKUP(JM194,HC$2:JK194,2+JN193,0)-IF(KE194&gt;0,KE194,0)</f>
        <v>0</v>
      </c>
      <c r="JP194" s="5"/>
      <c r="JQ194" s="5"/>
      <c r="JR194" s="5"/>
      <c r="JS194" s="6"/>
      <c r="JT194" s="23"/>
      <c r="JU194" s="13"/>
      <c r="JV194" s="6"/>
      <c r="JW194" s="6"/>
      <c r="JX194" s="6"/>
      <c r="JY194" s="6"/>
      <c r="JZ194" s="10"/>
      <c r="KA194" s="10"/>
      <c r="KB194" s="10"/>
      <c r="KC194" s="10"/>
      <c r="KD194" s="5"/>
      <c r="KE194" s="6"/>
    </row>
    <row r="195" spans="6:291" x14ac:dyDescent="0.3">
      <c r="F195" s="17"/>
      <c r="G195" s="9"/>
      <c r="H195" s="3"/>
      <c r="I195" s="3"/>
      <c r="J195" s="3"/>
      <c r="K195" s="3"/>
      <c r="L195" s="3"/>
      <c r="M195" s="3"/>
      <c r="N195" s="3"/>
      <c r="O195" s="3"/>
      <c r="P195" s="4"/>
      <c r="Q195" s="5"/>
      <c r="R195" s="5"/>
      <c r="S195" s="5"/>
      <c r="T195" s="6"/>
      <c r="U195" s="5"/>
      <c r="V195" s="6"/>
      <c r="W195" s="7"/>
      <c r="X195" s="8"/>
      <c r="Y195" s="6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6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C195" s="6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  <c r="JE195" s="5"/>
      <c r="JF195" s="5"/>
      <c r="JG195" s="5"/>
      <c r="JH195" s="5"/>
      <c r="JI195" s="5"/>
      <c r="JJ195" s="5"/>
      <c r="JK195" s="5"/>
      <c r="JM195" s="19"/>
      <c r="JN195" s="1">
        <v>193</v>
      </c>
      <c r="JO195" s="5">
        <f>HLOOKUP(JM195,HC$2:JK195,2+JN194,0)-IF(KE195&gt;0,KE195,0)</f>
        <v>0</v>
      </c>
      <c r="JP195" s="5"/>
      <c r="JQ195" s="5"/>
      <c r="JR195" s="5"/>
      <c r="JS195" s="6"/>
      <c r="JT195" s="23"/>
      <c r="JU195" s="13"/>
      <c r="JV195" s="6"/>
      <c r="JW195" s="6"/>
      <c r="JX195" s="6"/>
      <c r="JY195" s="6"/>
      <c r="JZ195" s="10"/>
      <c r="KA195" s="10"/>
      <c r="KB195" s="10"/>
      <c r="KC195" s="10"/>
      <c r="KD195" s="5"/>
      <c r="KE195" s="6"/>
    </row>
    <row r="196" spans="6:291" x14ac:dyDescent="0.3">
      <c r="F196" s="17"/>
      <c r="G196" s="9"/>
      <c r="H196" s="3"/>
      <c r="I196" s="3"/>
      <c r="J196" s="3"/>
      <c r="K196" s="3"/>
      <c r="L196" s="3"/>
      <c r="M196" s="3"/>
      <c r="N196" s="3"/>
      <c r="O196" s="3"/>
      <c r="P196" s="4"/>
      <c r="Q196" s="5"/>
      <c r="R196" s="5"/>
      <c r="S196" s="5"/>
      <c r="T196" s="6"/>
      <c r="U196" s="5"/>
      <c r="V196" s="6"/>
      <c r="W196" s="7"/>
      <c r="X196" s="8"/>
      <c r="Y196" s="6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6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C196" s="6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  <c r="JE196" s="5"/>
      <c r="JF196" s="5"/>
      <c r="JG196" s="5"/>
      <c r="JH196" s="5"/>
      <c r="JI196" s="5"/>
      <c r="JJ196" s="5"/>
      <c r="JK196" s="5"/>
      <c r="JM196" s="19"/>
      <c r="JN196" s="1">
        <v>194</v>
      </c>
      <c r="JO196" s="5">
        <f>HLOOKUP(JM196,HC$2:JK196,2+JN195,0)-IF(KE196&gt;0,KE196,0)</f>
        <v>0</v>
      </c>
      <c r="JP196" s="5"/>
      <c r="JQ196" s="5"/>
      <c r="JR196" s="5"/>
      <c r="JS196" s="6"/>
      <c r="JT196" s="23"/>
      <c r="JU196" s="13"/>
      <c r="JV196" s="6"/>
      <c r="JW196" s="6"/>
      <c r="JX196" s="6"/>
      <c r="JY196" s="6"/>
      <c r="JZ196" s="10"/>
      <c r="KA196" s="10"/>
      <c r="KB196" s="10"/>
      <c r="KC196" s="10"/>
      <c r="KD196" s="5"/>
      <c r="KE196" s="6"/>
    </row>
    <row r="197" spans="6:291" x14ac:dyDescent="0.3">
      <c r="F197" s="17"/>
      <c r="G197" s="9"/>
      <c r="H197" s="3"/>
      <c r="I197" s="3"/>
      <c r="J197" s="3"/>
      <c r="K197" s="3"/>
      <c r="L197" s="3"/>
      <c r="M197" s="3"/>
      <c r="N197" s="3"/>
      <c r="O197" s="3"/>
      <c r="P197" s="4"/>
      <c r="Q197" s="5"/>
      <c r="R197" s="5"/>
      <c r="S197" s="5"/>
      <c r="T197" s="6"/>
      <c r="U197" s="5"/>
      <c r="V197" s="6"/>
      <c r="W197" s="7"/>
      <c r="X197" s="8"/>
      <c r="Y197" s="6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6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C197" s="6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  <c r="JE197" s="5"/>
      <c r="JF197" s="5"/>
      <c r="JG197" s="5"/>
      <c r="JH197" s="5"/>
      <c r="JI197" s="5"/>
      <c r="JJ197" s="5"/>
      <c r="JK197" s="5"/>
      <c r="JM197" s="19"/>
      <c r="JN197" s="1">
        <v>195</v>
      </c>
      <c r="JO197" s="5">
        <f>HLOOKUP(JM197,HC$2:JK197,2+JN196,0)-IF(KE197&gt;0,KE197,0)</f>
        <v>0</v>
      </c>
      <c r="JP197" s="5"/>
      <c r="JQ197" s="5"/>
      <c r="JR197" s="5"/>
      <c r="JS197" s="6"/>
      <c r="JT197" s="23"/>
      <c r="JU197" s="13"/>
      <c r="JV197" s="6"/>
      <c r="JW197" s="6"/>
      <c r="JX197" s="6"/>
      <c r="JY197" s="6"/>
      <c r="JZ197" s="10"/>
      <c r="KA197" s="10"/>
      <c r="KB197" s="10"/>
      <c r="KC197" s="10"/>
      <c r="KD197" s="5"/>
      <c r="KE197" s="6"/>
    </row>
    <row r="198" spans="6:291" x14ac:dyDescent="0.3">
      <c r="F198" s="17"/>
      <c r="G198" s="9"/>
      <c r="H198" s="3"/>
      <c r="I198" s="3"/>
      <c r="J198" s="3"/>
      <c r="K198" s="3"/>
      <c r="L198" s="3"/>
      <c r="M198" s="3"/>
      <c r="N198" s="3"/>
      <c r="O198" s="3"/>
      <c r="P198" s="4"/>
      <c r="Q198" s="5"/>
      <c r="R198" s="5"/>
      <c r="S198" s="5"/>
      <c r="T198" s="6"/>
      <c r="U198" s="5"/>
      <c r="V198" s="6"/>
      <c r="W198" s="7"/>
      <c r="X198" s="8"/>
      <c r="Y198" s="6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6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C198" s="6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  <c r="JE198" s="5"/>
      <c r="JF198" s="5"/>
      <c r="JG198" s="5"/>
      <c r="JH198" s="5"/>
      <c r="JI198" s="5"/>
      <c r="JJ198" s="5"/>
      <c r="JK198" s="5"/>
      <c r="JM198" s="19"/>
      <c r="JN198" s="1">
        <v>196</v>
      </c>
      <c r="JO198" s="5">
        <f>HLOOKUP(JM198,HC$2:JK198,2+JN197,0)-IF(KE198&gt;0,KE198,0)</f>
        <v>0</v>
      </c>
      <c r="JP198" s="5"/>
      <c r="JQ198" s="5"/>
      <c r="JR198" s="5"/>
      <c r="JS198" s="6"/>
      <c r="JT198" s="23"/>
      <c r="JU198" s="13"/>
      <c r="JV198" s="6"/>
      <c r="JW198" s="6"/>
      <c r="JX198" s="6"/>
      <c r="JY198" s="6"/>
      <c r="JZ198" s="10"/>
      <c r="KA198" s="10"/>
      <c r="KB198" s="10"/>
      <c r="KC198" s="10"/>
      <c r="KD198" s="5"/>
      <c r="KE198" s="6"/>
    </row>
    <row r="199" spans="6:291" x14ac:dyDescent="0.3">
      <c r="F199" s="17"/>
      <c r="G199" s="9"/>
      <c r="H199" s="3"/>
      <c r="I199" s="3"/>
      <c r="J199" s="3"/>
      <c r="K199" s="3"/>
      <c r="L199" s="3"/>
      <c r="M199" s="3"/>
      <c r="N199" s="3"/>
      <c r="O199" s="3"/>
      <c r="P199" s="4"/>
      <c r="Q199" s="5"/>
      <c r="R199" s="5"/>
      <c r="S199" s="5"/>
      <c r="T199" s="6"/>
      <c r="U199" s="5"/>
      <c r="V199" s="6"/>
      <c r="W199" s="7"/>
      <c r="X199" s="8"/>
      <c r="Y199" s="6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6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C199" s="6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  <c r="JE199" s="5"/>
      <c r="JF199" s="5"/>
      <c r="JG199" s="5"/>
      <c r="JH199" s="5"/>
      <c r="JI199" s="5"/>
      <c r="JJ199" s="5"/>
      <c r="JK199" s="5"/>
      <c r="JM199" s="19"/>
      <c r="JN199" s="1">
        <v>197</v>
      </c>
      <c r="JO199" s="5">
        <f>HLOOKUP(JM199,HC$2:JK199,2+JN198,0)-IF(KE199&gt;0,KE199,0)</f>
        <v>0</v>
      </c>
      <c r="JP199" s="5"/>
      <c r="JQ199" s="5"/>
      <c r="JR199" s="5"/>
      <c r="JS199" s="6"/>
      <c r="JT199" s="23"/>
      <c r="JU199" s="13"/>
      <c r="JV199" s="6"/>
      <c r="JW199" s="6"/>
      <c r="JX199" s="6"/>
      <c r="JY199" s="6"/>
      <c r="JZ199" s="10"/>
      <c r="KA199" s="10"/>
      <c r="KB199" s="10"/>
      <c r="KC199" s="10"/>
      <c r="KD199" s="5"/>
      <c r="KE199" s="6"/>
    </row>
    <row r="200" spans="6:291" x14ac:dyDescent="0.3">
      <c r="F200" s="17"/>
      <c r="G200" s="9"/>
      <c r="H200" s="3"/>
      <c r="I200" s="3"/>
      <c r="J200" s="3"/>
      <c r="K200" s="3"/>
      <c r="L200" s="3"/>
      <c r="M200" s="3"/>
      <c r="N200" s="3"/>
      <c r="O200" s="3"/>
      <c r="P200" s="4"/>
      <c r="Q200" s="5"/>
      <c r="R200" s="5"/>
      <c r="S200" s="5"/>
      <c r="T200" s="6"/>
      <c r="U200" s="5"/>
      <c r="V200" s="6"/>
      <c r="W200" s="7"/>
      <c r="X200" s="8"/>
      <c r="Y200" s="6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6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C200" s="6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  <c r="JE200" s="5"/>
      <c r="JF200" s="5"/>
      <c r="JG200" s="5"/>
      <c r="JH200" s="5"/>
      <c r="JI200" s="5"/>
      <c r="JJ200" s="5"/>
      <c r="JK200" s="5"/>
      <c r="JM200" s="19"/>
      <c r="JN200" s="1">
        <v>198</v>
      </c>
      <c r="JO200" s="5">
        <f>HLOOKUP(JM200,HC$2:JK200,2+JN199,0)-IF(KE200&gt;0,KE200,0)</f>
        <v>0</v>
      </c>
      <c r="JP200" s="5"/>
      <c r="JQ200" s="5"/>
      <c r="JR200" s="5"/>
      <c r="JS200" s="6"/>
      <c r="JT200" s="23"/>
      <c r="JU200" s="13"/>
      <c r="JV200" s="6"/>
      <c r="JW200" s="6"/>
      <c r="JX200" s="6"/>
      <c r="JY200" s="6"/>
      <c r="JZ200" s="10"/>
      <c r="KA200" s="10"/>
      <c r="KB200" s="10"/>
      <c r="KC200" s="10"/>
      <c r="KD200" s="5"/>
      <c r="KE200" s="6"/>
    </row>
    <row r="201" spans="6:291" x14ac:dyDescent="0.3">
      <c r="F201" s="17"/>
      <c r="G201" s="9"/>
      <c r="H201" s="3"/>
      <c r="I201" s="3"/>
      <c r="J201" s="3"/>
      <c r="K201" s="3"/>
      <c r="L201" s="3"/>
      <c r="M201" s="3"/>
      <c r="N201" s="3"/>
      <c r="O201" s="3"/>
      <c r="P201" s="4"/>
      <c r="Q201" s="5"/>
      <c r="R201" s="5"/>
      <c r="S201" s="5"/>
      <c r="T201" s="6"/>
      <c r="U201" s="5"/>
      <c r="V201" s="6"/>
      <c r="W201" s="7"/>
      <c r="X201" s="8"/>
      <c r="Y201" s="6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6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C201" s="6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  <c r="JC201" s="5"/>
      <c r="JD201" s="5"/>
      <c r="JE201" s="5"/>
      <c r="JF201" s="5"/>
      <c r="JG201" s="5"/>
      <c r="JH201" s="5"/>
      <c r="JI201" s="5"/>
      <c r="JJ201" s="5"/>
      <c r="JK201" s="5"/>
      <c r="JM201" s="19"/>
      <c r="JN201" s="1">
        <v>199</v>
      </c>
      <c r="JO201" s="5">
        <f>HLOOKUP(JM201,HC$2:JK201,2+JN200,0)-IF(KE201&gt;0,KE201,0)</f>
        <v>0</v>
      </c>
      <c r="JP201" s="5"/>
      <c r="JQ201" s="5"/>
      <c r="JR201" s="5"/>
      <c r="JS201" s="6"/>
      <c r="JT201" s="23"/>
      <c r="JU201" s="13"/>
      <c r="JV201" s="6"/>
      <c r="JW201" s="6"/>
      <c r="JX201" s="6"/>
      <c r="JY201" s="6"/>
      <c r="JZ201" s="10"/>
      <c r="KA201" s="10"/>
      <c r="KB201" s="10"/>
      <c r="KC201" s="10"/>
      <c r="KD201" s="5"/>
      <c r="KE201" s="6"/>
    </row>
    <row r="202" spans="6:291" x14ac:dyDescent="0.3">
      <c r="F202" s="17"/>
      <c r="G202" s="9"/>
      <c r="H202" s="3"/>
      <c r="I202" s="3"/>
      <c r="J202" s="3"/>
      <c r="K202" s="3"/>
      <c r="L202" s="3"/>
      <c r="M202" s="3"/>
      <c r="N202" s="3"/>
      <c r="O202" s="3"/>
      <c r="P202" s="4"/>
      <c r="Q202" s="5"/>
      <c r="R202" s="5"/>
      <c r="S202" s="5"/>
      <c r="T202" s="6"/>
      <c r="U202" s="5"/>
      <c r="V202" s="6"/>
      <c r="W202" s="7"/>
      <c r="X202" s="8"/>
      <c r="Y202" s="6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6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C202" s="6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  <c r="JC202" s="5"/>
      <c r="JD202" s="5"/>
      <c r="JE202" s="5"/>
      <c r="JF202" s="5"/>
      <c r="JG202" s="5"/>
      <c r="JH202" s="5"/>
      <c r="JI202" s="5"/>
      <c r="JJ202" s="5"/>
      <c r="JK202" s="5"/>
      <c r="JM202" s="19"/>
      <c r="JN202" s="1">
        <v>200</v>
      </c>
      <c r="JO202" s="5">
        <f>HLOOKUP(JM202,HC$2:JK202,2+JN201,0)-IF(KE202&gt;0,KE202,0)</f>
        <v>0</v>
      </c>
      <c r="JP202" s="5"/>
      <c r="JQ202" s="5"/>
      <c r="JR202" s="5"/>
      <c r="JS202" s="6"/>
      <c r="JT202" s="23"/>
      <c r="JU202" s="13"/>
      <c r="JV202" s="6"/>
      <c r="JW202" s="6"/>
      <c r="JX202" s="6"/>
      <c r="JY202" s="6"/>
      <c r="JZ202" s="10"/>
      <c r="KA202" s="10"/>
      <c r="KB202" s="10"/>
      <c r="KC202" s="10"/>
      <c r="KD202" s="5"/>
      <c r="KE202" s="6"/>
    </row>
    <row r="203" spans="6:291" x14ac:dyDescent="0.3">
      <c r="F203" s="17"/>
      <c r="G203" s="9"/>
      <c r="H203" s="3"/>
      <c r="I203" s="3"/>
      <c r="J203" s="3"/>
      <c r="K203" s="3"/>
      <c r="L203" s="3"/>
      <c r="M203" s="3"/>
      <c r="N203" s="3"/>
      <c r="O203" s="3"/>
      <c r="P203" s="4"/>
      <c r="Q203" s="5"/>
      <c r="R203" s="5"/>
      <c r="S203" s="5"/>
      <c r="T203" s="6"/>
      <c r="U203" s="5"/>
      <c r="V203" s="6"/>
      <c r="W203" s="7"/>
      <c r="X203" s="8"/>
      <c r="Y203" s="6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6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C203" s="6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  <c r="JC203" s="5"/>
      <c r="JD203" s="5"/>
      <c r="JE203" s="5"/>
      <c r="JF203" s="5"/>
      <c r="JG203" s="5"/>
      <c r="JH203" s="5"/>
      <c r="JI203" s="5"/>
      <c r="JJ203" s="5"/>
      <c r="JK203" s="5"/>
      <c r="JM203" s="19"/>
      <c r="JN203" s="1">
        <v>201</v>
      </c>
      <c r="JO203" s="5">
        <f>HLOOKUP(JM203,HC$2:JK203,2+JN202,0)-IF(KE203&gt;0,KE203,0)</f>
        <v>0</v>
      </c>
      <c r="JP203" s="5"/>
      <c r="JQ203" s="5"/>
      <c r="JR203" s="5"/>
      <c r="JS203" s="6"/>
      <c r="JT203" s="23"/>
      <c r="JU203" s="13"/>
      <c r="JV203" s="6"/>
      <c r="JW203" s="6"/>
      <c r="JX203" s="6"/>
      <c r="JY203" s="6"/>
      <c r="JZ203" s="10"/>
      <c r="KA203" s="10"/>
      <c r="KB203" s="10"/>
      <c r="KC203" s="10"/>
      <c r="KD203" s="5"/>
      <c r="KE203" s="6"/>
    </row>
    <row r="204" spans="6:291" x14ac:dyDescent="0.3">
      <c r="F204" s="17"/>
      <c r="G204" s="9"/>
      <c r="H204" s="3"/>
      <c r="I204" s="3"/>
      <c r="J204" s="3"/>
      <c r="K204" s="3"/>
      <c r="L204" s="3"/>
      <c r="M204" s="3"/>
      <c r="N204" s="3"/>
      <c r="O204" s="3"/>
      <c r="P204" s="4"/>
      <c r="Q204" s="5"/>
      <c r="R204" s="5"/>
      <c r="S204" s="5"/>
      <c r="T204" s="6"/>
      <c r="U204" s="5"/>
      <c r="V204" s="6"/>
      <c r="W204" s="7"/>
      <c r="X204" s="8"/>
      <c r="Y204" s="6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6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C204" s="6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  <c r="JC204" s="5"/>
      <c r="JD204" s="5"/>
      <c r="JE204" s="5"/>
      <c r="JF204" s="5"/>
      <c r="JG204" s="5"/>
      <c r="JH204" s="5"/>
      <c r="JI204" s="5"/>
      <c r="JJ204" s="5"/>
      <c r="JK204" s="5"/>
      <c r="JM204" s="19"/>
      <c r="JN204" s="1">
        <v>202</v>
      </c>
      <c r="JO204" s="5">
        <f>HLOOKUP(JM204,HC$2:JK204,2+JN203,0)-IF(KE204&gt;0,KE204,0)</f>
        <v>0</v>
      </c>
      <c r="JP204" s="5"/>
      <c r="JQ204" s="5"/>
      <c r="JR204" s="5"/>
      <c r="JS204" s="6"/>
      <c r="JT204" s="23"/>
      <c r="JU204" s="13"/>
      <c r="JV204" s="6"/>
      <c r="JW204" s="6"/>
      <c r="JX204" s="6"/>
      <c r="JY204" s="6"/>
      <c r="JZ204" s="10"/>
      <c r="KA204" s="10"/>
      <c r="KB204" s="10"/>
      <c r="KC204" s="10"/>
      <c r="KD204" s="5"/>
      <c r="KE204" s="6"/>
    </row>
    <row r="205" spans="6:291" x14ac:dyDescent="0.3">
      <c r="F205" s="17"/>
      <c r="G205" s="9"/>
      <c r="H205" s="3"/>
      <c r="I205" s="3"/>
      <c r="J205" s="3"/>
      <c r="K205" s="3"/>
      <c r="L205" s="3"/>
      <c r="M205" s="3"/>
      <c r="N205" s="3"/>
      <c r="O205" s="3"/>
      <c r="P205" s="4"/>
      <c r="Q205" s="5"/>
      <c r="R205" s="5"/>
      <c r="S205" s="5"/>
      <c r="T205" s="6"/>
      <c r="U205" s="5"/>
      <c r="V205" s="6"/>
      <c r="W205" s="7"/>
      <c r="X205" s="8"/>
      <c r="Y205" s="6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6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C205" s="6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  <c r="JC205" s="5"/>
      <c r="JD205" s="5"/>
      <c r="JE205" s="5"/>
      <c r="JF205" s="5"/>
      <c r="JG205" s="5"/>
      <c r="JH205" s="5"/>
      <c r="JI205" s="5"/>
      <c r="JJ205" s="5"/>
      <c r="JK205" s="5"/>
      <c r="JM205" s="19"/>
      <c r="JN205" s="1">
        <v>203</v>
      </c>
      <c r="JO205" s="5">
        <f>HLOOKUP(JM205,HC$2:JK205,2+JN204,0)-IF(KE205&gt;0,KE205,0)</f>
        <v>0</v>
      </c>
      <c r="JP205" s="5"/>
      <c r="JQ205" s="5"/>
      <c r="JR205" s="5"/>
      <c r="JS205" s="6"/>
      <c r="JT205" s="23"/>
      <c r="JU205" s="13"/>
      <c r="JV205" s="6"/>
      <c r="JW205" s="6"/>
      <c r="JX205" s="6"/>
      <c r="JY205" s="6"/>
      <c r="JZ205" s="10"/>
      <c r="KA205" s="10"/>
      <c r="KB205" s="10"/>
      <c r="KC205" s="10"/>
      <c r="KD205" s="5"/>
      <c r="KE205" s="6"/>
    </row>
    <row r="206" spans="6:291" x14ac:dyDescent="0.3">
      <c r="F206" s="17"/>
      <c r="G206" s="9"/>
      <c r="H206" s="3"/>
      <c r="I206" s="3"/>
      <c r="J206" s="3"/>
      <c r="K206" s="3"/>
      <c r="L206" s="3"/>
      <c r="M206" s="3"/>
      <c r="N206" s="3"/>
      <c r="O206" s="3"/>
      <c r="P206" s="4"/>
      <c r="Q206" s="5"/>
      <c r="R206" s="5"/>
      <c r="S206" s="5"/>
      <c r="T206" s="6"/>
      <c r="U206" s="5"/>
      <c r="V206" s="6"/>
      <c r="W206" s="7"/>
      <c r="X206" s="8"/>
      <c r="Y206" s="6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6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C206" s="6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  <c r="JC206" s="5"/>
      <c r="JD206" s="5"/>
      <c r="JE206" s="5"/>
      <c r="JF206" s="5"/>
      <c r="JG206" s="5"/>
      <c r="JH206" s="5"/>
      <c r="JI206" s="5"/>
      <c r="JJ206" s="5"/>
      <c r="JK206" s="5"/>
      <c r="JM206" s="19"/>
      <c r="JN206" s="1">
        <v>204</v>
      </c>
      <c r="JO206" s="5">
        <f>HLOOKUP(JM206,HC$2:JK206,2+JN205,0)-IF(KE206&gt;0,KE206,0)</f>
        <v>0</v>
      </c>
      <c r="JP206" s="5"/>
      <c r="JQ206" s="5"/>
      <c r="JR206" s="5"/>
      <c r="JS206" s="6"/>
      <c r="JT206" s="23"/>
      <c r="JU206" s="13"/>
      <c r="JV206" s="6"/>
      <c r="JW206" s="6"/>
      <c r="JX206" s="6"/>
      <c r="JY206" s="6"/>
      <c r="JZ206" s="10"/>
      <c r="KA206" s="10"/>
      <c r="KB206" s="10"/>
      <c r="KC206" s="10"/>
      <c r="KD206" s="5"/>
      <c r="KE206" s="6"/>
    </row>
    <row r="207" spans="6:291" x14ac:dyDescent="0.3">
      <c r="F207" s="17"/>
      <c r="G207" s="9"/>
      <c r="H207" s="3"/>
      <c r="I207" s="3"/>
      <c r="J207" s="3"/>
      <c r="K207" s="3"/>
      <c r="L207" s="3"/>
      <c r="M207" s="3"/>
      <c r="N207" s="3"/>
      <c r="O207" s="3"/>
      <c r="P207" s="4"/>
      <c r="Q207" s="5"/>
      <c r="R207" s="5"/>
      <c r="S207" s="5"/>
      <c r="T207" s="6"/>
      <c r="U207" s="5"/>
      <c r="V207" s="6"/>
      <c r="W207" s="7"/>
      <c r="X207" s="8"/>
      <c r="Y207" s="6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6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C207" s="6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  <c r="JC207" s="5"/>
      <c r="JD207" s="5"/>
      <c r="JE207" s="5"/>
      <c r="JF207" s="5"/>
      <c r="JG207" s="5"/>
      <c r="JH207" s="5"/>
      <c r="JI207" s="5"/>
      <c r="JJ207" s="5"/>
      <c r="JK207" s="5"/>
      <c r="JM207" s="19"/>
      <c r="JN207" s="1">
        <v>205</v>
      </c>
      <c r="JO207" s="5">
        <f>HLOOKUP(JM207,HC$2:JK207,2+JN206,0)-IF(KE207&gt;0,KE207,0)</f>
        <v>0</v>
      </c>
      <c r="JP207" s="5"/>
      <c r="JQ207" s="5"/>
      <c r="JR207" s="5"/>
      <c r="JS207" s="6"/>
      <c r="JT207" s="23"/>
      <c r="JU207" s="13"/>
      <c r="JV207" s="6"/>
      <c r="JW207" s="6"/>
      <c r="JX207" s="6"/>
      <c r="JY207" s="6"/>
      <c r="JZ207" s="10"/>
      <c r="KA207" s="10"/>
      <c r="KB207" s="10"/>
      <c r="KC207" s="10"/>
      <c r="KD207" s="5"/>
      <c r="KE207" s="6"/>
    </row>
    <row r="208" spans="6:291" x14ac:dyDescent="0.3">
      <c r="F208" s="17"/>
      <c r="G208" s="9"/>
      <c r="H208" s="3"/>
      <c r="I208" s="3"/>
      <c r="J208" s="3"/>
      <c r="K208" s="3"/>
      <c r="L208" s="3"/>
      <c r="M208" s="3"/>
      <c r="N208" s="3"/>
      <c r="O208" s="3"/>
      <c r="P208" s="4"/>
      <c r="Q208" s="5"/>
      <c r="R208" s="5"/>
      <c r="S208" s="5"/>
      <c r="T208" s="6"/>
      <c r="U208" s="5"/>
      <c r="V208" s="6"/>
      <c r="W208" s="7"/>
      <c r="X208" s="8"/>
      <c r="Y208" s="6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6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C208" s="6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  <c r="JC208" s="5"/>
      <c r="JD208" s="5"/>
      <c r="JE208" s="5"/>
      <c r="JF208" s="5"/>
      <c r="JG208" s="5"/>
      <c r="JH208" s="5"/>
      <c r="JI208" s="5"/>
      <c r="JJ208" s="5"/>
      <c r="JK208" s="5"/>
      <c r="JM208" s="19"/>
      <c r="JN208" s="1">
        <v>206</v>
      </c>
      <c r="JO208" s="5">
        <f>HLOOKUP(JM208,HC$2:JK208,2+JN207,0)-IF(KE208&gt;0,KE208,0)</f>
        <v>0</v>
      </c>
      <c r="JP208" s="5"/>
      <c r="JQ208" s="5"/>
      <c r="JR208" s="5"/>
      <c r="JS208" s="6"/>
      <c r="JT208" s="23"/>
      <c r="JU208" s="13"/>
      <c r="JV208" s="6"/>
      <c r="JW208" s="6"/>
      <c r="JX208" s="6"/>
      <c r="JY208" s="6"/>
      <c r="JZ208" s="10"/>
      <c r="KA208" s="10"/>
      <c r="KB208" s="10"/>
      <c r="KC208" s="10"/>
      <c r="KD208" s="5"/>
      <c r="KE208" s="6"/>
    </row>
    <row r="209" spans="6:291" x14ac:dyDescent="0.3">
      <c r="F209" s="17"/>
      <c r="G209" s="9"/>
      <c r="H209" s="3"/>
      <c r="I209" s="3"/>
      <c r="J209" s="3"/>
      <c r="K209" s="3"/>
      <c r="L209" s="3"/>
      <c r="M209" s="3"/>
      <c r="N209" s="3"/>
      <c r="O209" s="3"/>
      <c r="P209" s="4"/>
      <c r="Q209" s="5"/>
      <c r="R209" s="5"/>
      <c r="S209" s="5"/>
      <c r="T209" s="6"/>
      <c r="U209" s="5"/>
      <c r="V209" s="6"/>
      <c r="W209" s="7"/>
      <c r="X209" s="8"/>
      <c r="Y209" s="6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6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C209" s="6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  <c r="JC209" s="5"/>
      <c r="JD209" s="5"/>
      <c r="JE209" s="5"/>
      <c r="JF209" s="5"/>
      <c r="JG209" s="5"/>
      <c r="JH209" s="5"/>
      <c r="JI209" s="5"/>
      <c r="JJ209" s="5"/>
      <c r="JK209" s="5"/>
      <c r="JM209" s="19"/>
      <c r="JN209" s="1">
        <v>207</v>
      </c>
      <c r="JO209" s="5">
        <f>HLOOKUP(JM209,HC$2:JK209,2+JN208,0)-IF(KE209&gt;0,KE209,0)</f>
        <v>0</v>
      </c>
      <c r="JP209" s="5"/>
      <c r="JQ209" s="5"/>
      <c r="JR209" s="5"/>
      <c r="JS209" s="6"/>
      <c r="JT209" s="23"/>
      <c r="JU209" s="13"/>
      <c r="JV209" s="6"/>
      <c r="JW209" s="6"/>
      <c r="JX209" s="6"/>
      <c r="JY209" s="6"/>
      <c r="JZ209" s="10"/>
      <c r="KA209" s="10"/>
      <c r="KB209" s="10"/>
      <c r="KC209" s="10"/>
      <c r="KD209" s="5"/>
      <c r="KE209" s="6"/>
    </row>
    <row r="210" spans="6:291" x14ac:dyDescent="0.3">
      <c r="F210" s="17"/>
      <c r="G210" s="9"/>
      <c r="H210" s="3"/>
      <c r="I210" s="3"/>
      <c r="J210" s="3"/>
      <c r="K210" s="3"/>
      <c r="L210" s="3"/>
      <c r="M210" s="3"/>
      <c r="N210" s="3"/>
      <c r="O210" s="3"/>
      <c r="P210" s="4"/>
      <c r="Q210" s="5"/>
      <c r="R210" s="5"/>
      <c r="S210" s="5"/>
      <c r="T210" s="6"/>
      <c r="U210" s="5"/>
      <c r="V210" s="6"/>
      <c r="W210" s="7"/>
      <c r="X210" s="8"/>
      <c r="Y210" s="6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6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C210" s="6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  <c r="JC210" s="5"/>
      <c r="JD210" s="5"/>
      <c r="JE210" s="5"/>
      <c r="JF210" s="5"/>
      <c r="JG210" s="5"/>
      <c r="JH210" s="5"/>
      <c r="JI210" s="5"/>
      <c r="JJ210" s="5"/>
      <c r="JK210" s="5"/>
      <c r="JM210" s="19"/>
      <c r="JN210" s="1">
        <v>208</v>
      </c>
      <c r="JO210" s="5">
        <f>HLOOKUP(JM210,HC$2:JK210,2+JN209,0)-IF(KE210&gt;0,KE210,0)</f>
        <v>0</v>
      </c>
      <c r="JP210" s="5"/>
      <c r="JQ210" s="5"/>
      <c r="JR210" s="5"/>
      <c r="JS210" s="6"/>
      <c r="JT210" s="23"/>
      <c r="JU210" s="13"/>
      <c r="JV210" s="6"/>
      <c r="JW210" s="6"/>
      <c r="JX210" s="6"/>
      <c r="JY210" s="6"/>
      <c r="JZ210" s="10"/>
      <c r="KA210" s="10"/>
      <c r="KB210" s="10"/>
      <c r="KC210" s="10"/>
      <c r="KD210" s="5"/>
      <c r="KE210" s="6"/>
    </row>
    <row r="211" spans="6:291" x14ac:dyDescent="0.3">
      <c r="F211" s="17"/>
      <c r="G211" s="9"/>
      <c r="H211" s="3"/>
      <c r="I211" s="3"/>
      <c r="J211" s="3"/>
      <c r="K211" s="3"/>
      <c r="L211" s="3"/>
      <c r="M211" s="3"/>
      <c r="N211" s="3"/>
      <c r="O211" s="3"/>
      <c r="P211" s="4"/>
      <c r="Q211" s="5"/>
      <c r="R211" s="5"/>
      <c r="S211" s="5"/>
      <c r="T211" s="6"/>
      <c r="U211" s="5"/>
      <c r="V211" s="6"/>
      <c r="W211" s="7"/>
      <c r="X211" s="8"/>
      <c r="Y211" s="6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6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C211" s="6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  <c r="JC211" s="5"/>
      <c r="JD211" s="5"/>
      <c r="JE211" s="5"/>
      <c r="JF211" s="5"/>
      <c r="JG211" s="5"/>
      <c r="JH211" s="5"/>
      <c r="JI211" s="5"/>
      <c r="JJ211" s="5"/>
      <c r="JK211" s="5"/>
      <c r="JM211" s="19"/>
      <c r="JN211" s="1">
        <v>209</v>
      </c>
      <c r="JO211" s="5">
        <f>HLOOKUP(JM211,HC$2:JK211,2+JN210,0)-IF(KE211&gt;0,KE211,0)</f>
        <v>0</v>
      </c>
      <c r="JP211" s="5"/>
      <c r="JQ211" s="5"/>
      <c r="JR211" s="5"/>
      <c r="JS211" s="6"/>
      <c r="JT211" s="23"/>
      <c r="JU211" s="13"/>
      <c r="JV211" s="6"/>
      <c r="JW211" s="6"/>
      <c r="JX211" s="6"/>
      <c r="JY211" s="6"/>
      <c r="JZ211" s="10"/>
      <c r="KA211" s="10"/>
      <c r="KB211" s="10"/>
      <c r="KC211" s="10"/>
      <c r="KD211" s="5"/>
      <c r="KE211" s="6"/>
    </row>
    <row r="212" spans="6:291" x14ac:dyDescent="0.3">
      <c r="F212" s="17"/>
      <c r="G212" s="9"/>
      <c r="H212" s="3"/>
      <c r="I212" s="3"/>
      <c r="J212" s="3"/>
      <c r="K212" s="3"/>
      <c r="L212" s="3"/>
      <c r="M212" s="3"/>
      <c r="N212" s="3"/>
      <c r="O212" s="3"/>
      <c r="P212" s="4"/>
      <c r="Q212" s="5"/>
      <c r="R212" s="5"/>
      <c r="S212" s="5"/>
      <c r="T212" s="6"/>
      <c r="U212" s="5"/>
      <c r="V212" s="6"/>
      <c r="W212" s="7"/>
      <c r="X212" s="8"/>
      <c r="Y212" s="6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6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C212" s="6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  <c r="JC212" s="5"/>
      <c r="JD212" s="5"/>
      <c r="JE212" s="5"/>
      <c r="JF212" s="5"/>
      <c r="JG212" s="5"/>
      <c r="JH212" s="5"/>
      <c r="JI212" s="5"/>
      <c r="JJ212" s="5"/>
      <c r="JK212" s="5"/>
      <c r="JM212" s="19"/>
      <c r="JN212" s="1">
        <v>210</v>
      </c>
      <c r="JO212" s="5">
        <f>HLOOKUP(JM212,HC$2:JK212,2+JN211,0)-IF(KE212&gt;0,KE212,0)</f>
        <v>0</v>
      </c>
      <c r="JP212" s="5"/>
      <c r="JQ212" s="5"/>
      <c r="JR212" s="5"/>
      <c r="JS212" s="6"/>
      <c r="JT212" s="23"/>
      <c r="JU212" s="13"/>
      <c r="JV212" s="6"/>
      <c r="JW212" s="6"/>
      <c r="JX212" s="6"/>
      <c r="JY212" s="6"/>
      <c r="JZ212" s="10"/>
      <c r="KA212" s="10"/>
      <c r="KB212" s="10"/>
      <c r="KC212" s="10"/>
      <c r="KD212" s="5"/>
      <c r="KE212" s="6"/>
    </row>
    <row r="213" spans="6:291" x14ac:dyDescent="0.3">
      <c r="F213" s="17"/>
      <c r="G213" s="9"/>
      <c r="H213" s="3"/>
      <c r="I213" s="3"/>
      <c r="J213" s="3"/>
      <c r="K213" s="3"/>
      <c r="L213" s="3"/>
      <c r="M213" s="3"/>
      <c r="N213" s="3"/>
      <c r="O213" s="3"/>
      <c r="P213" s="4"/>
      <c r="Q213" s="5"/>
      <c r="R213" s="5"/>
      <c r="S213" s="5"/>
      <c r="T213" s="6"/>
      <c r="U213" s="5"/>
      <c r="V213" s="6"/>
      <c r="W213" s="7"/>
      <c r="X213" s="8"/>
      <c r="Y213" s="6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6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C213" s="6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  <c r="JC213" s="5"/>
      <c r="JD213" s="5"/>
      <c r="JE213" s="5"/>
      <c r="JF213" s="5"/>
      <c r="JG213" s="5"/>
      <c r="JH213" s="5"/>
      <c r="JI213" s="5"/>
      <c r="JJ213" s="5"/>
      <c r="JK213" s="5"/>
      <c r="JM213" s="19"/>
      <c r="JN213" s="1">
        <v>211</v>
      </c>
      <c r="JO213" s="5">
        <f>HLOOKUP(JM213,HC$2:JK213,2+JN212,0)-IF(KE213&gt;0,KE213,0)</f>
        <v>0</v>
      </c>
      <c r="JP213" s="5"/>
      <c r="JQ213" s="5"/>
      <c r="JR213" s="5"/>
      <c r="JS213" s="6"/>
      <c r="JT213" s="23"/>
      <c r="JU213" s="13"/>
      <c r="JV213" s="6"/>
      <c r="JW213" s="6"/>
      <c r="JX213" s="6"/>
      <c r="JY213" s="6"/>
      <c r="JZ213" s="10"/>
      <c r="KA213" s="10"/>
      <c r="KB213" s="10"/>
      <c r="KC213" s="10"/>
      <c r="KD213" s="5"/>
      <c r="KE213" s="6"/>
    </row>
    <row r="214" spans="6:291" x14ac:dyDescent="0.3">
      <c r="F214" s="17"/>
      <c r="G214" s="9"/>
      <c r="H214" s="3"/>
      <c r="I214" s="3"/>
      <c r="J214" s="3"/>
      <c r="K214" s="3"/>
      <c r="L214" s="3"/>
      <c r="M214" s="3"/>
      <c r="N214" s="3"/>
      <c r="O214" s="3"/>
      <c r="P214" s="4"/>
      <c r="Q214" s="5"/>
      <c r="R214" s="5"/>
      <c r="S214" s="5"/>
      <c r="T214" s="6"/>
      <c r="U214" s="5"/>
      <c r="V214" s="6"/>
      <c r="W214" s="7"/>
      <c r="X214" s="8"/>
      <c r="Y214" s="6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6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C214" s="6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  <c r="JC214" s="5"/>
      <c r="JD214" s="5"/>
      <c r="JE214" s="5"/>
      <c r="JF214" s="5"/>
      <c r="JG214" s="5"/>
      <c r="JH214" s="5"/>
      <c r="JI214" s="5"/>
      <c r="JJ214" s="5"/>
      <c r="JK214" s="5"/>
      <c r="JM214" s="19"/>
      <c r="JN214" s="1">
        <v>212</v>
      </c>
      <c r="JO214" s="5">
        <f>HLOOKUP(JM214,HC$2:JK214,2+JN213,0)-IF(KE214&gt;0,KE214,0)</f>
        <v>0</v>
      </c>
      <c r="JP214" s="5"/>
      <c r="JQ214" s="5"/>
      <c r="JR214" s="5"/>
      <c r="JS214" s="6"/>
      <c r="JT214" s="23"/>
      <c r="JU214" s="13"/>
      <c r="JV214" s="6"/>
      <c r="JW214" s="6"/>
      <c r="JX214" s="6"/>
      <c r="JY214" s="6"/>
      <c r="JZ214" s="10"/>
      <c r="KA214" s="10"/>
      <c r="KB214" s="10"/>
      <c r="KC214" s="10"/>
      <c r="KD214" s="5"/>
      <c r="KE214" s="6"/>
    </row>
    <row r="215" spans="6:291" x14ac:dyDescent="0.3">
      <c r="F215" s="17"/>
      <c r="G215" s="9"/>
      <c r="H215" s="3"/>
      <c r="I215" s="3"/>
      <c r="J215" s="3"/>
      <c r="K215" s="3"/>
      <c r="L215" s="3"/>
      <c r="M215" s="3"/>
      <c r="N215" s="3"/>
      <c r="O215" s="3"/>
      <c r="P215" s="4"/>
      <c r="Q215" s="5"/>
      <c r="R215" s="5"/>
      <c r="S215" s="5"/>
      <c r="T215" s="6"/>
      <c r="U215" s="5"/>
      <c r="V215" s="6"/>
      <c r="W215" s="7"/>
      <c r="X215" s="8"/>
      <c r="Y215" s="6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6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C215" s="6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  <c r="JC215" s="5"/>
      <c r="JD215" s="5"/>
      <c r="JE215" s="5"/>
      <c r="JF215" s="5"/>
      <c r="JG215" s="5"/>
      <c r="JH215" s="5"/>
      <c r="JI215" s="5"/>
      <c r="JJ215" s="5"/>
      <c r="JK215" s="5"/>
      <c r="JM215" s="19"/>
      <c r="JN215" s="1">
        <v>213</v>
      </c>
      <c r="JO215" s="5">
        <f>HLOOKUP(JM215,HC$2:JK215,2+JN214,0)-IF(KE215&gt;0,KE215,0)</f>
        <v>0</v>
      </c>
      <c r="JP215" s="5"/>
      <c r="JQ215" s="5"/>
      <c r="JR215" s="5"/>
      <c r="JS215" s="6"/>
      <c r="JT215" s="23"/>
      <c r="JU215" s="13"/>
      <c r="JV215" s="6"/>
      <c r="JW215" s="6"/>
      <c r="JX215" s="6"/>
      <c r="JY215" s="6"/>
      <c r="JZ215" s="10"/>
      <c r="KA215" s="10"/>
      <c r="KB215" s="10"/>
      <c r="KC215" s="10"/>
      <c r="KD215" s="5"/>
      <c r="KE215" s="6"/>
    </row>
    <row r="216" spans="6:291" x14ac:dyDescent="0.3">
      <c r="F216" s="17"/>
      <c r="G216" s="9"/>
      <c r="H216" s="3"/>
      <c r="I216" s="3"/>
      <c r="J216" s="3"/>
      <c r="K216" s="3"/>
      <c r="L216" s="3"/>
      <c r="M216" s="3"/>
      <c r="N216" s="3"/>
      <c r="O216" s="3"/>
      <c r="P216" s="4"/>
      <c r="Q216" s="5"/>
      <c r="R216" s="5"/>
      <c r="S216" s="5"/>
      <c r="T216" s="6"/>
      <c r="U216" s="5"/>
      <c r="V216" s="6"/>
      <c r="W216" s="7"/>
      <c r="X216" s="8"/>
      <c r="Y216" s="6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6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C216" s="6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  <c r="JC216" s="5"/>
      <c r="JD216" s="5"/>
      <c r="JE216" s="5"/>
      <c r="JF216" s="5"/>
      <c r="JG216" s="5"/>
      <c r="JH216" s="5"/>
      <c r="JI216" s="5"/>
      <c r="JJ216" s="5"/>
      <c r="JK216" s="5"/>
      <c r="JM216" s="19"/>
      <c r="JN216" s="1">
        <v>214</v>
      </c>
      <c r="JO216" s="5">
        <f>HLOOKUP(JM216,HC$2:JK216,2+JN215,0)-IF(KE216&gt;0,KE216,0)</f>
        <v>0</v>
      </c>
      <c r="JP216" s="5"/>
      <c r="JQ216" s="5"/>
      <c r="JR216" s="5"/>
      <c r="JS216" s="6"/>
      <c r="JT216" s="23"/>
      <c r="JU216" s="13"/>
      <c r="JV216" s="6"/>
      <c r="JW216" s="6"/>
      <c r="JX216" s="6"/>
      <c r="JY216" s="6"/>
      <c r="JZ216" s="10"/>
      <c r="KA216" s="10"/>
      <c r="KB216" s="10"/>
      <c r="KC216" s="10"/>
      <c r="KD216" s="5"/>
      <c r="KE216" s="6"/>
    </row>
    <row r="217" spans="6:291" x14ac:dyDescent="0.3">
      <c r="F217" s="17"/>
      <c r="G217" s="9"/>
      <c r="H217" s="3"/>
      <c r="I217" s="3"/>
      <c r="J217" s="3"/>
      <c r="K217" s="3"/>
      <c r="L217" s="3"/>
      <c r="M217" s="3"/>
      <c r="N217" s="3"/>
      <c r="O217" s="3"/>
      <c r="P217" s="4"/>
      <c r="Q217" s="5"/>
      <c r="R217" s="5"/>
      <c r="S217" s="5"/>
      <c r="T217" s="6"/>
      <c r="U217" s="5"/>
      <c r="V217" s="6"/>
      <c r="W217" s="7"/>
      <c r="X217" s="8"/>
      <c r="Y217" s="6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6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C217" s="6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  <c r="JC217" s="5"/>
      <c r="JD217" s="5"/>
      <c r="JE217" s="5"/>
      <c r="JF217" s="5"/>
      <c r="JG217" s="5"/>
      <c r="JH217" s="5"/>
      <c r="JI217" s="5"/>
      <c r="JJ217" s="5"/>
      <c r="JK217" s="5"/>
      <c r="JM217" s="19"/>
      <c r="JN217" s="1">
        <v>215</v>
      </c>
      <c r="JO217" s="5">
        <f>HLOOKUP(JM217,HC$2:JK217,2+JN216,0)-IF(KE217&gt;0,KE217,0)</f>
        <v>0</v>
      </c>
      <c r="JP217" s="5"/>
      <c r="JQ217" s="5"/>
      <c r="JR217" s="5"/>
      <c r="JS217" s="6"/>
      <c r="JT217" s="23"/>
      <c r="JU217" s="13"/>
      <c r="JV217" s="6"/>
      <c r="JW217" s="6"/>
      <c r="JX217" s="6"/>
      <c r="JY217" s="6"/>
      <c r="JZ217" s="10"/>
      <c r="KA217" s="10"/>
      <c r="KB217" s="10"/>
      <c r="KC217" s="10"/>
      <c r="KD217" s="5"/>
      <c r="KE217" s="6"/>
    </row>
    <row r="218" spans="6:291" x14ac:dyDescent="0.3">
      <c r="F218" s="17"/>
      <c r="G218" s="9"/>
      <c r="H218" s="3"/>
      <c r="I218" s="3"/>
      <c r="J218" s="3"/>
      <c r="K218" s="3"/>
      <c r="L218" s="3"/>
      <c r="M218" s="3"/>
      <c r="N218" s="3"/>
      <c r="O218" s="3"/>
      <c r="P218" s="4"/>
      <c r="Q218" s="5"/>
      <c r="R218" s="5"/>
      <c r="S218" s="5"/>
      <c r="T218" s="6"/>
      <c r="U218" s="5"/>
      <c r="V218" s="6"/>
      <c r="W218" s="7"/>
      <c r="X218" s="8"/>
      <c r="Y218" s="6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6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C218" s="6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  <c r="JC218" s="5"/>
      <c r="JD218" s="5"/>
      <c r="JE218" s="5"/>
      <c r="JF218" s="5"/>
      <c r="JG218" s="5"/>
      <c r="JH218" s="5"/>
      <c r="JI218" s="5"/>
      <c r="JJ218" s="5"/>
      <c r="JK218" s="5"/>
      <c r="JM218" s="19"/>
      <c r="JN218" s="1">
        <v>216</v>
      </c>
      <c r="JO218" s="5">
        <f>HLOOKUP(JM218,HC$2:JK218,2+JN217,0)-IF(KE218&gt;0,KE218,0)</f>
        <v>0</v>
      </c>
      <c r="JP218" s="5"/>
      <c r="JQ218" s="5"/>
      <c r="JR218" s="5"/>
      <c r="JS218" s="6"/>
      <c r="JT218" s="23"/>
      <c r="JU218" s="13"/>
      <c r="JV218" s="6"/>
      <c r="JW218" s="6"/>
      <c r="JX218" s="6"/>
      <c r="JY218" s="6"/>
      <c r="JZ218" s="10"/>
      <c r="KA218" s="10"/>
      <c r="KB218" s="10"/>
      <c r="KC218" s="10"/>
      <c r="KD218" s="5"/>
      <c r="KE218" s="6"/>
    </row>
    <row r="219" spans="6:291" x14ac:dyDescent="0.3">
      <c r="F219" s="17"/>
      <c r="G219" s="9"/>
      <c r="H219" s="3"/>
      <c r="I219" s="3"/>
      <c r="J219" s="3"/>
      <c r="K219" s="3"/>
      <c r="L219" s="3"/>
      <c r="M219" s="3"/>
      <c r="N219" s="3"/>
      <c r="O219" s="3"/>
      <c r="P219" s="4"/>
      <c r="Q219" s="5"/>
      <c r="R219" s="5"/>
      <c r="S219" s="5"/>
      <c r="T219" s="6"/>
      <c r="U219" s="5"/>
      <c r="V219" s="6"/>
      <c r="W219" s="7"/>
      <c r="X219" s="8"/>
      <c r="Y219" s="6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6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C219" s="6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  <c r="JC219" s="5"/>
      <c r="JD219" s="5"/>
      <c r="JE219" s="5"/>
      <c r="JF219" s="5"/>
      <c r="JG219" s="5"/>
      <c r="JH219" s="5"/>
      <c r="JI219" s="5"/>
      <c r="JJ219" s="5"/>
      <c r="JK219" s="5"/>
      <c r="JM219" s="19"/>
      <c r="JN219" s="1">
        <v>217</v>
      </c>
      <c r="JO219" s="5">
        <f>HLOOKUP(JM219,HC$2:JK219,2+JN218,0)-IF(KE219&gt;0,KE219,0)</f>
        <v>0</v>
      </c>
      <c r="JP219" s="5"/>
      <c r="JQ219" s="5"/>
      <c r="JR219" s="5"/>
      <c r="JS219" s="6"/>
      <c r="JT219" s="23"/>
      <c r="JU219" s="13"/>
      <c r="JV219" s="6"/>
      <c r="JW219" s="6"/>
      <c r="JX219" s="6"/>
      <c r="JY219" s="6"/>
      <c r="JZ219" s="10"/>
      <c r="KA219" s="10"/>
      <c r="KB219" s="10"/>
      <c r="KC219" s="10"/>
      <c r="KD219" s="5"/>
      <c r="KE219" s="6"/>
    </row>
    <row r="220" spans="6:291" x14ac:dyDescent="0.3">
      <c r="F220" s="17"/>
      <c r="G220" s="9"/>
      <c r="H220" s="3"/>
      <c r="I220" s="3"/>
      <c r="J220" s="3"/>
      <c r="K220" s="3"/>
      <c r="L220" s="3"/>
      <c r="M220" s="3"/>
      <c r="N220" s="3"/>
      <c r="O220" s="3"/>
      <c r="P220" s="4"/>
      <c r="Q220" s="5"/>
      <c r="R220" s="5"/>
      <c r="S220" s="5"/>
      <c r="T220" s="6"/>
      <c r="U220" s="5"/>
      <c r="V220" s="6"/>
      <c r="W220" s="7"/>
      <c r="X220" s="8"/>
      <c r="Y220" s="6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6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C220" s="6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  <c r="JC220" s="5"/>
      <c r="JD220" s="5"/>
      <c r="JE220" s="5"/>
      <c r="JF220" s="5"/>
      <c r="JG220" s="5"/>
      <c r="JH220" s="5"/>
      <c r="JI220" s="5"/>
      <c r="JJ220" s="5"/>
      <c r="JK220" s="5"/>
      <c r="JM220" s="19"/>
      <c r="JN220" s="1">
        <v>218</v>
      </c>
      <c r="JO220" s="5">
        <f>HLOOKUP(JM220,HC$2:JK220,2+JN219,0)-IF(KE220&gt;0,KE220,0)</f>
        <v>0</v>
      </c>
      <c r="JP220" s="5"/>
      <c r="JQ220" s="5"/>
      <c r="JR220" s="5"/>
      <c r="JS220" s="6"/>
      <c r="JT220" s="23"/>
      <c r="JU220" s="13"/>
      <c r="JV220" s="6"/>
      <c r="JW220" s="6"/>
      <c r="JX220" s="6"/>
      <c r="JY220" s="6"/>
      <c r="JZ220" s="10"/>
      <c r="KA220" s="10"/>
      <c r="KB220" s="10"/>
      <c r="KC220" s="10"/>
      <c r="KD220" s="5"/>
      <c r="KE220" s="6"/>
    </row>
    <row r="221" spans="6:291" x14ac:dyDescent="0.3">
      <c r="F221" s="17"/>
      <c r="G221" s="9"/>
      <c r="H221" s="3"/>
      <c r="I221" s="3"/>
      <c r="J221" s="3"/>
      <c r="K221" s="3"/>
      <c r="L221" s="3"/>
      <c r="M221" s="3"/>
      <c r="N221" s="3"/>
      <c r="O221" s="3"/>
      <c r="P221" s="4"/>
      <c r="Q221" s="5"/>
      <c r="R221" s="5"/>
      <c r="S221" s="5"/>
      <c r="T221" s="6"/>
      <c r="U221" s="5"/>
      <c r="V221" s="6"/>
      <c r="W221" s="7"/>
      <c r="X221" s="8"/>
      <c r="Y221" s="6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6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C221" s="6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  <c r="JC221" s="5"/>
      <c r="JD221" s="5"/>
      <c r="JE221" s="5"/>
      <c r="JF221" s="5"/>
      <c r="JG221" s="5"/>
      <c r="JH221" s="5"/>
      <c r="JI221" s="5"/>
      <c r="JJ221" s="5"/>
      <c r="JK221" s="5"/>
      <c r="JM221" s="19"/>
      <c r="JN221" s="1">
        <v>219</v>
      </c>
      <c r="JO221" s="5">
        <f>HLOOKUP(JM221,HC$2:JK221,2+JN220,0)-IF(KE221&gt;0,KE221,0)</f>
        <v>0</v>
      </c>
      <c r="JP221" s="5"/>
      <c r="JQ221" s="5"/>
      <c r="JR221" s="5"/>
      <c r="JS221" s="6"/>
      <c r="JT221" s="23"/>
      <c r="JU221" s="13"/>
      <c r="JV221" s="6"/>
      <c r="JW221" s="6"/>
      <c r="JX221" s="6"/>
      <c r="JY221" s="6"/>
      <c r="JZ221" s="10"/>
      <c r="KA221" s="10"/>
      <c r="KB221" s="10"/>
      <c r="KC221" s="10"/>
      <c r="KD221" s="5"/>
      <c r="KE221" s="6"/>
    </row>
    <row r="222" spans="6:291" x14ac:dyDescent="0.3">
      <c r="F222" s="17"/>
      <c r="G222" s="9"/>
      <c r="H222" s="3"/>
      <c r="I222" s="3"/>
      <c r="J222" s="3"/>
      <c r="K222" s="3"/>
      <c r="L222" s="3"/>
      <c r="M222" s="3"/>
      <c r="N222" s="3"/>
      <c r="O222" s="3"/>
      <c r="P222" s="4"/>
      <c r="Q222" s="5"/>
      <c r="R222" s="5"/>
      <c r="S222" s="5"/>
      <c r="T222" s="6"/>
      <c r="U222" s="5"/>
      <c r="V222" s="6"/>
      <c r="W222" s="7"/>
      <c r="X222" s="8"/>
      <c r="Y222" s="6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6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C222" s="6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  <c r="JC222" s="5"/>
      <c r="JD222" s="5"/>
      <c r="JE222" s="5"/>
      <c r="JF222" s="5"/>
      <c r="JG222" s="5"/>
      <c r="JH222" s="5"/>
      <c r="JI222" s="5"/>
      <c r="JJ222" s="5"/>
      <c r="JK222" s="5"/>
      <c r="JM222" s="19"/>
      <c r="JN222" s="1">
        <v>220</v>
      </c>
      <c r="JO222" s="5">
        <f>HLOOKUP(JM222,HC$2:JK222,2+JN221,0)-IF(KE222&gt;0,KE222,0)</f>
        <v>0</v>
      </c>
      <c r="JP222" s="5"/>
      <c r="JQ222" s="5"/>
      <c r="JR222" s="5"/>
      <c r="JS222" s="6"/>
      <c r="JT222" s="23"/>
      <c r="JU222" s="13"/>
      <c r="JV222" s="6"/>
      <c r="JW222" s="6"/>
      <c r="JX222" s="6"/>
      <c r="JY222" s="6"/>
      <c r="JZ222" s="10"/>
      <c r="KA222" s="10"/>
      <c r="KB222" s="10"/>
      <c r="KC222" s="10"/>
      <c r="KD222" s="5"/>
      <c r="KE222" s="6"/>
    </row>
    <row r="223" spans="6:291" x14ac:dyDescent="0.3">
      <c r="F223" s="17"/>
      <c r="G223" s="9"/>
      <c r="H223" s="3"/>
      <c r="I223" s="3"/>
      <c r="J223" s="3"/>
      <c r="K223" s="3"/>
      <c r="L223" s="3"/>
      <c r="M223" s="3"/>
      <c r="N223" s="3"/>
      <c r="O223" s="3"/>
      <c r="P223" s="4"/>
      <c r="Q223" s="5"/>
      <c r="R223" s="5"/>
      <c r="S223" s="5"/>
      <c r="T223" s="6"/>
      <c r="U223" s="5"/>
      <c r="V223" s="6"/>
      <c r="W223" s="7"/>
      <c r="X223" s="8"/>
      <c r="Y223" s="6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6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C223" s="6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  <c r="JC223" s="5"/>
      <c r="JD223" s="5"/>
      <c r="JE223" s="5"/>
      <c r="JF223" s="5"/>
      <c r="JG223" s="5"/>
      <c r="JH223" s="5"/>
      <c r="JI223" s="5"/>
      <c r="JJ223" s="5"/>
      <c r="JK223" s="5"/>
      <c r="JM223" s="19"/>
      <c r="JN223" s="1">
        <v>221</v>
      </c>
      <c r="JO223" s="5">
        <f>HLOOKUP(JM223,HC$2:JK223,2+JN222,0)-IF(KE223&gt;0,KE223,0)</f>
        <v>0</v>
      </c>
      <c r="JP223" s="5"/>
      <c r="JQ223" s="5"/>
      <c r="JR223" s="5"/>
      <c r="JS223" s="6"/>
      <c r="JT223" s="23"/>
      <c r="JU223" s="13"/>
      <c r="JV223" s="6"/>
      <c r="JW223" s="6"/>
      <c r="JX223" s="6"/>
      <c r="JY223" s="6"/>
      <c r="JZ223" s="10"/>
      <c r="KA223" s="10"/>
      <c r="KB223" s="10"/>
      <c r="KC223" s="10"/>
      <c r="KD223" s="5"/>
      <c r="KE223" s="6"/>
    </row>
    <row r="224" spans="6:291" x14ac:dyDescent="0.3">
      <c r="F224" s="17"/>
      <c r="G224" s="9"/>
      <c r="H224" s="3"/>
      <c r="I224" s="3"/>
      <c r="J224" s="3"/>
      <c r="K224" s="3"/>
      <c r="L224" s="3"/>
      <c r="M224" s="3"/>
      <c r="N224" s="3"/>
      <c r="O224" s="3"/>
      <c r="P224" s="4"/>
      <c r="Q224" s="5"/>
      <c r="R224" s="5"/>
      <c r="S224" s="5"/>
      <c r="T224" s="6"/>
      <c r="U224" s="5"/>
      <c r="V224" s="6"/>
      <c r="W224" s="7"/>
      <c r="X224" s="8"/>
      <c r="Y224" s="6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6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C224" s="6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  <c r="JC224" s="5"/>
      <c r="JD224" s="5"/>
      <c r="JE224" s="5"/>
      <c r="JF224" s="5"/>
      <c r="JG224" s="5"/>
      <c r="JH224" s="5"/>
      <c r="JI224" s="5"/>
      <c r="JJ224" s="5"/>
      <c r="JK224" s="5"/>
      <c r="JM224" s="19"/>
      <c r="JN224" s="1">
        <v>222</v>
      </c>
      <c r="JO224" s="5">
        <f>HLOOKUP(JM224,HC$2:JK224,2+JN223,0)-IF(KE224&gt;0,KE224,0)</f>
        <v>0</v>
      </c>
      <c r="JP224" s="5"/>
      <c r="JQ224" s="5"/>
      <c r="JR224" s="5"/>
      <c r="JS224" s="6"/>
      <c r="JT224" s="23"/>
      <c r="JU224" s="13"/>
      <c r="JV224" s="6"/>
      <c r="JW224" s="6"/>
      <c r="JX224" s="6"/>
      <c r="JY224" s="6"/>
      <c r="JZ224" s="10"/>
      <c r="KA224" s="10"/>
      <c r="KB224" s="10"/>
      <c r="KC224" s="10"/>
      <c r="KD224" s="5"/>
      <c r="KE224" s="6"/>
    </row>
    <row r="225" spans="6:291" x14ac:dyDescent="0.3">
      <c r="F225" s="17"/>
      <c r="G225" s="9"/>
      <c r="H225" s="3"/>
      <c r="I225" s="3"/>
      <c r="J225" s="3"/>
      <c r="K225" s="3"/>
      <c r="L225" s="3"/>
      <c r="M225" s="3"/>
      <c r="N225" s="3"/>
      <c r="O225" s="3"/>
      <c r="P225" s="4"/>
      <c r="Q225" s="5"/>
      <c r="R225" s="5"/>
      <c r="S225" s="5"/>
      <c r="T225" s="6"/>
      <c r="U225" s="5"/>
      <c r="V225" s="6"/>
      <c r="W225" s="7"/>
      <c r="X225" s="8"/>
      <c r="Y225" s="6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6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C225" s="6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  <c r="JC225" s="5"/>
      <c r="JD225" s="5"/>
      <c r="JE225" s="5"/>
      <c r="JF225" s="5"/>
      <c r="JG225" s="5"/>
      <c r="JH225" s="5"/>
      <c r="JI225" s="5"/>
      <c r="JJ225" s="5"/>
      <c r="JK225" s="5"/>
      <c r="JM225" s="19"/>
      <c r="JN225" s="1">
        <v>223</v>
      </c>
      <c r="JO225" s="5">
        <f>HLOOKUP(JM225,HC$2:JK225,2+JN224,0)-IF(KE225&gt;0,KE225,0)</f>
        <v>0</v>
      </c>
      <c r="JP225" s="5"/>
      <c r="JQ225" s="5"/>
      <c r="JR225" s="5"/>
      <c r="JS225" s="6"/>
      <c r="JT225" s="23"/>
      <c r="JU225" s="13"/>
      <c r="JV225" s="6"/>
      <c r="JW225" s="6"/>
      <c r="JX225" s="6"/>
      <c r="JY225" s="6"/>
      <c r="JZ225" s="10"/>
      <c r="KA225" s="10"/>
      <c r="KB225" s="10"/>
      <c r="KC225" s="10"/>
      <c r="KD225" s="5"/>
      <c r="KE225" s="6"/>
    </row>
    <row r="226" spans="6:291" x14ac:dyDescent="0.3">
      <c r="F226" s="17"/>
      <c r="G226" s="9"/>
      <c r="H226" s="3"/>
      <c r="I226" s="3"/>
      <c r="J226" s="3"/>
      <c r="K226" s="3"/>
      <c r="L226" s="3"/>
      <c r="M226" s="3"/>
      <c r="N226" s="3"/>
      <c r="O226" s="3"/>
      <c r="P226" s="4"/>
      <c r="Q226" s="5"/>
      <c r="R226" s="5"/>
      <c r="S226" s="5"/>
      <c r="T226" s="6"/>
      <c r="U226" s="5"/>
      <c r="V226" s="6"/>
      <c r="W226" s="7"/>
      <c r="X226" s="8"/>
      <c r="Y226" s="6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6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C226" s="6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  <c r="JC226" s="5"/>
      <c r="JD226" s="5"/>
      <c r="JE226" s="5"/>
      <c r="JF226" s="5"/>
      <c r="JG226" s="5"/>
      <c r="JH226" s="5"/>
      <c r="JI226" s="5"/>
      <c r="JJ226" s="5"/>
      <c r="JK226" s="5"/>
      <c r="JM226" s="19"/>
      <c r="JN226" s="1">
        <v>224</v>
      </c>
      <c r="JO226" s="5">
        <f>HLOOKUP(JM226,HC$2:JK226,2+JN225,0)-IF(KE226&gt;0,KE226,0)</f>
        <v>0</v>
      </c>
      <c r="JP226" s="5"/>
      <c r="JQ226" s="5"/>
      <c r="JR226" s="5"/>
      <c r="JS226" s="6"/>
      <c r="JT226" s="23"/>
      <c r="JU226" s="13"/>
      <c r="JV226" s="6"/>
      <c r="JW226" s="6"/>
      <c r="JX226" s="6"/>
      <c r="JY226" s="6"/>
      <c r="JZ226" s="10"/>
      <c r="KA226" s="10"/>
      <c r="KB226" s="10"/>
      <c r="KC226" s="10"/>
      <c r="KD226" s="5"/>
      <c r="KE226" s="6"/>
    </row>
    <row r="227" spans="6:291" x14ac:dyDescent="0.3">
      <c r="F227" s="17"/>
      <c r="G227" s="9"/>
      <c r="H227" s="3"/>
      <c r="I227" s="3"/>
      <c r="J227" s="3"/>
      <c r="K227" s="3"/>
      <c r="L227" s="3"/>
      <c r="M227" s="3"/>
      <c r="N227" s="3"/>
      <c r="O227" s="3"/>
      <c r="P227" s="4"/>
      <c r="Q227" s="5"/>
      <c r="R227" s="5"/>
      <c r="S227" s="5"/>
      <c r="T227" s="6"/>
      <c r="U227" s="5"/>
      <c r="V227" s="6"/>
      <c r="W227" s="7"/>
      <c r="X227" s="8"/>
      <c r="Y227" s="6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6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C227" s="6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  <c r="JC227" s="5"/>
      <c r="JD227" s="5"/>
      <c r="JE227" s="5"/>
      <c r="JF227" s="5"/>
      <c r="JG227" s="5"/>
      <c r="JH227" s="5"/>
      <c r="JI227" s="5"/>
      <c r="JJ227" s="5"/>
      <c r="JK227" s="5"/>
      <c r="JM227" s="19"/>
      <c r="JN227" s="1">
        <v>225</v>
      </c>
      <c r="JO227" s="5">
        <f>HLOOKUP(JM227,HC$2:JK227,2+JN226,0)-IF(KE227&gt;0,KE227,0)</f>
        <v>0</v>
      </c>
      <c r="JP227" s="5"/>
      <c r="JQ227" s="5"/>
      <c r="JR227" s="5"/>
      <c r="JS227" s="6"/>
      <c r="JT227" s="23"/>
      <c r="JU227" s="13"/>
      <c r="JV227" s="6"/>
      <c r="JW227" s="6"/>
      <c r="JX227" s="6"/>
      <c r="JY227" s="6"/>
      <c r="JZ227" s="10"/>
      <c r="KA227" s="10"/>
      <c r="KB227" s="10"/>
      <c r="KC227" s="10"/>
      <c r="KD227" s="5"/>
      <c r="KE227" s="6"/>
    </row>
    <row r="228" spans="6:291" x14ac:dyDescent="0.3">
      <c r="F228" s="17"/>
      <c r="G228" s="9"/>
      <c r="H228" s="3"/>
      <c r="I228" s="3"/>
      <c r="J228" s="3"/>
      <c r="K228" s="3"/>
      <c r="L228" s="3"/>
      <c r="M228" s="3"/>
      <c r="N228" s="3"/>
      <c r="O228" s="3"/>
      <c r="P228" s="4"/>
      <c r="Q228" s="5"/>
      <c r="R228" s="5"/>
      <c r="S228" s="5"/>
      <c r="T228" s="6"/>
      <c r="U228" s="5"/>
      <c r="V228" s="6"/>
      <c r="W228" s="7"/>
      <c r="X228" s="8"/>
      <c r="Y228" s="6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6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C228" s="6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  <c r="JC228" s="5"/>
      <c r="JD228" s="5"/>
      <c r="JE228" s="5"/>
      <c r="JF228" s="5"/>
      <c r="JG228" s="5"/>
      <c r="JH228" s="5"/>
      <c r="JI228" s="5"/>
      <c r="JJ228" s="5"/>
      <c r="JK228" s="5"/>
      <c r="JM228" s="19"/>
      <c r="JN228" s="1">
        <v>226</v>
      </c>
      <c r="JO228" s="5">
        <f>HLOOKUP(JM228,HC$2:JK228,2+JN227,0)-IF(KE228&gt;0,KE228,0)</f>
        <v>0</v>
      </c>
      <c r="JP228" s="5"/>
      <c r="JQ228" s="5"/>
      <c r="JR228" s="5"/>
      <c r="JS228" s="6"/>
      <c r="JT228" s="23"/>
      <c r="JU228" s="13"/>
      <c r="JV228" s="6"/>
      <c r="JW228" s="6"/>
      <c r="JX228" s="6"/>
      <c r="JY228" s="6"/>
      <c r="JZ228" s="10"/>
      <c r="KA228" s="10"/>
      <c r="KB228" s="10"/>
      <c r="KC228" s="10"/>
      <c r="KD228" s="5"/>
      <c r="KE228" s="6"/>
    </row>
    <row r="229" spans="6:291" x14ac:dyDescent="0.3">
      <c r="F229" s="17"/>
      <c r="G229" s="9"/>
      <c r="H229" s="3"/>
      <c r="I229" s="3"/>
      <c r="J229" s="3"/>
      <c r="K229" s="3"/>
      <c r="L229" s="3"/>
      <c r="M229" s="3"/>
      <c r="N229" s="3"/>
      <c r="O229" s="3"/>
      <c r="P229" s="4"/>
      <c r="Q229" s="5"/>
      <c r="R229" s="5"/>
      <c r="S229" s="5"/>
      <c r="T229" s="6"/>
      <c r="U229" s="5"/>
      <c r="V229" s="6"/>
      <c r="W229" s="7"/>
      <c r="X229" s="8"/>
      <c r="Y229" s="6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6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C229" s="6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  <c r="JC229" s="5"/>
      <c r="JD229" s="5"/>
      <c r="JE229" s="5"/>
      <c r="JF229" s="5"/>
      <c r="JG229" s="5"/>
      <c r="JH229" s="5"/>
      <c r="JI229" s="5"/>
      <c r="JJ229" s="5"/>
      <c r="JK229" s="5"/>
      <c r="JM229" s="19"/>
      <c r="JN229" s="1">
        <v>227</v>
      </c>
      <c r="JO229" s="5">
        <f>HLOOKUP(JM229,HC$2:JK229,2+JN228,0)-IF(KE229&gt;0,KE229,0)</f>
        <v>0</v>
      </c>
      <c r="JP229" s="5"/>
      <c r="JQ229" s="5"/>
      <c r="JR229" s="5"/>
      <c r="JS229" s="6"/>
      <c r="JT229" s="23"/>
      <c r="JU229" s="13"/>
      <c r="JV229" s="6"/>
      <c r="JW229" s="6"/>
      <c r="JX229" s="6"/>
      <c r="JY229" s="6"/>
      <c r="JZ229" s="10"/>
      <c r="KA229" s="10"/>
      <c r="KB229" s="10"/>
      <c r="KC229" s="10"/>
      <c r="KD229" s="5"/>
      <c r="KE229" s="6"/>
    </row>
    <row r="230" spans="6:291" x14ac:dyDescent="0.3">
      <c r="F230" s="17"/>
      <c r="G230" s="9"/>
      <c r="H230" s="3"/>
      <c r="I230" s="3"/>
      <c r="J230" s="3"/>
      <c r="K230" s="3"/>
      <c r="L230" s="3"/>
      <c r="M230" s="3"/>
      <c r="N230" s="3"/>
      <c r="O230" s="3"/>
      <c r="P230" s="4"/>
      <c r="Q230" s="5"/>
      <c r="R230" s="5"/>
      <c r="S230" s="5"/>
      <c r="T230" s="6"/>
      <c r="U230" s="5"/>
      <c r="V230" s="6"/>
      <c r="W230" s="7"/>
      <c r="X230" s="8"/>
      <c r="Y230" s="6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6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C230" s="6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  <c r="JC230" s="5"/>
      <c r="JD230" s="5"/>
      <c r="JE230" s="5"/>
      <c r="JF230" s="5"/>
      <c r="JG230" s="5"/>
      <c r="JH230" s="5"/>
      <c r="JI230" s="5"/>
      <c r="JJ230" s="5"/>
      <c r="JK230" s="5"/>
      <c r="JM230" s="19"/>
      <c r="JN230" s="1">
        <v>228</v>
      </c>
      <c r="JO230" s="5">
        <f>HLOOKUP(JM230,HC$2:JK230,2+JN229,0)-IF(KE230&gt;0,KE230,0)</f>
        <v>0</v>
      </c>
      <c r="JP230" s="5"/>
      <c r="JQ230" s="5"/>
      <c r="JR230" s="5"/>
      <c r="JS230" s="6"/>
      <c r="JT230" s="23"/>
      <c r="JU230" s="13"/>
      <c r="JV230" s="6"/>
      <c r="JW230" s="6"/>
      <c r="JX230" s="6"/>
      <c r="JY230" s="6"/>
      <c r="JZ230" s="10"/>
      <c r="KA230" s="10"/>
      <c r="KB230" s="10"/>
      <c r="KC230" s="10"/>
      <c r="KD230" s="5"/>
      <c r="KE230" s="6"/>
    </row>
    <row r="231" spans="6:291" x14ac:dyDescent="0.3">
      <c r="F231" s="17"/>
      <c r="G231" s="9"/>
      <c r="H231" s="3"/>
      <c r="I231" s="3"/>
      <c r="J231" s="3"/>
      <c r="K231" s="3"/>
      <c r="L231" s="3"/>
      <c r="M231" s="3"/>
      <c r="N231" s="3"/>
      <c r="O231" s="3"/>
      <c r="P231" s="4"/>
      <c r="Q231" s="5"/>
      <c r="R231" s="5"/>
      <c r="S231" s="5"/>
      <c r="T231" s="6"/>
      <c r="U231" s="5"/>
      <c r="V231" s="6"/>
      <c r="W231" s="7"/>
      <c r="X231" s="8"/>
      <c r="Y231" s="6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6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C231" s="6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  <c r="JC231" s="5"/>
      <c r="JD231" s="5"/>
      <c r="JE231" s="5"/>
      <c r="JF231" s="5"/>
      <c r="JG231" s="5"/>
      <c r="JH231" s="5"/>
      <c r="JI231" s="5"/>
      <c r="JJ231" s="5"/>
      <c r="JK231" s="5"/>
      <c r="JM231" s="19"/>
      <c r="JN231" s="1">
        <v>229</v>
      </c>
      <c r="JO231" s="5">
        <f>HLOOKUP(JM231,HC$2:JK231,2+JN230,0)-IF(KE231&gt;0,KE231,0)</f>
        <v>0</v>
      </c>
      <c r="JP231" s="5"/>
      <c r="JQ231" s="5"/>
      <c r="JR231" s="5"/>
      <c r="JS231" s="6"/>
      <c r="JT231" s="23"/>
      <c r="JU231" s="13"/>
      <c r="JV231" s="6"/>
      <c r="JW231" s="6"/>
      <c r="JX231" s="6"/>
      <c r="JY231" s="6"/>
      <c r="JZ231" s="10"/>
      <c r="KA231" s="10"/>
      <c r="KB231" s="10"/>
      <c r="KC231" s="10"/>
      <c r="KD231" s="5"/>
      <c r="KE231" s="6"/>
    </row>
    <row r="232" spans="6:291" x14ac:dyDescent="0.3">
      <c r="F232" s="17"/>
      <c r="G232" s="9"/>
      <c r="H232" s="3"/>
      <c r="I232" s="3"/>
      <c r="J232" s="3"/>
      <c r="K232" s="3"/>
      <c r="L232" s="3"/>
      <c r="M232" s="3"/>
      <c r="N232" s="3"/>
      <c r="O232" s="3"/>
      <c r="P232" s="4"/>
      <c r="Q232" s="5"/>
      <c r="R232" s="5"/>
      <c r="S232" s="5"/>
      <c r="T232" s="6"/>
      <c r="U232" s="5"/>
      <c r="V232" s="6"/>
      <c r="W232" s="7"/>
      <c r="X232" s="8"/>
      <c r="Y232" s="6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6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C232" s="6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  <c r="JC232" s="5"/>
      <c r="JD232" s="5"/>
      <c r="JE232" s="5"/>
      <c r="JF232" s="5"/>
      <c r="JG232" s="5"/>
      <c r="JH232" s="5"/>
      <c r="JI232" s="5"/>
      <c r="JJ232" s="5"/>
      <c r="JK232" s="5"/>
      <c r="JM232" s="19"/>
      <c r="JN232" s="1">
        <v>230</v>
      </c>
      <c r="JO232" s="5">
        <f>HLOOKUP(JM232,HC$2:JK232,2+JN231,0)-IF(KE232&gt;0,KE232,0)</f>
        <v>0</v>
      </c>
      <c r="JP232" s="5"/>
      <c r="JQ232" s="5"/>
      <c r="JR232" s="5"/>
      <c r="JS232" s="6"/>
      <c r="JT232" s="23"/>
      <c r="JU232" s="13"/>
      <c r="JV232" s="6"/>
      <c r="JW232" s="6"/>
      <c r="JX232" s="6"/>
      <c r="JY232" s="6"/>
      <c r="JZ232" s="10"/>
      <c r="KA232" s="10"/>
      <c r="KB232" s="10"/>
      <c r="KC232" s="10"/>
      <c r="KD232" s="5"/>
      <c r="KE232" s="6"/>
    </row>
    <row r="233" spans="6:291" x14ac:dyDescent="0.3">
      <c r="F233" s="17"/>
      <c r="G233" s="9"/>
      <c r="H233" s="3"/>
      <c r="I233" s="3"/>
      <c r="J233" s="3"/>
      <c r="K233" s="3"/>
      <c r="L233" s="3"/>
      <c r="M233" s="3"/>
      <c r="N233" s="3"/>
      <c r="O233" s="3"/>
      <c r="P233" s="4"/>
      <c r="Q233" s="5"/>
      <c r="R233" s="5"/>
      <c r="S233" s="5"/>
      <c r="T233" s="6"/>
      <c r="U233" s="5"/>
      <c r="V233" s="6"/>
      <c r="W233" s="7"/>
      <c r="X233" s="8"/>
      <c r="Y233" s="6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6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C233" s="6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  <c r="JC233" s="5"/>
      <c r="JD233" s="5"/>
      <c r="JE233" s="5"/>
      <c r="JF233" s="5"/>
      <c r="JG233" s="5"/>
      <c r="JH233" s="5"/>
      <c r="JI233" s="5"/>
      <c r="JJ233" s="5"/>
      <c r="JK233" s="5"/>
      <c r="JM233" s="19"/>
      <c r="JN233" s="1">
        <v>231</v>
      </c>
      <c r="JO233" s="5">
        <f>HLOOKUP(JM233,HC$2:JK233,2+JN232,0)-IF(KE233&gt;0,KE233,0)</f>
        <v>0</v>
      </c>
      <c r="JP233" s="5"/>
      <c r="JQ233" s="5"/>
      <c r="JR233" s="5"/>
      <c r="JS233" s="6"/>
      <c r="JT233" s="23"/>
      <c r="JU233" s="13"/>
      <c r="JV233" s="6"/>
      <c r="JW233" s="6"/>
      <c r="JX233" s="6"/>
      <c r="JY233" s="6"/>
      <c r="JZ233" s="10"/>
      <c r="KA233" s="10"/>
      <c r="KB233" s="10"/>
      <c r="KC233" s="10"/>
      <c r="KD233" s="5"/>
      <c r="KE233" s="6"/>
    </row>
    <row r="234" spans="6:291" x14ac:dyDescent="0.3">
      <c r="F234" s="17"/>
      <c r="G234" s="9"/>
      <c r="H234" s="3"/>
      <c r="I234" s="3"/>
      <c r="J234" s="3"/>
      <c r="K234" s="3"/>
      <c r="L234" s="3"/>
      <c r="M234" s="3"/>
      <c r="N234" s="3"/>
      <c r="O234" s="3"/>
      <c r="P234" s="4"/>
      <c r="Q234" s="5"/>
      <c r="R234" s="5"/>
      <c r="S234" s="5"/>
      <c r="T234" s="6"/>
      <c r="U234" s="5"/>
      <c r="V234" s="6"/>
      <c r="W234" s="7"/>
      <c r="X234" s="8"/>
      <c r="Y234" s="6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6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C234" s="6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  <c r="JC234" s="5"/>
      <c r="JD234" s="5"/>
      <c r="JE234" s="5"/>
      <c r="JF234" s="5"/>
      <c r="JG234" s="5"/>
      <c r="JH234" s="5"/>
      <c r="JI234" s="5"/>
      <c r="JJ234" s="5"/>
      <c r="JK234" s="5"/>
      <c r="JM234" s="19"/>
      <c r="JN234" s="1">
        <v>232</v>
      </c>
      <c r="JO234" s="5">
        <f>HLOOKUP(JM234,HC$2:JK234,2+JN233,0)-IF(KE234&gt;0,KE234,0)</f>
        <v>0</v>
      </c>
      <c r="JP234" s="5"/>
      <c r="JQ234" s="5"/>
      <c r="JR234" s="5"/>
      <c r="JS234" s="6"/>
      <c r="JT234" s="23"/>
      <c r="JU234" s="13"/>
      <c r="JV234" s="6"/>
      <c r="JW234" s="6"/>
      <c r="JX234" s="6"/>
      <c r="JY234" s="6"/>
      <c r="JZ234" s="10"/>
      <c r="KA234" s="10"/>
      <c r="KB234" s="10"/>
      <c r="KC234" s="10"/>
      <c r="KD234" s="5"/>
      <c r="KE234" s="6"/>
    </row>
    <row r="235" spans="6:291" x14ac:dyDescent="0.3">
      <c r="F235" s="17"/>
      <c r="G235" s="9"/>
      <c r="H235" s="3"/>
      <c r="I235" s="3"/>
      <c r="J235" s="3"/>
      <c r="K235" s="3"/>
      <c r="L235" s="3"/>
      <c r="M235" s="3"/>
      <c r="N235" s="3"/>
      <c r="O235" s="3"/>
      <c r="P235" s="4"/>
      <c r="Q235" s="5"/>
      <c r="R235" s="5"/>
      <c r="S235" s="5"/>
      <c r="T235" s="6"/>
      <c r="U235" s="5"/>
      <c r="V235" s="6"/>
      <c r="W235" s="7"/>
      <c r="X235" s="8"/>
      <c r="Y235" s="6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6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C235" s="6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  <c r="JC235" s="5"/>
      <c r="JD235" s="5"/>
      <c r="JE235" s="5"/>
      <c r="JF235" s="5"/>
      <c r="JG235" s="5"/>
      <c r="JH235" s="5"/>
      <c r="JI235" s="5"/>
      <c r="JJ235" s="5"/>
      <c r="JK235" s="5"/>
      <c r="JM235" s="19"/>
      <c r="JN235" s="1">
        <v>233</v>
      </c>
      <c r="JO235" s="5">
        <f>HLOOKUP(JM235,HC$2:JK235,2+JN234,0)-IF(KE235&gt;0,KE235,0)</f>
        <v>0</v>
      </c>
      <c r="JP235" s="5"/>
      <c r="JQ235" s="5"/>
      <c r="JR235" s="5"/>
      <c r="JS235" s="6"/>
      <c r="JT235" s="23"/>
      <c r="JU235" s="13"/>
      <c r="JV235" s="6"/>
      <c r="JW235" s="6"/>
      <c r="JX235" s="6"/>
      <c r="JY235" s="6"/>
      <c r="JZ235" s="10"/>
      <c r="KA235" s="10"/>
      <c r="KB235" s="10"/>
      <c r="KC235" s="10"/>
      <c r="KD235" s="5"/>
      <c r="KE235" s="6"/>
    </row>
    <row r="236" spans="6:291" x14ac:dyDescent="0.3">
      <c r="F236" s="17"/>
      <c r="G236" s="9"/>
      <c r="H236" s="3"/>
      <c r="I236" s="3"/>
      <c r="J236" s="3"/>
      <c r="K236" s="3"/>
      <c r="L236" s="3"/>
      <c r="M236" s="3"/>
      <c r="N236" s="3"/>
      <c r="O236" s="3"/>
      <c r="P236" s="4"/>
      <c r="Q236" s="5"/>
      <c r="R236" s="5"/>
      <c r="S236" s="5"/>
      <c r="T236" s="6"/>
      <c r="U236" s="5"/>
      <c r="V236" s="6"/>
      <c r="W236" s="7"/>
      <c r="X236" s="8"/>
      <c r="Y236" s="6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6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C236" s="6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  <c r="JC236" s="5"/>
      <c r="JD236" s="5"/>
      <c r="JE236" s="5"/>
      <c r="JF236" s="5"/>
      <c r="JG236" s="5"/>
      <c r="JH236" s="5"/>
      <c r="JI236" s="5"/>
      <c r="JJ236" s="5"/>
      <c r="JK236" s="5"/>
      <c r="JM236" s="19"/>
      <c r="JN236" s="1">
        <v>234</v>
      </c>
      <c r="JO236" s="5">
        <f>HLOOKUP(JM236,HC$2:JK236,2+JN235,0)-IF(KE236&gt;0,KE236,0)</f>
        <v>0</v>
      </c>
      <c r="JP236" s="5"/>
      <c r="JQ236" s="5"/>
      <c r="JR236" s="5"/>
      <c r="JS236" s="6"/>
      <c r="JT236" s="23"/>
      <c r="JU236" s="13"/>
      <c r="JV236" s="6"/>
      <c r="JW236" s="6"/>
      <c r="JX236" s="6"/>
      <c r="JY236" s="6"/>
      <c r="JZ236" s="10"/>
      <c r="KA236" s="10"/>
      <c r="KB236" s="10"/>
      <c r="KC236" s="10"/>
      <c r="KD236" s="5"/>
      <c r="KE236" s="6"/>
    </row>
    <row r="237" spans="6:291" x14ac:dyDescent="0.3">
      <c r="F237" s="17"/>
      <c r="G237" s="9"/>
      <c r="H237" s="3"/>
      <c r="I237" s="3"/>
      <c r="J237" s="3"/>
      <c r="K237" s="3"/>
      <c r="L237" s="3"/>
      <c r="M237" s="3"/>
      <c r="N237" s="3"/>
      <c r="O237" s="3"/>
      <c r="P237" s="4"/>
      <c r="Q237" s="5"/>
      <c r="R237" s="5"/>
      <c r="S237" s="5"/>
      <c r="T237" s="6"/>
      <c r="U237" s="5"/>
      <c r="V237" s="6"/>
      <c r="W237" s="7"/>
      <c r="X237" s="8"/>
      <c r="Y237" s="6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6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C237" s="6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  <c r="JC237" s="5"/>
      <c r="JD237" s="5"/>
      <c r="JE237" s="5"/>
      <c r="JF237" s="5"/>
      <c r="JG237" s="5"/>
      <c r="JH237" s="5"/>
      <c r="JI237" s="5"/>
      <c r="JJ237" s="5"/>
      <c r="JK237" s="5"/>
      <c r="JM237" s="19"/>
      <c r="JN237" s="1">
        <v>235</v>
      </c>
      <c r="JO237" s="5">
        <f>HLOOKUP(JM237,HC$2:JK237,2+JN236,0)-IF(KE237&gt;0,KE237,0)</f>
        <v>0</v>
      </c>
      <c r="JP237" s="5"/>
      <c r="JQ237" s="5"/>
      <c r="JR237" s="5"/>
      <c r="JS237" s="6"/>
      <c r="JT237" s="23"/>
      <c r="JU237" s="13"/>
      <c r="JV237" s="6"/>
      <c r="JW237" s="6"/>
      <c r="JX237" s="6"/>
      <c r="JY237" s="6"/>
      <c r="JZ237" s="10"/>
      <c r="KA237" s="10"/>
      <c r="KB237" s="10"/>
      <c r="KC237" s="10"/>
      <c r="KD237" s="5"/>
      <c r="KE237" s="6"/>
    </row>
    <row r="238" spans="6:291" x14ac:dyDescent="0.3">
      <c r="F238" s="17"/>
      <c r="G238" s="9"/>
      <c r="H238" s="3"/>
      <c r="I238" s="3"/>
      <c r="J238" s="3"/>
      <c r="K238" s="3"/>
      <c r="L238" s="3"/>
      <c r="M238" s="3"/>
      <c r="N238" s="3"/>
      <c r="O238" s="3"/>
      <c r="P238" s="4"/>
      <c r="Q238" s="5"/>
      <c r="R238" s="5"/>
      <c r="S238" s="5"/>
      <c r="T238" s="6"/>
      <c r="U238" s="5"/>
      <c r="V238" s="6"/>
      <c r="W238" s="7"/>
      <c r="X238" s="8"/>
      <c r="Y238" s="6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6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C238" s="6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  <c r="JC238" s="5"/>
      <c r="JD238" s="5"/>
      <c r="JE238" s="5"/>
      <c r="JF238" s="5"/>
      <c r="JG238" s="5"/>
      <c r="JH238" s="5"/>
      <c r="JI238" s="5"/>
      <c r="JJ238" s="5"/>
      <c r="JK238" s="5"/>
      <c r="JM238" s="19"/>
      <c r="JN238" s="1">
        <v>236</v>
      </c>
      <c r="JO238" s="5">
        <f>HLOOKUP(JM238,HC$2:JK238,2+JN237,0)-IF(KE238&gt;0,KE238,0)</f>
        <v>0</v>
      </c>
      <c r="JP238" s="5"/>
      <c r="JQ238" s="5"/>
      <c r="JR238" s="5"/>
      <c r="JS238" s="6"/>
      <c r="JT238" s="23"/>
      <c r="JU238" s="13"/>
      <c r="JV238" s="6"/>
      <c r="JW238" s="6"/>
      <c r="JX238" s="6"/>
      <c r="JY238" s="6"/>
      <c r="JZ238" s="10"/>
      <c r="KA238" s="10"/>
      <c r="KB238" s="10"/>
      <c r="KC238" s="10"/>
      <c r="KD238" s="5"/>
      <c r="KE238" s="6"/>
    </row>
    <row r="239" spans="6:291" x14ac:dyDescent="0.3">
      <c r="F239" s="17"/>
      <c r="G239" s="9"/>
      <c r="H239" s="3"/>
      <c r="I239" s="3"/>
      <c r="J239" s="3"/>
      <c r="K239" s="3"/>
      <c r="L239" s="3"/>
      <c r="M239" s="3"/>
      <c r="N239" s="3"/>
      <c r="O239" s="3"/>
      <c r="P239" s="4"/>
      <c r="Q239" s="5"/>
      <c r="R239" s="5"/>
      <c r="S239" s="5"/>
      <c r="T239" s="6"/>
      <c r="U239" s="5"/>
      <c r="V239" s="6"/>
      <c r="W239" s="7"/>
      <c r="X239" s="8"/>
      <c r="Y239" s="6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6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C239" s="6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  <c r="JC239" s="5"/>
      <c r="JD239" s="5"/>
      <c r="JE239" s="5"/>
      <c r="JF239" s="5"/>
      <c r="JG239" s="5"/>
      <c r="JH239" s="5"/>
      <c r="JI239" s="5"/>
      <c r="JJ239" s="5"/>
      <c r="JK239" s="5"/>
      <c r="JM239" s="19"/>
      <c r="JN239" s="1">
        <v>237</v>
      </c>
      <c r="JO239" s="5">
        <f>HLOOKUP(JM239,HC$2:JK239,2+JN238,0)-IF(KE239&gt;0,KE239,0)</f>
        <v>0</v>
      </c>
      <c r="JP239" s="5"/>
      <c r="JQ239" s="5"/>
      <c r="JR239" s="5"/>
      <c r="JS239" s="6"/>
      <c r="JT239" s="23"/>
      <c r="JU239" s="13"/>
      <c r="JV239" s="6"/>
      <c r="JW239" s="6"/>
      <c r="JX239" s="6"/>
      <c r="JY239" s="6"/>
      <c r="JZ239" s="10"/>
      <c r="KA239" s="10"/>
      <c r="KB239" s="10"/>
      <c r="KC239" s="10"/>
      <c r="KD239" s="5"/>
      <c r="KE239" s="6"/>
    </row>
    <row r="240" spans="6:291" x14ac:dyDescent="0.3">
      <c r="F240" s="17"/>
      <c r="G240" s="9"/>
      <c r="H240" s="3"/>
      <c r="I240" s="3"/>
      <c r="J240" s="3"/>
      <c r="K240" s="3"/>
      <c r="L240" s="3"/>
      <c r="M240" s="3"/>
      <c r="N240" s="3"/>
      <c r="O240" s="3"/>
      <c r="P240" s="4"/>
      <c r="Q240" s="5"/>
      <c r="R240" s="5"/>
      <c r="S240" s="5"/>
      <c r="T240" s="6"/>
      <c r="U240" s="5"/>
      <c r="V240" s="6"/>
      <c r="W240" s="7"/>
      <c r="X240" s="8"/>
      <c r="Y240" s="6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6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C240" s="6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  <c r="JC240" s="5"/>
      <c r="JD240" s="5"/>
      <c r="JE240" s="5"/>
      <c r="JF240" s="5"/>
      <c r="JG240" s="5"/>
      <c r="JH240" s="5"/>
      <c r="JI240" s="5"/>
      <c r="JJ240" s="5"/>
      <c r="JK240" s="5"/>
      <c r="JM240" s="19"/>
      <c r="JN240" s="1">
        <v>238</v>
      </c>
      <c r="JO240" s="5">
        <f>HLOOKUP(JM240,HC$2:JK240,2+JN239,0)-IF(KE240&gt;0,KE240,0)</f>
        <v>0</v>
      </c>
      <c r="JP240" s="5"/>
      <c r="JQ240" s="5"/>
      <c r="JR240" s="5"/>
      <c r="JS240" s="6"/>
      <c r="JT240" s="23"/>
      <c r="JU240" s="13"/>
      <c r="JV240" s="6"/>
      <c r="JW240" s="6"/>
      <c r="JX240" s="6"/>
      <c r="JY240" s="6"/>
      <c r="JZ240" s="10"/>
      <c r="KA240" s="10"/>
      <c r="KB240" s="10"/>
      <c r="KC240" s="10"/>
      <c r="KD240" s="5"/>
      <c r="KE240" s="6"/>
    </row>
    <row r="241" spans="6:291" x14ac:dyDescent="0.3">
      <c r="F241" s="17"/>
      <c r="G241" s="9"/>
      <c r="H241" s="3"/>
      <c r="I241" s="3"/>
      <c r="J241" s="3"/>
      <c r="K241" s="3"/>
      <c r="L241" s="3"/>
      <c r="M241" s="3"/>
      <c r="N241" s="3"/>
      <c r="O241" s="3"/>
      <c r="P241" s="4"/>
      <c r="Q241" s="5"/>
      <c r="R241" s="5"/>
      <c r="S241" s="5"/>
      <c r="T241" s="6"/>
      <c r="U241" s="5"/>
      <c r="V241" s="6"/>
      <c r="W241" s="7"/>
      <c r="X241" s="8"/>
      <c r="Y241" s="6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6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C241" s="6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  <c r="JC241" s="5"/>
      <c r="JD241" s="5"/>
      <c r="JE241" s="5"/>
      <c r="JF241" s="5"/>
      <c r="JG241" s="5"/>
      <c r="JH241" s="5"/>
      <c r="JI241" s="5"/>
      <c r="JJ241" s="5"/>
      <c r="JK241" s="5"/>
      <c r="JM241" s="19"/>
      <c r="JN241" s="1">
        <v>239</v>
      </c>
      <c r="JO241" s="5">
        <f>HLOOKUP(JM241,HC$2:JK241,2+JN240,0)-IF(KE241&gt;0,KE241,0)</f>
        <v>0</v>
      </c>
      <c r="JP241" s="5"/>
      <c r="JQ241" s="5"/>
      <c r="JR241" s="5"/>
      <c r="JS241" s="6"/>
      <c r="JT241" s="23"/>
      <c r="JU241" s="13"/>
      <c r="JV241" s="6"/>
      <c r="JW241" s="6"/>
      <c r="JX241" s="6"/>
      <c r="JY241" s="6"/>
      <c r="JZ241" s="10"/>
      <c r="KA241" s="10"/>
      <c r="KB241" s="10"/>
      <c r="KC241" s="10"/>
      <c r="KD241" s="5"/>
      <c r="KE241" s="6"/>
    </row>
    <row r="242" spans="6:291" x14ac:dyDescent="0.3">
      <c r="F242" s="17"/>
      <c r="G242" s="9"/>
      <c r="H242" s="3"/>
      <c r="I242" s="3"/>
      <c r="J242" s="3"/>
      <c r="K242" s="3"/>
      <c r="L242" s="3"/>
      <c r="M242" s="3"/>
      <c r="N242" s="3"/>
      <c r="O242" s="3"/>
      <c r="P242" s="4"/>
      <c r="Q242" s="5"/>
      <c r="R242" s="5"/>
      <c r="S242" s="5"/>
      <c r="T242" s="6"/>
      <c r="U242" s="5"/>
      <c r="V242" s="6"/>
      <c r="W242" s="7"/>
      <c r="X242" s="8"/>
      <c r="Y242" s="6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6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C242" s="6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  <c r="JC242" s="5"/>
      <c r="JD242" s="5"/>
      <c r="JE242" s="5"/>
      <c r="JF242" s="5"/>
      <c r="JG242" s="5"/>
      <c r="JH242" s="5"/>
      <c r="JI242" s="5"/>
      <c r="JJ242" s="5"/>
      <c r="JK242" s="5"/>
      <c r="JM242" s="19"/>
      <c r="JN242" s="1">
        <v>240</v>
      </c>
      <c r="JO242" s="5">
        <f>HLOOKUP(JM242,HC$2:JK242,2+JN241,0)-IF(KE242&gt;0,KE242,0)</f>
        <v>0</v>
      </c>
      <c r="JP242" s="5"/>
      <c r="JQ242" s="5"/>
      <c r="JR242" s="5"/>
      <c r="JS242" s="6"/>
      <c r="JT242" s="23"/>
      <c r="JU242" s="13"/>
      <c r="JV242" s="6"/>
      <c r="JW242" s="6"/>
      <c r="JX242" s="6"/>
      <c r="JY242" s="6"/>
      <c r="JZ242" s="10"/>
      <c r="KA242" s="10"/>
      <c r="KB242" s="10"/>
      <c r="KC242" s="10"/>
      <c r="KD242" s="5"/>
      <c r="KE242" s="6"/>
    </row>
    <row r="243" spans="6:291" x14ac:dyDescent="0.3">
      <c r="F243" s="17"/>
      <c r="G243" s="9"/>
      <c r="H243" s="3"/>
      <c r="I243" s="3"/>
      <c r="J243" s="3"/>
      <c r="K243" s="3"/>
      <c r="L243" s="3"/>
      <c r="M243" s="3"/>
      <c r="N243" s="3"/>
      <c r="O243" s="3"/>
      <c r="P243" s="4"/>
      <c r="Q243" s="5"/>
      <c r="R243" s="5"/>
      <c r="S243" s="5"/>
      <c r="T243" s="6"/>
      <c r="U243" s="5"/>
      <c r="V243" s="6"/>
      <c r="W243" s="7"/>
      <c r="X243" s="8"/>
      <c r="Y243" s="6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6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C243" s="6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  <c r="JC243" s="5"/>
      <c r="JD243" s="5"/>
      <c r="JE243" s="5"/>
      <c r="JF243" s="5"/>
      <c r="JG243" s="5"/>
      <c r="JH243" s="5"/>
      <c r="JI243" s="5"/>
      <c r="JJ243" s="5"/>
      <c r="JK243" s="5"/>
      <c r="JM243" s="19"/>
      <c r="JN243" s="1">
        <v>241</v>
      </c>
      <c r="JO243" s="5">
        <f>HLOOKUP(JM243,HC$2:JK243,2+JN242,0)-IF(KE243&gt;0,KE243,0)</f>
        <v>0</v>
      </c>
      <c r="JP243" s="5"/>
      <c r="JQ243" s="5"/>
      <c r="JR243" s="5"/>
      <c r="JS243" s="6"/>
      <c r="JT243" s="23"/>
      <c r="JU243" s="13"/>
      <c r="JV243" s="6"/>
      <c r="JW243" s="6"/>
      <c r="JX243" s="6"/>
      <c r="JY243" s="6"/>
      <c r="JZ243" s="10"/>
      <c r="KA243" s="10"/>
      <c r="KB243" s="10"/>
      <c r="KC243" s="10"/>
      <c r="KD243" s="5"/>
      <c r="KE243" s="6"/>
    </row>
    <row r="244" spans="6:291" x14ac:dyDescent="0.3">
      <c r="F244" s="17"/>
      <c r="G244" s="9"/>
      <c r="H244" s="3"/>
      <c r="I244" s="3"/>
      <c r="J244" s="3"/>
      <c r="K244" s="3"/>
      <c r="L244" s="3"/>
      <c r="M244" s="3"/>
      <c r="N244" s="3"/>
      <c r="O244" s="3"/>
      <c r="P244" s="4"/>
      <c r="Q244" s="5"/>
      <c r="R244" s="5"/>
      <c r="S244" s="5"/>
      <c r="T244" s="6"/>
      <c r="U244" s="5"/>
      <c r="V244" s="6"/>
      <c r="W244" s="7"/>
      <c r="X244" s="8"/>
      <c r="Y244" s="6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6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C244" s="6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  <c r="JC244" s="5"/>
      <c r="JD244" s="5"/>
      <c r="JE244" s="5"/>
      <c r="JF244" s="5"/>
      <c r="JG244" s="5"/>
      <c r="JH244" s="5"/>
      <c r="JI244" s="5"/>
      <c r="JJ244" s="5"/>
      <c r="JK244" s="5"/>
      <c r="JM244" s="19"/>
      <c r="JN244" s="1">
        <v>242</v>
      </c>
      <c r="JO244" s="5">
        <f>HLOOKUP(JM244,HC$2:JK244,2+JN243,0)-IF(KE244&gt;0,KE244,0)</f>
        <v>0</v>
      </c>
      <c r="JP244" s="5"/>
      <c r="JQ244" s="5"/>
      <c r="JR244" s="5"/>
      <c r="JS244" s="6"/>
      <c r="JT244" s="23"/>
      <c r="JU244" s="13"/>
      <c r="JV244" s="6"/>
      <c r="JW244" s="6"/>
      <c r="JX244" s="6"/>
      <c r="JY244" s="6"/>
      <c r="JZ244" s="10"/>
      <c r="KA244" s="10"/>
      <c r="KB244" s="10"/>
      <c r="KC244" s="10"/>
      <c r="KD244" s="5"/>
      <c r="KE244" s="6"/>
    </row>
    <row r="245" spans="6:291" x14ac:dyDescent="0.3">
      <c r="F245" s="17"/>
      <c r="G245" s="9"/>
      <c r="H245" s="3"/>
      <c r="I245" s="3"/>
      <c r="J245" s="3"/>
      <c r="K245" s="3"/>
      <c r="L245" s="3"/>
      <c r="M245" s="3"/>
      <c r="N245" s="3"/>
      <c r="O245" s="3"/>
      <c r="P245" s="4"/>
      <c r="Q245" s="5"/>
      <c r="R245" s="5"/>
      <c r="S245" s="5"/>
      <c r="T245" s="6"/>
      <c r="U245" s="5"/>
      <c r="V245" s="6"/>
      <c r="W245" s="7"/>
      <c r="X245" s="8"/>
      <c r="Y245" s="6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6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C245" s="6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  <c r="JC245" s="5"/>
      <c r="JD245" s="5"/>
      <c r="JE245" s="5"/>
      <c r="JF245" s="5"/>
      <c r="JG245" s="5"/>
      <c r="JH245" s="5"/>
      <c r="JI245" s="5"/>
      <c r="JJ245" s="5"/>
      <c r="JK245" s="5"/>
      <c r="JM245" s="19"/>
      <c r="JN245" s="1">
        <v>243</v>
      </c>
      <c r="JO245" s="5">
        <f>HLOOKUP(JM245,HC$2:JK245,2+JN244,0)-IF(KE245&gt;0,KE245,0)</f>
        <v>0</v>
      </c>
      <c r="JP245" s="5"/>
      <c r="JQ245" s="5"/>
      <c r="JR245" s="5"/>
      <c r="JS245" s="6"/>
      <c r="JT245" s="23"/>
      <c r="JU245" s="13"/>
      <c r="JV245" s="6"/>
      <c r="JW245" s="6"/>
      <c r="JX245" s="6"/>
      <c r="JY245" s="6"/>
      <c r="JZ245" s="10"/>
      <c r="KA245" s="10"/>
      <c r="KB245" s="10"/>
      <c r="KC245" s="10"/>
      <c r="KD245" s="5"/>
      <c r="KE245" s="6"/>
    </row>
    <row r="246" spans="6:291" x14ac:dyDescent="0.3">
      <c r="F246" s="17"/>
      <c r="G246" s="9"/>
      <c r="H246" s="3"/>
      <c r="I246" s="3"/>
      <c r="J246" s="3"/>
      <c r="K246" s="3"/>
      <c r="L246" s="3"/>
      <c r="M246" s="3"/>
      <c r="N246" s="3"/>
      <c r="O246" s="3"/>
      <c r="P246" s="4"/>
      <c r="Q246" s="5"/>
      <c r="R246" s="5"/>
      <c r="S246" s="5"/>
      <c r="T246" s="6"/>
      <c r="U246" s="5"/>
      <c r="V246" s="6"/>
      <c r="W246" s="7"/>
      <c r="X246" s="8"/>
      <c r="Y246" s="6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6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C246" s="6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  <c r="JC246" s="5"/>
      <c r="JD246" s="5"/>
      <c r="JE246" s="5"/>
      <c r="JF246" s="5"/>
      <c r="JG246" s="5"/>
      <c r="JH246" s="5"/>
      <c r="JI246" s="5"/>
      <c r="JJ246" s="5"/>
      <c r="JK246" s="5"/>
      <c r="JM246" s="19"/>
      <c r="JN246" s="1">
        <v>244</v>
      </c>
      <c r="JO246" s="5">
        <f>HLOOKUP(JM246,HC$2:JK246,2+JN245,0)-IF(KE246&gt;0,KE246,0)</f>
        <v>0</v>
      </c>
      <c r="JP246" s="5"/>
      <c r="JQ246" s="5"/>
      <c r="JR246" s="5"/>
      <c r="JS246" s="6"/>
      <c r="JT246" s="23"/>
      <c r="JU246" s="13"/>
      <c r="JV246" s="6"/>
      <c r="JW246" s="6"/>
      <c r="JX246" s="6"/>
      <c r="JY246" s="6"/>
      <c r="JZ246" s="10"/>
      <c r="KA246" s="10"/>
      <c r="KB246" s="10"/>
      <c r="KC246" s="10"/>
      <c r="KD246" s="5"/>
      <c r="KE246" s="6"/>
    </row>
    <row r="247" spans="6:291" x14ac:dyDescent="0.3">
      <c r="F247" s="17"/>
      <c r="G247" s="9"/>
      <c r="H247" s="3"/>
      <c r="I247" s="3"/>
      <c r="J247" s="3"/>
      <c r="K247" s="3"/>
      <c r="L247" s="3"/>
      <c r="M247" s="3"/>
      <c r="N247" s="3"/>
      <c r="O247" s="3"/>
      <c r="P247" s="4"/>
      <c r="Q247" s="5"/>
      <c r="R247" s="5"/>
      <c r="S247" s="5"/>
      <c r="T247" s="6"/>
      <c r="U247" s="5"/>
      <c r="V247" s="6"/>
      <c r="W247" s="7"/>
      <c r="X247" s="8"/>
      <c r="Y247" s="6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6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C247" s="6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  <c r="JC247" s="5"/>
      <c r="JD247" s="5"/>
      <c r="JE247" s="5"/>
      <c r="JF247" s="5"/>
      <c r="JG247" s="5"/>
      <c r="JH247" s="5"/>
      <c r="JI247" s="5"/>
      <c r="JJ247" s="5"/>
      <c r="JK247" s="5"/>
      <c r="JM247" s="19"/>
      <c r="JN247" s="1">
        <v>245</v>
      </c>
      <c r="JO247" s="5">
        <f>HLOOKUP(JM247,HC$2:JK247,2+JN246,0)-IF(KE247&gt;0,KE247,0)</f>
        <v>0</v>
      </c>
      <c r="JP247" s="5"/>
      <c r="JQ247" s="5"/>
      <c r="JR247" s="5"/>
      <c r="JS247" s="6"/>
      <c r="JT247" s="23"/>
      <c r="JU247" s="13"/>
      <c r="JV247" s="6"/>
      <c r="JW247" s="6"/>
      <c r="JX247" s="6"/>
      <c r="JY247" s="6"/>
      <c r="JZ247" s="10"/>
      <c r="KA247" s="10"/>
      <c r="KB247" s="10"/>
      <c r="KC247" s="10"/>
      <c r="KD247" s="5"/>
      <c r="KE247" s="6"/>
    </row>
    <row r="248" spans="6:291" x14ac:dyDescent="0.3">
      <c r="F248" s="17"/>
      <c r="G248" s="9"/>
      <c r="H248" s="3"/>
      <c r="I248" s="3"/>
      <c r="J248" s="3"/>
      <c r="K248" s="3"/>
      <c r="L248" s="3"/>
      <c r="M248" s="3"/>
      <c r="N248" s="3"/>
      <c r="O248" s="3"/>
      <c r="P248" s="4"/>
      <c r="Q248" s="5"/>
      <c r="R248" s="5"/>
      <c r="S248" s="5"/>
      <c r="T248" s="6"/>
      <c r="U248" s="5"/>
      <c r="V248" s="6"/>
      <c r="W248" s="7"/>
      <c r="X248" s="8"/>
      <c r="Y248" s="6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6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C248" s="6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  <c r="JC248" s="5"/>
      <c r="JD248" s="5"/>
      <c r="JE248" s="5"/>
      <c r="JF248" s="5"/>
      <c r="JG248" s="5"/>
      <c r="JH248" s="5"/>
      <c r="JI248" s="5"/>
      <c r="JJ248" s="5"/>
      <c r="JK248" s="5"/>
      <c r="JM248" s="19"/>
      <c r="JN248" s="1">
        <v>246</v>
      </c>
      <c r="JO248" s="5">
        <f>HLOOKUP(JM248,HC$2:JK248,2+JN247,0)-IF(KE248&gt;0,KE248,0)</f>
        <v>0</v>
      </c>
      <c r="JP248" s="5"/>
      <c r="JQ248" s="5"/>
      <c r="JR248" s="5"/>
      <c r="JS248" s="6"/>
      <c r="JT248" s="23"/>
      <c r="JU248" s="13"/>
      <c r="JV248" s="6"/>
      <c r="JW248" s="6"/>
      <c r="JX248" s="6"/>
      <c r="JY248" s="6"/>
      <c r="JZ248" s="10"/>
      <c r="KA248" s="10"/>
      <c r="KB248" s="10"/>
      <c r="KC248" s="10"/>
      <c r="KD248" s="5"/>
      <c r="KE248" s="6"/>
    </row>
    <row r="249" spans="6:291" x14ac:dyDescent="0.3">
      <c r="F249" s="17"/>
      <c r="G249" s="9"/>
      <c r="H249" s="3"/>
      <c r="I249" s="3"/>
      <c r="J249" s="3"/>
      <c r="K249" s="3"/>
      <c r="L249" s="3"/>
      <c r="M249" s="3"/>
      <c r="N249" s="3"/>
      <c r="O249" s="3"/>
      <c r="P249" s="4"/>
      <c r="Q249" s="5"/>
      <c r="R249" s="5"/>
      <c r="S249" s="5"/>
      <c r="T249" s="6"/>
      <c r="U249" s="5"/>
      <c r="V249" s="6"/>
      <c r="W249" s="7"/>
      <c r="X249" s="8"/>
      <c r="Y249" s="6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6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C249" s="6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  <c r="JC249" s="5"/>
      <c r="JD249" s="5"/>
      <c r="JE249" s="5"/>
      <c r="JF249" s="5"/>
      <c r="JG249" s="5"/>
      <c r="JH249" s="5"/>
      <c r="JI249" s="5"/>
      <c r="JJ249" s="5"/>
      <c r="JK249" s="5"/>
      <c r="JM249" s="19"/>
      <c r="JN249" s="1">
        <v>247</v>
      </c>
      <c r="JO249" s="5">
        <f>HLOOKUP(JM249,HC$2:JK249,2+JN248,0)-IF(KE249&gt;0,KE249,0)</f>
        <v>0</v>
      </c>
      <c r="JP249" s="5"/>
      <c r="JQ249" s="5"/>
      <c r="JR249" s="5"/>
      <c r="JS249" s="6"/>
      <c r="JT249" s="23"/>
      <c r="JU249" s="13"/>
      <c r="JV249" s="6"/>
      <c r="JW249" s="6"/>
      <c r="JX249" s="6"/>
      <c r="JY249" s="6"/>
      <c r="JZ249" s="10"/>
      <c r="KA249" s="10"/>
      <c r="KB249" s="10"/>
      <c r="KC249" s="10"/>
      <c r="KD249" s="5"/>
      <c r="KE249" s="6"/>
    </row>
    <row r="250" spans="6:291" x14ac:dyDescent="0.3">
      <c r="F250" s="17"/>
      <c r="G250" s="9"/>
      <c r="H250" s="3"/>
      <c r="I250" s="3"/>
      <c r="J250" s="3"/>
      <c r="K250" s="3"/>
      <c r="L250" s="3"/>
      <c r="M250" s="3"/>
      <c r="N250" s="3"/>
      <c r="O250" s="3"/>
      <c r="P250" s="4"/>
      <c r="Q250" s="5"/>
      <c r="R250" s="5"/>
      <c r="S250" s="5"/>
      <c r="T250" s="6"/>
      <c r="U250" s="5"/>
      <c r="V250" s="6"/>
      <c r="W250" s="7"/>
      <c r="X250" s="8"/>
      <c r="Y250" s="6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6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C250" s="6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  <c r="JC250" s="5"/>
      <c r="JD250" s="5"/>
      <c r="JE250" s="5"/>
      <c r="JF250" s="5"/>
      <c r="JG250" s="5"/>
      <c r="JH250" s="5"/>
      <c r="JI250" s="5"/>
      <c r="JJ250" s="5"/>
      <c r="JK250" s="5"/>
      <c r="JM250" s="19"/>
      <c r="JN250" s="1">
        <v>248</v>
      </c>
      <c r="JO250" s="5">
        <f>HLOOKUP(JM250,HC$2:JK250,2+JN249,0)-IF(KE250&gt;0,KE250,0)</f>
        <v>0</v>
      </c>
      <c r="JP250" s="5"/>
      <c r="JQ250" s="5"/>
      <c r="JR250" s="5"/>
      <c r="JS250" s="6"/>
      <c r="JT250" s="23"/>
      <c r="JU250" s="13"/>
      <c r="JV250" s="6"/>
      <c r="JW250" s="6"/>
      <c r="JX250" s="6"/>
      <c r="JY250" s="6"/>
      <c r="JZ250" s="10"/>
      <c r="KA250" s="10"/>
      <c r="KB250" s="10"/>
      <c r="KC250" s="10"/>
      <c r="KD250" s="5"/>
      <c r="KE250" s="6"/>
    </row>
    <row r="251" spans="6:291" x14ac:dyDescent="0.3">
      <c r="F251" s="17"/>
      <c r="G251" s="9"/>
      <c r="H251" s="3"/>
      <c r="I251" s="3"/>
      <c r="J251" s="3"/>
      <c r="K251" s="3"/>
      <c r="L251" s="3"/>
      <c r="M251" s="3"/>
      <c r="N251" s="3"/>
      <c r="O251" s="3"/>
      <c r="P251" s="4"/>
      <c r="Q251" s="5"/>
      <c r="R251" s="5"/>
      <c r="S251" s="5"/>
      <c r="T251" s="6"/>
      <c r="U251" s="5"/>
      <c r="V251" s="6"/>
      <c r="W251" s="7"/>
      <c r="X251" s="8"/>
      <c r="Y251" s="6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6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C251" s="6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  <c r="JC251" s="5"/>
      <c r="JD251" s="5"/>
      <c r="JE251" s="5"/>
      <c r="JF251" s="5"/>
      <c r="JG251" s="5"/>
      <c r="JH251" s="5"/>
      <c r="JI251" s="5"/>
      <c r="JJ251" s="5"/>
      <c r="JK251" s="5"/>
      <c r="JM251" s="19"/>
      <c r="JN251" s="1">
        <v>249</v>
      </c>
      <c r="JO251" s="5">
        <f>HLOOKUP(JM251,HC$2:JK251,2+JN250,0)-IF(KE251&gt;0,KE251,0)</f>
        <v>0</v>
      </c>
      <c r="JP251" s="5"/>
      <c r="JQ251" s="5"/>
      <c r="JR251" s="5"/>
      <c r="JS251" s="6"/>
      <c r="JT251" s="23"/>
      <c r="JU251" s="13"/>
      <c r="JV251" s="6"/>
      <c r="JW251" s="6"/>
      <c r="JX251" s="6"/>
      <c r="JY251" s="6"/>
      <c r="JZ251" s="10"/>
      <c r="KA251" s="10"/>
      <c r="KB251" s="10"/>
      <c r="KC251" s="10"/>
      <c r="KD251" s="5"/>
      <c r="KE251" s="6"/>
    </row>
    <row r="252" spans="6:291" x14ac:dyDescent="0.3">
      <c r="F252" s="17"/>
      <c r="G252" s="9"/>
      <c r="H252" s="3"/>
      <c r="I252" s="3"/>
      <c r="J252" s="3"/>
      <c r="K252" s="3"/>
      <c r="L252" s="3"/>
      <c r="M252" s="3"/>
      <c r="N252" s="3"/>
      <c r="O252" s="3"/>
      <c r="P252" s="4"/>
      <c r="Q252" s="5"/>
      <c r="R252" s="5"/>
      <c r="S252" s="5"/>
      <c r="T252" s="6"/>
      <c r="U252" s="5"/>
      <c r="V252" s="6"/>
      <c r="W252" s="7"/>
      <c r="X252" s="8"/>
      <c r="Y252" s="6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6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C252" s="6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  <c r="JC252" s="5"/>
      <c r="JD252" s="5"/>
      <c r="JE252" s="5"/>
      <c r="JF252" s="5"/>
      <c r="JG252" s="5"/>
      <c r="JH252" s="5"/>
      <c r="JI252" s="5"/>
      <c r="JJ252" s="5"/>
      <c r="JK252" s="5"/>
      <c r="JM252" s="19"/>
      <c r="JN252" s="1">
        <v>250</v>
      </c>
      <c r="JO252" s="5">
        <f>HLOOKUP(JM252,HC$2:JK252,2+JN251,0)-IF(KE252&gt;0,KE252,0)</f>
        <v>0</v>
      </c>
      <c r="JP252" s="5"/>
      <c r="JQ252" s="5"/>
      <c r="JR252" s="5"/>
      <c r="JS252" s="6"/>
      <c r="JT252" s="23"/>
      <c r="JU252" s="13"/>
      <c r="JV252" s="6"/>
      <c r="JW252" s="6"/>
      <c r="JX252" s="6"/>
      <c r="JY252" s="6"/>
      <c r="JZ252" s="10"/>
      <c r="KA252" s="10"/>
      <c r="KB252" s="10"/>
      <c r="KC252" s="10"/>
      <c r="KD252" s="5"/>
      <c r="KE252" s="6"/>
    </row>
    <row r="253" spans="6:291" x14ac:dyDescent="0.3">
      <c r="F253" s="17"/>
      <c r="G253" s="9"/>
      <c r="H253" s="3"/>
      <c r="I253" s="3"/>
      <c r="J253" s="3"/>
      <c r="K253" s="3"/>
      <c r="L253" s="3"/>
      <c r="M253" s="3"/>
      <c r="N253" s="3"/>
      <c r="O253" s="3"/>
      <c r="P253" s="4"/>
      <c r="Q253" s="5"/>
      <c r="R253" s="5"/>
      <c r="S253" s="5"/>
      <c r="T253" s="6"/>
      <c r="U253" s="5"/>
      <c r="V253" s="6"/>
      <c r="W253" s="7"/>
      <c r="X253" s="8"/>
      <c r="Y253" s="6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6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C253" s="6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  <c r="JC253" s="5"/>
      <c r="JD253" s="5"/>
      <c r="JE253" s="5"/>
      <c r="JF253" s="5"/>
      <c r="JG253" s="5"/>
      <c r="JH253" s="5"/>
      <c r="JI253" s="5"/>
      <c r="JJ253" s="5"/>
      <c r="JK253" s="5"/>
      <c r="JM253" s="19"/>
      <c r="JN253" s="1">
        <v>251</v>
      </c>
      <c r="JO253" s="5">
        <f>HLOOKUP(JM253,HC$2:JK253,2+JN252,0)-IF(KE253&gt;0,KE253,0)</f>
        <v>0</v>
      </c>
      <c r="JP253" s="5"/>
      <c r="JQ253" s="5"/>
      <c r="JR253" s="5"/>
      <c r="JS253" s="6"/>
      <c r="JT253" s="23"/>
      <c r="JU253" s="13"/>
      <c r="JV253" s="6"/>
      <c r="JW253" s="6"/>
      <c r="JX253" s="6"/>
      <c r="JY253" s="6"/>
      <c r="JZ253" s="10"/>
      <c r="KA253" s="10"/>
      <c r="KB253" s="10"/>
      <c r="KC253" s="10"/>
      <c r="KD253" s="5"/>
      <c r="KE253" s="6"/>
    </row>
    <row r="254" spans="6:291" x14ac:dyDescent="0.3">
      <c r="F254" s="17"/>
      <c r="G254" s="9"/>
      <c r="H254" s="3"/>
      <c r="I254" s="3"/>
      <c r="J254" s="3"/>
      <c r="K254" s="3"/>
      <c r="L254" s="3"/>
      <c r="M254" s="3"/>
      <c r="N254" s="3"/>
      <c r="O254" s="3"/>
      <c r="P254" s="4"/>
      <c r="Q254" s="5"/>
      <c r="R254" s="5"/>
      <c r="S254" s="5"/>
      <c r="T254" s="6"/>
      <c r="U254" s="5"/>
      <c r="V254" s="6"/>
      <c r="W254" s="7"/>
      <c r="X254" s="8"/>
      <c r="Y254" s="6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6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C254" s="6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  <c r="JC254" s="5"/>
      <c r="JD254" s="5"/>
      <c r="JE254" s="5"/>
      <c r="JF254" s="5"/>
      <c r="JG254" s="5"/>
      <c r="JH254" s="5"/>
      <c r="JI254" s="5"/>
      <c r="JJ254" s="5"/>
      <c r="JK254" s="5"/>
      <c r="JM254" s="19"/>
      <c r="JN254" s="1">
        <v>252</v>
      </c>
      <c r="JO254" s="5">
        <f>HLOOKUP(JM254,HC$2:JK254,2+JN253,0)-IF(KE254&gt;0,KE254,0)</f>
        <v>0</v>
      </c>
      <c r="JP254" s="5"/>
      <c r="JQ254" s="5"/>
      <c r="JR254" s="5"/>
      <c r="JS254" s="6"/>
      <c r="JT254" s="23"/>
      <c r="JU254" s="13"/>
      <c r="JV254" s="6"/>
      <c r="JW254" s="6"/>
      <c r="JX254" s="6"/>
      <c r="JY254" s="6"/>
      <c r="JZ254" s="10"/>
      <c r="KA254" s="10"/>
      <c r="KB254" s="10"/>
      <c r="KC254" s="10"/>
      <c r="KD254" s="5"/>
      <c r="KE254" s="6"/>
    </row>
    <row r="255" spans="6:291" x14ac:dyDescent="0.3">
      <c r="F255" s="17"/>
      <c r="G255" s="9"/>
      <c r="H255" s="3"/>
      <c r="I255" s="3"/>
      <c r="J255" s="3"/>
      <c r="K255" s="3"/>
      <c r="L255" s="3"/>
      <c r="M255" s="3"/>
      <c r="N255" s="3"/>
      <c r="O255" s="3"/>
      <c r="P255" s="4"/>
      <c r="Q255" s="5"/>
      <c r="R255" s="5"/>
      <c r="S255" s="5"/>
      <c r="T255" s="6"/>
      <c r="U255" s="5"/>
      <c r="V255" s="6"/>
      <c r="W255" s="7"/>
      <c r="X255" s="8"/>
      <c r="Y255" s="6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6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C255" s="6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  <c r="JC255" s="5"/>
      <c r="JD255" s="5"/>
      <c r="JE255" s="5"/>
      <c r="JF255" s="5"/>
      <c r="JG255" s="5"/>
      <c r="JH255" s="5"/>
      <c r="JI255" s="5"/>
      <c r="JJ255" s="5"/>
      <c r="JK255" s="5"/>
      <c r="JM255" s="19"/>
      <c r="JN255" s="1">
        <v>253</v>
      </c>
      <c r="JO255" s="5">
        <f>HLOOKUP(JM255,HC$2:JK255,2+JN254,0)-IF(KE255&gt;0,KE255,0)</f>
        <v>0</v>
      </c>
      <c r="JP255" s="5"/>
      <c r="JQ255" s="5"/>
      <c r="JR255" s="5"/>
      <c r="JS255" s="6"/>
      <c r="JT255" s="23"/>
      <c r="JU255" s="13"/>
      <c r="JV255" s="6"/>
      <c r="JW255" s="6"/>
      <c r="JX255" s="6"/>
      <c r="JY255" s="6"/>
      <c r="JZ255" s="10"/>
      <c r="KA255" s="10"/>
      <c r="KB255" s="10"/>
      <c r="KC255" s="10"/>
      <c r="KD255" s="5"/>
      <c r="KE255" s="6"/>
    </row>
    <row r="256" spans="6:291" x14ac:dyDescent="0.3">
      <c r="F256" s="17"/>
      <c r="G256" s="9"/>
      <c r="H256" s="3"/>
      <c r="I256" s="3"/>
      <c r="J256" s="3"/>
      <c r="K256" s="3"/>
      <c r="L256" s="3"/>
      <c r="M256" s="3"/>
      <c r="N256" s="3"/>
      <c r="O256" s="3"/>
      <c r="P256" s="4"/>
      <c r="Q256" s="5"/>
      <c r="R256" s="5"/>
      <c r="S256" s="5"/>
      <c r="T256" s="6"/>
      <c r="U256" s="5"/>
      <c r="V256" s="6"/>
      <c r="W256" s="7"/>
      <c r="X256" s="8"/>
      <c r="Y256" s="6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6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C256" s="6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  <c r="JC256" s="5"/>
      <c r="JD256" s="5"/>
      <c r="JE256" s="5"/>
      <c r="JF256" s="5"/>
      <c r="JG256" s="5"/>
      <c r="JH256" s="5"/>
      <c r="JI256" s="5"/>
      <c r="JJ256" s="5"/>
      <c r="JK256" s="5"/>
      <c r="JM256" s="19"/>
      <c r="JN256" s="1">
        <v>254</v>
      </c>
      <c r="JO256" s="5">
        <f>HLOOKUP(JM256,HC$2:JK256,2+JN255,0)-IF(KE256&gt;0,KE256,0)</f>
        <v>0</v>
      </c>
      <c r="JP256" s="5"/>
      <c r="JQ256" s="5"/>
      <c r="JR256" s="5"/>
      <c r="JS256" s="6"/>
      <c r="JT256" s="23"/>
      <c r="JU256" s="13"/>
      <c r="JV256" s="6"/>
      <c r="JW256" s="6"/>
      <c r="JX256" s="6"/>
      <c r="JY256" s="6"/>
      <c r="JZ256" s="10"/>
      <c r="KA256" s="10"/>
      <c r="KB256" s="10"/>
      <c r="KC256" s="10"/>
      <c r="KD256" s="5"/>
      <c r="KE256" s="6"/>
    </row>
    <row r="257" spans="6:291" x14ac:dyDescent="0.3">
      <c r="F257" s="17"/>
      <c r="G257" s="9"/>
      <c r="H257" s="3"/>
      <c r="I257" s="3"/>
      <c r="J257" s="3"/>
      <c r="K257" s="3"/>
      <c r="L257" s="3"/>
      <c r="M257" s="3"/>
      <c r="N257" s="3"/>
      <c r="O257" s="3"/>
      <c r="P257" s="4"/>
      <c r="Q257" s="5"/>
      <c r="R257" s="5"/>
      <c r="S257" s="5"/>
      <c r="T257" s="6"/>
      <c r="U257" s="5"/>
      <c r="V257" s="6"/>
      <c r="W257" s="7"/>
      <c r="X257" s="8"/>
      <c r="Y257" s="6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6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C257" s="6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  <c r="JC257" s="5"/>
      <c r="JD257" s="5"/>
      <c r="JE257" s="5"/>
      <c r="JF257" s="5"/>
      <c r="JG257" s="5"/>
      <c r="JH257" s="5"/>
      <c r="JI257" s="5"/>
      <c r="JJ257" s="5"/>
      <c r="JK257" s="5"/>
      <c r="JM257" s="19"/>
      <c r="JN257" s="1">
        <v>255</v>
      </c>
      <c r="JO257" s="5">
        <f>HLOOKUP(JM257,HC$2:JK257,2+JN256,0)-IF(KE257&gt;0,KE257,0)</f>
        <v>0</v>
      </c>
      <c r="JP257" s="5"/>
      <c r="JQ257" s="5"/>
      <c r="JR257" s="5"/>
      <c r="JS257" s="6"/>
      <c r="JT257" s="23"/>
      <c r="JU257" s="13"/>
      <c r="JV257" s="6"/>
      <c r="JW257" s="6"/>
      <c r="JX257" s="6"/>
      <c r="JY257" s="6"/>
      <c r="JZ257" s="10"/>
      <c r="KA257" s="10"/>
      <c r="KB257" s="10"/>
      <c r="KC257" s="10"/>
      <c r="KD257" s="5"/>
      <c r="KE257" s="6"/>
    </row>
    <row r="258" spans="6:291" x14ac:dyDescent="0.3">
      <c r="F258" s="17"/>
      <c r="G258" s="9"/>
      <c r="H258" s="3"/>
      <c r="I258" s="3"/>
      <c r="J258" s="3"/>
      <c r="K258" s="3"/>
      <c r="L258" s="3"/>
      <c r="M258" s="3"/>
      <c r="N258" s="3"/>
      <c r="O258" s="3"/>
      <c r="P258" s="4"/>
      <c r="Q258" s="5"/>
      <c r="R258" s="5"/>
      <c r="S258" s="5"/>
      <c r="T258" s="6"/>
      <c r="U258" s="5"/>
      <c r="V258" s="6"/>
      <c r="W258" s="7"/>
      <c r="X258" s="8"/>
      <c r="Y258" s="6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6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C258" s="6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  <c r="JC258" s="5"/>
      <c r="JD258" s="5"/>
      <c r="JE258" s="5"/>
      <c r="JF258" s="5"/>
      <c r="JG258" s="5"/>
      <c r="JH258" s="5"/>
      <c r="JI258" s="5"/>
      <c r="JJ258" s="5"/>
      <c r="JK258" s="5"/>
      <c r="JM258" s="19"/>
      <c r="JN258" s="1">
        <v>256</v>
      </c>
      <c r="JO258" s="5">
        <f>HLOOKUP(JM258,HC$2:JK258,2+JN257,0)-IF(KE258&gt;0,KE258,0)</f>
        <v>0</v>
      </c>
      <c r="JP258" s="5"/>
      <c r="JQ258" s="5"/>
      <c r="JR258" s="5"/>
      <c r="JS258" s="6"/>
      <c r="JT258" s="23"/>
      <c r="JU258" s="13"/>
      <c r="JV258" s="6"/>
      <c r="JW258" s="6"/>
      <c r="JX258" s="6"/>
      <c r="JY258" s="6"/>
      <c r="JZ258" s="10"/>
      <c r="KA258" s="10"/>
      <c r="KB258" s="10"/>
      <c r="KC258" s="10"/>
      <c r="KD258" s="5"/>
      <c r="KE258" s="6"/>
    </row>
    <row r="259" spans="6:291" x14ac:dyDescent="0.3">
      <c r="F259" s="17"/>
      <c r="G259" s="9"/>
      <c r="H259" s="3"/>
      <c r="I259" s="3"/>
      <c r="J259" s="3"/>
      <c r="K259" s="3"/>
      <c r="L259" s="3"/>
      <c r="M259" s="3"/>
      <c r="N259" s="3"/>
      <c r="O259" s="3"/>
      <c r="P259" s="4"/>
      <c r="Q259" s="5"/>
      <c r="R259" s="5"/>
      <c r="S259" s="5"/>
      <c r="T259" s="6"/>
      <c r="U259" s="5"/>
      <c r="V259" s="6"/>
      <c r="W259" s="7"/>
      <c r="X259" s="8"/>
      <c r="Y259" s="6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6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C259" s="6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  <c r="JC259" s="5"/>
      <c r="JD259" s="5"/>
      <c r="JE259" s="5"/>
      <c r="JF259" s="5"/>
      <c r="JG259" s="5"/>
      <c r="JH259" s="5"/>
      <c r="JI259" s="5"/>
      <c r="JJ259" s="5"/>
      <c r="JK259" s="5"/>
      <c r="JM259" s="19"/>
      <c r="JN259" s="1">
        <v>257</v>
      </c>
      <c r="JO259" s="5">
        <f>HLOOKUP(JM259,HC$2:JK259,2+JN258,0)-IF(KE259&gt;0,KE259,0)</f>
        <v>0</v>
      </c>
      <c r="JP259" s="5"/>
      <c r="JQ259" s="5"/>
      <c r="JR259" s="5"/>
      <c r="JS259" s="6"/>
      <c r="JT259" s="23"/>
      <c r="JU259" s="13"/>
      <c r="JV259" s="6"/>
      <c r="JW259" s="6"/>
      <c r="JX259" s="6"/>
      <c r="JY259" s="6"/>
      <c r="JZ259" s="10"/>
      <c r="KA259" s="10"/>
      <c r="KB259" s="10"/>
      <c r="KC259" s="10"/>
      <c r="KD259" s="5"/>
      <c r="KE259" s="6"/>
    </row>
    <row r="260" spans="6:291" x14ac:dyDescent="0.3">
      <c r="F260" s="17"/>
      <c r="G260" s="9"/>
      <c r="H260" s="3"/>
      <c r="I260" s="3"/>
      <c r="J260" s="3"/>
      <c r="K260" s="3"/>
      <c r="L260" s="3"/>
      <c r="M260" s="3"/>
      <c r="N260" s="3"/>
      <c r="O260" s="3"/>
      <c r="P260" s="4"/>
      <c r="Q260" s="5"/>
      <c r="R260" s="5"/>
      <c r="S260" s="5"/>
      <c r="T260" s="6"/>
      <c r="U260" s="5"/>
      <c r="V260" s="6"/>
      <c r="W260" s="7"/>
      <c r="X260" s="8"/>
      <c r="Y260" s="6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6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C260" s="6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  <c r="JC260" s="5"/>
      <c r="JD260" s="5"/>
      <c r="JE260" s="5"/>
      <c r="JF260" s="5"/>
      <c r="JG260" s="5"/>
      <c r="JH260" s="5"/>
      <c r="JI260" s="5"/>
      <c r="JJ260" s="5"/>
      <c r="JK260" s="5"/>
      <c r="JM260" s="19"/>
      <c r="JN260" s="1">
        <v>258</v>
      </c>
      <c r="JO260" s="5">
        <f>HLOOKUP(JM260,HC$2:JK260,2+JN259,0)-IF(KE260&gt;0,KE260,0)</f>
        <v>0</v>
      </c>
      <c r="JP260" s="5"/>
      <c r="JQ260" s="5"/>
      <c r="JR260" s="5"/>
      <c r="JS260" s="6"/>
      <c r="JT260" s="23"/>
      <c r="JU260" s="13"/>
      <c r="JV260" s="6"/>
      <c r="JW260" s="6"/>
      <c r="JX260" s="6"/>
      <c r="JY260" s="6"/>
      <c r="JZ260" s="10"/>
      <c r="KA260" s="10"/>
      <c r="KB260" s="10"/>
      <c r="KC260" s="10"/>
      <c r="KD260" s="5"/>
      <c r="KE260" s="6"/>
    </row>
    <row r="261" spans="6:291" x14ac:dyDescent="0.3">
      <c r="F261" s="17"/>
      <c r="G261" s="9"/>
      <c r="H261" s="3"/>
      <c r="I261" s="3"/>
      <c r="J261" s="3"/>
      <c r="K261" s="3"/>
      <c r="L261" s="3"/>
      <c r="M261" s="3"/>
      <c r="N261" s="3"/>
      <c r="O261" s="3"/>
      <c r="P261" s="4"/>
      <c r="Q261" s="5"/>
      <c r="R261" s="5"/>
      <c r="S261" s="5"/>
      <c r="T261" s="6"/>
      <c r="U261" s="5"/>
      <c r="V261" s="6"/>
      <c r="W261" s="7"/>
      <c r="X261" s="8"/>
      <c r="Y261" s="6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6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C261" s="6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  <c r="JC261" s="5"/>
      <c r="JD261" s="5"/>
      <c r="JE261" s="5"/>
      <c r="JF261" s="5"/>
      <c r="JG261" s="5"/>
      <c r="JH261" s="5"/>
      <c r="JI261" s="5"/>
      <c r="JJ261" s="5"/>
      <c r="JK261" s="5"/>
      <c r="JM261" s="19"/>
      <c r="JN261" s="1">
        <v>259</v>
      </c>
      <c r="JO261" s="5">
        <f>HLOOKUP(JM261,HC$2:JK261,2+JN260,0)-IF(KE261&gt;0,KE261,0)</f>
        <v>0</v>
      </c>
      <c r="JP261" s="5"/>
      <c r="JQ261" s="5"/>
      <c r="JR261" s="5"/>
      <c r="JS261" s="6"/>
      <c r="JT261" s="23"/>
      <c r="JU261" s="13"/>
      <c r="JV261" s="6"/>
      <c r="JW261" s="6"/>
      <c r="JX261" s="6"/>
      <c r="JY261" s="6"/>
      <c r="JZ261" s="10"/>
      <c r="KA261" s="10"/>
      <c r="KB261" s="10"/>
      <c r="KC261" s="10"/>
      <c r="KD261" s="5"/>
      <c r="KE261" s="6"/>
    </row>
    <row r="262" spans="6:291" x14ac:dyDescent="0.3">
      <c r="F262" s="17"/>
      <c r="G262" s="9"/>
      <c r="H262" s="3"/>
      <c r="I262" s="3"/>
      <c r="J262" s="3"/>
      <c r="K262" s="3"/>
      <c r="L262" s="3"/>
      <c r="M262" s="3"/>
      <c r="N262" s="3"/>
      <c r="O262" s="3"/>
      <c r="P262" s="4"/>
      <c r="Q262" s="5"/>
      <c r="R262" s="5"/>
      <c r="S262" s="5"/>
      <c r="T262" s="6"/>
      <c r="U262" s="5"/>
      <c r="V262" s="6"/>
      <c r="W262" s="7"/>
      <c r="X262" s="8"/>
      <c r="Y262" s="6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6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C262" s="6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  <c r="JE262" s="5"/>
      <c r="JF262" s="5"/>
      <c r="JG262" s="5"/>
      <c r="JH262" s="5"/>
      <c r="JI262" s="5"/>
      <c r="JJ262" s="5"/>
      <c r="JK262" s="5"/>
      <c r="JM262" s="19"/>
      <c r="JN262" s="1">
        <v>260</v>
      </c>
      <c r="JO262" s="5">
        <f>HLOOKUP(JM262,HC$2:JK262,2+JN261,0)-IF(KE262&gt;0,KE262,0)</f>
        <v>0</v>
      </c>
      <c r="JP262" s="5"/>
      <c r="JQ262" s="5"/>
      <c r="JR262" s="5"/>
      <c r="JS262" s="6"/>
      <c r="JT262" s="23"/>
      <c r="JU262" s="13"/>
      <c r="JV262" s="6"/>
      <c r="JW262" s="6"/>
      <c r="JX262" s="6"/>
      <c r="JY262" s="6"/>
      <c r="JZ262" s="10"/>
      <c r="KA262" s="10"/>
      <c r="KB262" s="10"/>
      <c r="KC262" s="10"/>
      <c r="KD262" s="5"/>
      <c r="KE262" s="6"/>
    </row>
    <row r="263" spans="6:291" x14ac:dyDescent="0.3">
      <c r="F263" s="17"/>
      <c r="G263" s="9"/>
      <c r="H263" s="3"/>
      <c r="I263" s="3"/>
      <c r="J263" s="3"/>
      <c r="K263" s="3"/>
      <c r="L263" s="3"/>
      <c r="M263" s="3"/>
      <c r="N263" s="3"/>
      <c r="O263" s="3"/>
      <c r="P263" s="4"/>
      <c r="Q263" s="5"/>
      <c r="R263" s="5"/>
      <c r="S263" s="5"/>
      <c r="T263" s="6"/>
      <c r="U263" s="5"/>
      <c r="V263" s="6"/>
      <c r="W263" s="7"/>
      <c r="X263" s="8"/>
      <c r="Y263" s="6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6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C263" s="6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  <c r="JC263" s="5"/>
      <c r="JD263" s="5"/>
      <c r="JE263" s="5"/>
      <c r="JF263" s="5"/>
      <c r="JG263" s="5"/>
      <c r="JH263" s="5"/>
      <c r="JI263" s="5"/>
      <c r="JJ263" s="5"/>
      <c r="JK263" s="5"/>
      <c r="JM263" s="19"/>
      <c r="JN263" s="1">
        <v>261</v>
      </c>
      <c r="JO263" s="5">
        <f>HLOOKUP(JM263,HC$2:JK263,2+JN262,0)-IF(KE263&gt;0,KE263,0)</f>
        <v>0</v>
      </c>
      <c r="JP263" s="5"/>
      <c r="JQ263" s="5"/>
      <c r="JR263" s="5"/>
      <c r="JS263" s="6"/>
      <c r="JT263" s="23"/>
      <c r="JU263" s="13"/>
      <c r="JV263" s="6"/>
      <c r="JW263" s="6"/>
      <c r="JX263" s="6"/>
      <c r="JY263" s="6"/>
      <c r="JZ263" s="10"/>
      <c r="KA263" s="10"/>
      <c r="KB263" s="10"/>
      <c r="KC263" s="10"/>
      <c r="KD263" s="5"/>
      <c r="KE263" s="6"/>
    </row>
    <row r="264" spans="6:291" x14ac:dyDescent="0.3">
      <c r="F264" s="17"/>
      <c r="G264" s="9"/>
      <c r="H264" s="3"/>
      <c r="I264" s="3"/>
      <c r="J264" s="3"/>
      <c r="K264" s="3"/>
      <c r="L264" s="3"/>
      <c r="M264" s="3"/>
      <c r="N264" s="3"/>
      <c r="O264" s="3"/>
      <c r="P264" s="4"/>
      <c r="Q264" s="5"/>
      <c r="R264" s="5"/>
      <c r="S264" s="5"/>
      <c r="T264" s="6"/>
      <c r="U264" s="5"/>
      <c r="V264" s="6"/>
      <c r="W264" s="7"/>
      <c r="X264" s="8"/>
      <c r="Y264" s="6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6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C264" s="6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  <c r="JC264" s="5"/>
      <c r="JD264" s="5"/>
      <c r="JE264" s="5"/>
      <c r="JF264" s="5"/>
      <c r="JG264" s="5"/>
      <c r="JH264" s="5"/>
      <c r="JI264" s="5"/>
      <c r="JJ264" s="5"/>
      <c r="JK264" s="5"/>
      <c r="JM264" s="19"/>
      <c r="JN264" s="1">
        <v>262</v>
      </c>
      <c r="JO264" s="5">
        <f>HLOOKUP(JM264,HC$2:JK264,2+JN263,0)-IF(KE264&gt;0,KE264,0)</f>
        <v>0</v>
      </c>
      <c r="JP264" s="5"/>
      <c r="JQ264" s="5"/>
      <c r="JR264" s="5"/>
      <c r="JS264" s="6"/>
      <c r="JT264" s="23"/>
      <c r="JU264" s="13"/>
      <c r="JV264" s="6"/>
      <c r="JW264" s="6"/>
      <c r="JX264" s="6"/>
      <c r="JY264" s="6"/>
      <c r="JZ264" s="10"/>
      <c r="KA264" s="10"/>
      <c r="KB264" s="10"/>
      <c r="KC264" s="10"/>
      <c r="KD264" s="5"/>
      <c r="KE264" s="6"/>
    </row>
    <row r="265" spans="6:291" x14ac:dyDescent="0.3">
      <c r="F265" s="17"/>
      <c r="G265" s="9"/>
      <c r="H265" s="3"/>
      <c r="I265" s="3"/>
      <c r="J265" s="3"/>
      <c r="K265" s="3"/>
      <c r="L265" s="3"/>
      <c r="M265" s="3"/>
      <c r="N265" s="3"/>
      <c r="O265" s="3"/>
      <c r="P265" s="4"/>
      <c r="Q265" s="5"/>
      <c r="R265" s="5"/>
      <c r="S265" s="5"/>
      <c r="T265" s="6"/>
      <c r="U265" s="5"/>
      <c r="V265" s="6"/>
      <c r="W265" s="7"/>
      <c r="X265" s="8"/>
      <c r="Y265" s="6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6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C265" s="6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  <c r="JC265" s="5"/>
      <c r="JD265" s="5"/>
      <c r="JE265" s="5"/>
      <c r="JF265" s="5"/>
      <c r="JG265" s="5"/>
      <c r="JH265" s="5"/>
      <c r="JI265" s="5"/>
      <c r="JJ265" s="5"/>
      <c r="JK265" s="5"/>
      <c r="JM265" s="19"/>
      <c r="JN265" s="1">
        <v>263</v>
      </c>
      <c r="JO265" s="5">
        <f>HLOOKUP(JM265,HC$2:JK265,2+JN264,0)-IF(KE265&gt;0,KE265,0)</f>
        <v>0</v>
      </c>
      <c r="JP265" s="5"/>
      <c r="JQ265" s="5"/>
      <c r="JR265" s="5"/>
      <c r="JS265" s="6"/>
      <c r="JT265" s="23"/>
      <c r="JU265" s="13"/>
      <c r="JV265" s="6"/>
      <c r="JW265" s="6"/>
      <c r="JX265" s="6"/>
      <c r="JY265" s="6"/>
      <c r="JZ265" s="10"/>
      <c r="KA265" s="10"/>
      <c r="KB265" s="10"/>
      <c r="KC265" s="10"/>
      <c r="KD265" s="5"/>
      <c r="KE265" s="6"/>
    </row>
    <row r="266" spans="6:291" x14ac:dyDescent="0.3">
      <c r="F266" s="17"/>
      <c r="G266" s="9"/>
      <c r="H266" s="3"/>
      <c r="I266" s="3"/>
      <c r="J266" s="3"/>
      <c r="K266" s="3"/>
      <c r="L266" s="3"/>
      <c r="M266" s="3"/>
      <c r="N266" s="3"/>
      <c r="O266" s="3"/>
      <c r="P266" s="4"/>
      <c r="Q266" s="5"/>
      <c r="R266" s="5"/>
      <c r="S266" s="5"/>
      <c r="T266" s="6"/>
      <c r="U266" s="5"/>
      <c r="V266" s="6"/>
      <c r="W266" s="7"/>
      <c r="X266" s="8"/>
      <c r="Y266" s="6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6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C266" s="6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  <c r="JC266" s="5"/>
      <c r="JD266" s="5"/>
      <c r="JE266" s="5"/>
      <c r="JF266" s="5"/>
      <c r="JG266" s="5"/>
      <c r="JH266" s="5"/>
      <c r="JI266" s="5"/>
      <c r="JJ266" s="5"/>
      <c r="JK266" s="5"/>
      <c r="JM266" s="19"/>
      <c r="JN266" s="1">
        <v>264</v>
      </c>
      <c r="JO266" s="5">
        <f>HLOOKUP(JM266,HC$2:JK266,2+JN265,0)-IF(KE266&gt;0,KE266,0)</f>
        <v>0</v>
      </c>
      <c r="JP266" s="5"/>
      <c r="JQ266" s="5"/>
      <c r="JR266" s="5"/>
      <c r="JS266" s="6"/>
      <c r="JT266" s="23"/>
      <c r="JU266" s="13"/>
      <c r="JV266" s="6"/>
      <c r="JW266" s="6"/>
      <c r="JX266" s="6"/>
      <c r="JY266" s="6"/>
      <c r="JZ266" s="10"/>
      <c r="KA266" s="10"/>
      <c r="KB266" s="10"/>
      <c r="KC266" s="10"/>
      <c r="KD266" s="5"/>
      <c r="KE266" s="6"/>
    </row>
    <row r="267" spans="6:291" x14ac:dyDescent="0.3">
      <c r="F267" s="17"/>
      <c r="G267" s="9"/>
      <c r="H267" s="3"/>
      <c r="I267" s="3"/>
      <c r="J267" s="3"/>
      <c r="K267" s="3"/>
      <c r="L267" s="3"/>
      <c r="M267" s="3"/>
      <c r="N267" s="3"/>
      <c r="O267" s="3"/>
      <c r="P267" s="4"/>
      <c r="Q267" s="5"/>
      <c r="R267" s="5"/>
      <c r="S267" s="5"/>
      <c r="T267" s="6"/>
      <c r="U267" s="5"/>
      <c r="V267" s="6"/>
      <c r="W267" s="7"/>
      <c r="X267" s="8"/>
      <c r="Y267" s="6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6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C267" s="6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  <c r="JC267" s="5"/>
      <c r="JD267" s="5"/>
      <c r="JE267" s="5"/>
      <c r="JF267" s="5"/>
      <c r="JG267" s="5"/>
      <c r="JH267" s="5"/>
      <c r="JI267" s="5"/>
      <c r="JJ267" s="5"/>
      <c r="JK267" s="5"/>
      <c r="JM267" s="19"/>
      <c r="JN267" s="1">
        <v>265</v>
      </c>
      <c r="JO267" s="5">
        <f>HLOOKUP(JM267,HC$2:JK267,2+JN266,0)-IF(KE267&gt;0,KE267,0)</f>
        <v>0</v>
      </c>
      <c r="JP267" s="5"/>
      <c r="JQ267" s="5"/>
      <c r="JR267" s="5"/>
      <c r="JS267" s="6"/>
      <c r="JT267" s="23"/>
      <c r="JU267" s="13"/>
      <c r="JV267" s="6"/>
      <c r="JW267" s="6"/>
      <c r="JX267" s="6"/>
      <c r="JY267" s="6"/>
      <c r="JZ267" s="10"/>
      <c r="KA267" s="10"/>
      <c r="KB267" s="10"/>
      <c r="KC267" s="10"/>
      <c r="KD267" s="5"/>
      <c r="KE267" s="6"/>
    </row>
    <row r="268" spans="6:291" x14ac:dyDescent="0.3">
      <c r="F268" s="17"/>
      <c r="G268" s="9"/>
      <c r="H268" s="3"/>
      <c r="I268" s="3"/>
      <c r="J268" s="3"/>
      <c r="K268" s="3"/>
      <c r="L268" s="3"/>
      <c r="M268" s="3"/>
      <c r="N268" s="3"/>
      <c r="O268" s="3"/>
      <c r="P268" s="4"/>
      <c r="Q268" s="5"/>
      <c r="R268" s="5"/>
      <c r="S268" s="5"/>
      <c r="T268" s="6"/>
      <c r="U268" s="5"/>
      <c r="V268" s="6"/>
      <c r="W268" s="7"/>
      <c r="X268" s="8"/>
      <c r="Y268" s="6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6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C268" s="6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  <c r="JC268" s="5"/>
      <c r="JD268" s="5"/>
      <c r="JE268" s="5"/>
      <c r="JF268" s="5"/>
      <c r="JG268" s="5"/>
      <c r="JH268" s="5"/>
      <c r="JI268" s="5"/>
      <c r="JJ268" s="5"/>
      <c r="JK268" s="5"/>
      <c r="JM268" s="19"/>
      <c r="JN268" s="1">
        <v>266</v>
      </c>
      <c r="JO268" s="5">
        <f>HLOOKUP(JM268,HC$2:JK268,2+JN267,0)-IF(KE268&gt;0,KE268,0)</f>
        <v>0</v>
      </c>
      <c r="JP268" s="5"/>
      <c r="JQ268" s="5"/>
      <c r="JR268" s="5"/>
      <c r="JS268" s="6"/>
      <c r="JT268" s="23"/>
      <c r="JU268" s="13"/>
      <c r="JV268" s="6"/>
      <c r="JW268" s="6"/>
      <c r="JX268" s="6"/>
      <c r="JY268" s="6"/>
      <c r="JZ268" s="10"/>
      <c r="KA268" s="10"/>
      <c r="KB268" s="10"/>
      <c r="KC268" s="10"/>
      <c r="KD268" s="5"/>
      <c r="KE268" s="6"/>
    </row>
    <row r="269" spans="6:291" x14ac:dyDescent="0.3">
      <c r="F269" s="17"/>
      <c r="G269" s="9"/>
      <c r="H269" s="3"/>
      <c r="I269" s="3"/>
      <c r="J269" s="3"/>
      <c r="K269" s="3"/>
      <c r="L269" s="3"/>
      <c r="M269" s="3"/>
      <c r="N269" s="3"/>
      <c r="O269" s="3"/>
      <c r="P269" s="4"/>
      <c r="Q269" s="5"/>
      <c r="R269" s="5"/>
      <c r="S269" s="5"/>
      <c r="T269" s="6"/>
      <c r="U269" s="5"/>
      <c r="V269" s="6"/>
      <c r="W269" s="7"/>
      <c r="X269" s="8"/>
      <c r="Y269" s="6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6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C269" s="6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  <c r="JC269" s="5"/>
      <c r="JD269" s="5"/>
      <c r="JE269" s="5"/>
      <c r="JF269" s="5"/>
      <c r="JG269" s="5"/>
      <c r="JH269" s="5"/>
      <c r="JI269" s="5"/>
      <c r="JJ269" s="5"/>
      <c r="JK269" s="5"/>
      <c r="JM269" s="19"/>
      <c r="JN269" s="1">
        <v>267</v>
      </c>
      <c r="JO269" s="5">
        <f>HLOOKUP(JM269,HC$2:JK269,2+JN268,0)-IF(KE269&gt;0,KE269,0)</f>
        <v>0</v>
      </c>
      <c r="JP269" s="5"/>
      <c r="JQ269" s="5"/>
      <c r="JR269" s="5"/>
      <c r="JS269" s="6"/>
      <c r="JT269" s="23"/>
      <c r="JU269" s="13"/>
      <c r="JV269" s="6"/>
      <c r="JW269" s="6"/>
      <c r="JX269" s="6"/>
      <c r="JY269" s="6"/>
      <c r="JZ269" s="10"/>
      <c r="KA269" s="10"/>
      <c r="KB269" s="10"/>
      <c r="KC269" s="10"/>
      <c r="KD269" s="5"/>
      <c r="KE269" s="6"/>
    </row>
    <row r="270" spans="6:291" x14ac:dyDescent="0.3">
      <c r="F270" s="17"/>
      <c r="G270" s="9"/>
      <c r="H270" s="3"/>
      <c r="I270" s="3"/>
      <c r="J270" s="3"/>
      <c r="K270" s="3"/>
      <c r="L270" s="3"/>
      <c r="M270" s="3"/>
      <c r="N270" s="3"/>
      <c r="O270" s="3"/>
      <c r="P270" s="4"/>
      <c r="Q270" s="5"/>
      <c r="R270" s="5"/>
      <c r="S270" s="5"/>
      <c r="T270" s="6"/>
      <c r="U270" s="5"/>
      <c r="V270" s="6"/>
      <c r="W270" s="7"/>
      <c r="X270" s="8"/>
      <c r="Y270" s="6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6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C270" s="6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  <c r="JC270" s="5"/>
      <c r="JD270" s="5"/>
      <c r="JE270" s="5"/>
      <c r="JF270" s="5"/>
      <c r="JG270" s="5"/>
      <c r="JH270" s="5"/>
      <c r="JI270" s="5"/>
      <c r="JJ270" s="5"/>
      <c r="JK270" s="5"/>
      <c r="JM270" s="19"/>
      <c r="JN270" s="1">
        <v>268</v>
      </c>
      <c r="JO270" s="5">
        <f>HLOOKUP(JM270,HC$2:JK270,2+JN269,0)-IF(KE270&gt;0,KE270,0)</f>
        <v>0</v>
      </c>
      <c r="JP270" s="5"/>
      <c r="JQ270" s="5"/>
      <c r="JR270" s="5"/>
      <c r="JS270" s="6"/>
      <c r="JT270" s="23"/>
      <c r="JU270" s="13"/>
      <c r="JV270" s="6"/>
      <c r="JW270" s="6"/>
      <c r="JX270" s="6"/>
      <c r="JY270" s="6"/>
      <c r="JZ270" s="10"/>
      <c r="KA270" s="10"/>
      <c r="KB270" s="10"/>
      <c r="KC270" s="10"/>
      <c r="KD270" s="5"/>
      <c r="KE270" s="6"/>
    </row>
    <row r="271" spans="6:291" x14ac:dyDescent="0.3">
      <c r="F271" s="17"/>
      <c r="G271" s="9"/>
      <c r="H271" s="3"/>
      <c r="I271" s="3"/>
      <c r="J271" s="3"/>
      <c r="K271" s="3"/>
      <c r="L271" s="3"/>
      <c r="M271" s="3"/>
      <c r="N271" s="3"/>
      <c r="O271" s="3"/>
      <c r="P271" s="4"/>
      <c r="Q271" s="5"/>
      <c r="R271" s="5"/>
      <c r="S271" s="5"/>
      <c r="T271" s="6"/>
      <c r="U271" s="5"/>
      <c r="V271" s="6"/>
      <c r="W271" s="7"/>
      <c r="X271" s="8"/>
      <c r="Y271" s="6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6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C271" s="6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  <c r="JC271" s="5"/>
      <c r="JD271" s="5"/>
      <c r="JE271" s="5"/>
      <c r="JF271" s="5"/>
      <c r="JG271" s="5"/>
      <c r="JH271" s="5"/>
      <c r="JI271" s="5"/>
      <c r="JJ271" s="5"/>
      <c r="JK271" s="5"/>
      <c r="JM271" s="19"/>
      <c r="JN271" s="1">
        <v>269</v>
      </c>
      <c r="JO271" s="5">
        <f>HLOOKUP(JM271,HC$2:JK271,2+JN270,0)-IF(KE271&gt;0,KE271,0)</f>
        <v>0</v>
      </c>
      <c r="JP271" s="5"/>
      <c r="JQ271" s="5"/>
      <c r="JR271" s="5"/>
      <c r="JS271" s="6"/>
      <c r="JT271" s="23"/>
      <c r="JU271" s="13"/>
      <c r="JV271" s="6"/>
      <c r="JW271" s="6"/>
      <c r="JX271" s="6"/>
      <c r="JY271" s="6"/>
      <c r="JZ271" s="10"/>
      <c r="KA271" s="10"/>
      <c r="KB271" s="10"/>
      <c r="KC271" s="10"/>
      <c r="KD271" s="5"/>
      <c r="KE271" s="6"/>
    </row>
    <row r="272" spans="6:291" x14ac:dyDescent="0.3">
      <c r="F272" s="17"/>
      <c r="G272" s="9"/>
      <c r="H272" s="3"/>
      <c r="I272" s="3"/>
      <c r="J272" s="3"/>
      <c r="K272" s="3"/>
      <c r="L272" s="3"/>
      <c r="M272" s="3"/>
      <c r="N272" s="3"/>
      <c r="O272" s="3"/>
      <c r="P272" s="4"/>
      <c r="Q272" s="5"/>
      <c r="R272" s="5"/>
      <c r="S272" s="5"/>
      <c r="T272" s="6"/>
      <c r="U272" s="5"/>
      <c r="V272" s="6"/>
      <c r="W272" s="7"/>
      <c r="X272" s="8"/>
      <c r="Y272" s="6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6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C272" s="6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  <c r="JC272" s="5"/>
      <c r="JD272" s="5"/>
      <c r="JE272" s="5"/>
      <c r="JF272" s="5"/>
      <c r="JG272" s="5"/>
      <c r="JH272" s="5"/>
      <c r="JI272" s="5"/>
      <c r="JJ272" s="5"/>
      <c r="JK272" s="5"/>
      <c r="JM272" s="19"/>
      <c r="JN272" s="1">
        <v>270</v>
      </c>
      <c r="JO272" s="5">
        <f>HLOOKUP(JM272,HC$2:JK272,2+JN271,0)-IF(KE272&gt;0,KE272,0)</f>
        <v>0</v>
      </c>
      <c r="JP272" s="5"/>
      <c r="JQ272" s="5"/>
      <c r="JR272" s="5"/>
      <c r="JS272" s="6"/>
      <c r="JT272" s="23"/>
      <c r="JU272" s="13"/>
      <c r="JV272" s="6"/>
      <c r="JW272" s="6"/>
      <c r="JX272" s="6"/>
      <c r="JY272" s="6"/>
      <c r="JZ272" s="10"/>
      <c r="KA272" s="10"/>
      <c r="KB272" s="10"/>
      <c r="KC272" s="10"/>
      <c r="KD272" s="5"/>
      <c r="KE272" s="6"/>
    </row>
    <row r="273" spans="6:291" x14ac:dyDescent="0.3">
      <c r="F273" s="17"/>
      <c r="G273" s="9"/>
      <c r="H273" s="3"/>
      <c r="I273" s="3"/>
      <c r="J273" s="3"/>
      <c r="K273" s="3"/>
      <c r="L273" s="3"/>
      <c r="M273" s="3"/>
      <c r="N273" s="3"/>
      <c r="O273" s="3"/>
      <c r="P273" s="4"/>
      <c r="Q273" s="5"/>
      <c r="R273" s="5"/>
      <c r="S273" s="5"/>
      <c r="T273" s="6"/>
      <c r="U273" s="5"/>
      <c r="V273" s="6"/>
      <c r="W273" s="7"/>
      <c r="X273" s="8"/>
      <c r="Y273" s="6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6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C273" s="6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  <c r="JC273" s="5"/>
      <c r="JD273" s="5"/>
      <c r="JE273" s="5"/>
      <c r="JF273" s="5"/>
      <c r="JG273" s="5"/>
      <c r="JH273" s="5"/>
      <c r="JI273" s="5"/>
      <c r="JJ273" s="5"/>
      <c r="JK273" s="5"/>
      <c r="JM273" s="19"/>
      <c r="JN273" s="1">
        <v>271</v>
      </c>
      <c r="JO273" s="5">
        <f>HLOOKUP(JM273,HC$2:JK273,2+JN272,0)-IF(KE273&gt;0,KE273,0)</f>
        <v>0</v>
      </c>
      <c r="JP273" s="5"/>
      <c r="JQ273" s="5"/>
      <c r="JR273" s="5"/>
      <c r="JS273" s="6"/>
      <c r="JT273" s="23"/>
      <c r="JU273" s="13"/>
      <c r="JV273" s="6"/>
      <c r="JW273" s="6"/>
      <c r="JX273" s="6"/>
      <c r="JY273" s="6"/>
      <c r="JZ273" s="10"/>
      <c r="KA273" s="10"/>
      <c r="KB273" s="10"/>
      <c r="KC273" s="10"/>
      <c r="KD273" s="5"/>
      <c r="KE273" s="6"/>
    </row>
    <row r="274" spans="6:291" x14ac:dyDescent="0.3">
      <c r="F274" s="17"/>
      <c r="G274" s="9"/>
      <c r="H274" s="3"/>
      <c r="I274" s="3"/>
      <c r="J274" s="3"/>
      <c r="K274" s="3"/>
      <c r="L274" s="3"/>
      <c r="M274" s="3"/>
      <c r="N274" s="3"/>
      <c r="O274" s="3"/>
      <c r="P274" s="4"/>
      <c r="Q274" s="5"/>
      <c r="R274" s="5"/>
      <c r="S274" s="5"/>
      <c r="T274" s="6"/>
      <c r="U274" s="5"/>
      <c r="V274" s="6"/>
      <c r="W274" s="7"/>
      <c r="X274" s="8"/>
      <c r="Y274" s="6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6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C274" s="6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  <c r="JC274" s="5"/>
      <c r="JD274" s="5"/>
      <c r="JE274" s="5"/>
      <c r="JF274" s="5"/>
      <c r="JG274" s="5"/>
      <c r="JH274" s="5"/>
      <c r="JI274" s="5"/>
      <c r="JJ274" s="5"/>
      <c r="JK274" s="5"/>
      <c r="JM274" s="19"/>
      <c r="JN274" s="1">
        <v>272</v>
      </c>
      <c r="JO274" s="5">
        <f>HLOOKUP(JM274,HC$2:JK274,2+JN273,0)-IF(KE274&gt;0,KE274,0)</f>
        <v>0</v>
      </c>
      <c r="JP274" s="5"/>
      <c r="JQ274" s="5"/>
      <c r="JR274" s="5"/>
      <c r="JS274" s="6"/>
      <c r="JT274" s="23"/>
      <c r="JU274" s="13"/>
      <c r="JV274" s="6"/>
      <c r="JW274" s="6"/>
      <c r="JX274" s="6"/>
      <c r="JY274" s="6"/>
      <c r="JZ274" s="10"/>
      <c r="KA274" s="10"/>
      <c r="KB274" s="10"/>
      <c r="KC274" s="10"/>
      <c r="KD274" s="5"/>
      <c r="KE274" s="6"/>
    </row>
    <row r="275" spans="6:291" x14ac:dyDescent="0.3">
      <c r="F275" s="17"/>
      <c r="G275" s="9"/>
      <c r="H275" s="3"/>
      <c r="I275" s="3"/>
      <c r="J275" s="3"/>
      <c r="K275" s="3"/>
      <c r="L275" s="3"/>
      <c r="M275" s="3"/>
      <c r="N275" s="3"/>
      <c r="O275" s="3"/>
      <c r="P275" s="4"/>
      <c r="Q275" s="5"/>
      <c r="R275" s="5"/>
      <c r="S275" s="5"/>
      <c r="T275" s="6"/>
      <c r="U275" s="5"/>
      <c r="V275" s="6"/>
      <c r="W275" s="7"/>
      <c r="X275" s="8"/>
      <c r="Y275" s="6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6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C275" s="6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  <c r="JC275" s="5"/>
      <c r="JD275" s="5"/>
      <c r="JE275" s="5"/>
      <c r="JF275" s="5"/>
      <c r="JG275" s="5"/>
      <c r="JH275" s="5"/>
      <c r="JI275" s="5"/>
      <c r="JJ275" s="5"/>
      <c r="JK275" s="5"/>
      <c r="JM275" s="19"/>
      <c r="JN275" s="1">
        <v>273</v>
      </c>
      <c r="JO275" s="5">
        <f>HLOOKUP(JM275,HC$2:JK275,2+JN274,0)-IF(KE275&gt;0,KE275,0)</f>
        <v>0</v>
      </c>
      <c r="JP275" s="5"/>
      <c r="JQ275" s="5"/>
      <c r="JR275" s="5"/>
      <c r="JS275" s="6"/>
      <c r="JT275" s="23"/>
      <c r="JU275" s="13"/>
      <c r="JV275" s="6"/>
      <c r="JW275" s="6"/>
      <c r="JX275" s="6"/>
      <c r="JY275" s="6"/>
      <c r="JZ275" s="10"/>
      <c r="KA275" s="10"/>
      <c r="KB275" s="10"/>
      <c r="KC275" s="10"/>
      <c r="KD275" s="5"/>
      <c r="KE275" s="6"/>
    </row>
    <row r="276" spans="6:291" x14ac:dyDescent="0.3">
      <c r="F276" s="17"/>
      <c r="G276" s="9"/>
      <c r="H276" s="3"/>
      <c r="I276" s="3"/>
      <c r="J276" s="3"/>
      <c r="K276" s="3"/>
      <c r="L276" s="3"/>
      <c r="M276" s="3"/>
      <c r="N276" s="3"/>
      <c r="O276" s="3"/>
      <c r="P276" s="4"/>
      <c r="Q276" s="5"/>
      <c r="R276" s="5"/>
      <c r="S276" s="5"/>
      <c r="T276" s="6"/>
      <c r="U276" s="5"/>
      <c r="V276" s="6"/>
      <c r="W276" s="7"/>
      <c r="X276" s="8"/>
      <c r="Y276" s="6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6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C276" s="6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  <c r="JC276" s="5"/>
      <c r="JD276" s="5"/>
      <c r="JE276" s="5"/>
      <c r="JF276" s="5"/>
      <c r="JG276" s="5"/>
      <c r="JH276" s="5"/>
      <c r="JI276" s="5"/>
      <c r="JJ276" s="5"/>
      <c r="JK276" s="5"/>
      <c r="JM276" s="19"/>
      <c r="JN276" s="1">
        <v>274</v>
      </c>
      <c r="JO276" s="5">
        <f>HLOOKUP(JM276,HC$2:JK276,2+JN275,0)-IF(KE276&gt;0,KE276,0)</f>
        <v>0</v>
      </c>
      <c r="JP276" s="5"/>
      <c r="JQ276" s="5"/>
      <c r="JR276" s="5"/>
      <c r="JS276" s="6"/>
      <c r="JT276" s="23"/>
      <c r="JU276" s="13"/>
      <c r="JV276" s="6"/>
      <c r="JW276" s="6"/>
      <c r="JX276" s="6"/>
      <c r="JY276" s="6"/>
      <c r="JZ276" s="10"/>
      <c r="KA276" s="10"/>
      <c r="KB276" s="10"/>
      <c r="KC276" s="10"/>
      <c r="KD276" s="5"/>
      <c r="KE276" s="6"/>
    </row>
    <row r="277" spans="6:291" x14ac:dyDescent="0.3">
      <c r="F277" s="17"/>
      <c r="G277" s="9"/>
      <c r="H277" s="3"/>
      <c r="I277" s="3"/>
      <c r="J277" s="3"/>
      <c r="K277" s="3"/>
      <c r="L277" s="3"/>
      <c r="M277" s="3"/>
      <c r="N277" s="3"/>
      <c r="O277" s="3"/>
      <c r="P277" s="4"/>
      <c r="Q277" s="5"/>
      <c r="R277" s="5"/>
      <c r="S277" s="5"/>
      <c r="T277" s="6"/>
      <c r="U277" s="5"/>
      <c r="V277" s="6"/>
      <c r="W277" s="7"/>
      <c r="X277" s="8"/>
      <c r="Y277" s="6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6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C277" s="6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  <c r="JC277" s="5"/>
      <c r="JD277" s="5"/>
      <c r="JE277" s="5"/>
      <c r="JF277" s="5"/>
      <c r="JG277" s="5"/>
      <c r="JH277" s="5"/>
      <c r="JI277" s="5"/>
      <c r="JJ277" s="5"/>
      <c r="JK277" s="5"/>
      <c r="JM277" s="19"/>
      <c r="JN277" s="1">
        <v>275</v>
      </c>
      <c r="JO277" s="5">
        <f>HLOOKUP(JM277,HC$2:JK277,2+JN276,0)-IF(KE277&gt;0,KE277,0)</f>
        <v>0</v>
      </c>
      <c r="JP277" s="5"/>
      <c r="JQ277" s="5"/>
      <c r="JR277" s="5"/>
      <c r="JS277" s="6"/>
      <c r="JT277" s="23"/>
      <c r="JU277" s="13"/>
      <c r="JV277" s="6"/>
      <c r="JW277" s="6"/>
      <c r="JX277" s="6"/>
      <c r="JY277" s="6"/>
      <c r="JZ277" s="10"/>
      <c r="KA277" s="10"/>
      <c r="KB277" s="10"/>
      <c r="KC277" s="10"/>
      <c r="KD277" s="5"/>
      <c r="KE277" s="6"/>
    </row>
    <row r="278" spans="6:291" x14ac:dyDescent="0.3">
      <c r="F278" s="17"/>
      <c r="G278" s="9"/>
      <c r="H278" s="3"/>
      <c r="I278" s="3"/>
      <c r="J278" s="3"/>
      <c r="K278" s="3"/>
      <c r="L278" s="3"/>
      <c r="M278" s="3"/>
      <c r="N278" s="3"/>
      <c r="O278" s="3"/>
      <c r="P278" s="4"/>
      <c r="Q278" s="5"/>
      <c r="R278" s="5"/>
      <c r="S278" s="5"/>
      <c r="T278" s="6"/>
      <c r="U278" s="5"/>
      <c r="V278" s="6"/>
      <c r="W278" s="7"/>
      <c r="X278" s="8"/>
      <c r="Y278" s="6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6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C278" s="6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  <c r="JC278" s="5"/>
      <c r="JD278" s="5"/>
      <c r="JE278" s="5"/>
      <c r="JF278" s="5"/>
      <c r="JG278" s="5"/>
      <c r="JH278" s="5"/>
      <c r="JI278" s="5"/>
      <c r="JJ278" s="5"/>
      <c r="JK278" s="5"/>
      <c r="JM278" s="19"/>
      <c r="JN278" s="1">
        <v>276</v>
      </c>
      <c r="JO278" s="5">
        <f>HLOOKUP(JM278,HC$2:JK278,2+JN277,0)-IF(KE278&gt;0,KE278,0)</f>
        <v>0</v>
      </c>
      <c r="JP278" s="5"/>
      <c r="JQ278" s="5"/>
      <c r="JR278" s="5"/>
      <c r="JS278" s="6"/>
      <c r="JT278" s="23"/>
      <c r="JU278" s="13"/>
      <c r="JV278" s="6"/>
      <c r="JW278" s="6"/>
      <c r="JX278" s="6"/>
      <c r="JY278" s="6"/>
      <c r="JZ278" s="10"/>
      <c r="KA278" s="10"/>
      <c r="KB278" s="10"/>
      <c r="KC278" s="10"/>
      <c r="KD278" s="5"/>
      <c r="KE278" s="6"/>
    </row>
    <row r="279" spans="6:291" x14ac:dyDescent="0.3">
      <c r="F279" s="17"/>
      <c r="G279" s="9"/>
      <c r="H279" s="3"/>
      <c r="I279" s="3"/>
      <c r="J279" s="3"/>
      <c r="K279" s="3"/>
      <c r="L279" s="3"/>
      <c r="M279" s="3"/>
      <c r="N279" s="3"/>
      <c r="O279" s="3"/>
      <c r="P279" s="4"/>
      <c r="Q279" s="5"/>
      <c r="R279" s="5"/>
      <c r="S279" s="5"/>
      <c r="T279" s="6"/>
      <c r="U279" s="5"/>
      <c r="V279" s="6"/>
      <c r="W279" s="7"/>
      <c r="X279" s="8"/>
      <c r="Y279" s="6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6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C279" s="6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  <c r="JC279" s="5"/>
      <c r="JD279" s="5"/>
      <c r="JE279" s="5"/>
      <c r="JF279" s="5"/>
      <c r="JG279" s="5"/>
      <c r="JH279" s="5"/>
      <c r="JI279" s="5"/>
      <c r="JJ279" s="5"/>
      <c r="JK279" s="5"/>
      <c r="JM279" s="19"/>
      <c r="JN279" s="1">
        <v>277</v>
      </c>
      <c r="JO279" s="5">
        <f>HLOOKUP(JM279,HC$2:JK279,2+JN278,0)-IF(KE279&gt;0,KE279,0)</f>
        <v>0</v>
      </c>
      <c r="JP279" s="5"/>
      <c r="JQ279" s="5"/>
      <c r="JR279" s="5"/>
      <c r="JS279" s="6"/>
      <c r="JT279" s="23"/>
      <c r="JU279" s="13"/>
      <c r="JV279" s="6"/>
      <c r="JW279" s="6"/>
      <c r="JX279" s="6"/>
      <c r="JY279" s="6"/>
      <c r="JZ279" s="10"/>
      <c r="KA279" s="10"/>
      <c r="KB279" s="10"/>
      <c r="KC279" s="10"/>
      <c r="KD279" s="5"/>
      <c r="KE279" s="6"/>
    </row>
    <row r="280" spans="6:291" x14ac:dyDescent="0.3">
      <c r="F280" s="17"/>
      <c r="G280" s="9"/>
      <c r="H280" s="3"/>
      <c r="I280" s="3"/>
      <c r="J280" s="3"/>
      <c r="K280" s="3"/>
      <c r="L280" s="3"/>
      <c r="M280" s="3"/>
      <c r="N280" s="3"/>
      <c r="O280" s="3"/>
      <c r="P280" s="4"/>
      <c r="Q280" s="5"/>
      <c r="R280" s="5"/>
      <c r="S280" s="5"/>
      <c r="T280" s="6"/>
      <c r="U280" s="5"/>
      <c r="V280" s="6"/>
      <c r="W280" s="7"/>
      <c r="X280" s="8"/>
      <c r="Y280" s="6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6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C280" s="6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  <c r="JC280" s="5"/>
      <c r="JD280" s="5"/>
      <c r="JE280" s="5"/>
      <c r="JF280" s="5"/>
      <c r="JG280" s="5"/>
      <c r="JH280" s="5"/>
      <c r="JI280" s="5"/>
      <c r="JJ280" s="5"/>
      <c r="JK280" s="5"/>
      <c r="JM280" s="19"/>
      <c r="JN280" s="1">
        <v>278</v>
      </c>
      <c r="JO280" s="5">
        <f>HLOOKUP(JM280,HC$2:JK280,2+JN279,0)-IF(KE280&gt;0,KE280,0)</f>
        <v>0</v>
      </c>
      <c r="JP280" s="5"/>
      <c r="JQ280" s="5"/>
      <c r="JR280" s="5"/>
      <c r="JS280" s="6"/>
      <c r="JT280" s="23"/>
      <c r="JU280" s="13"/>
      <c r="JV280" s="6"/>
      <c r="JW280" s="6"/>
      <c r="JX280" s="6"/>
      <c r="JY280" s="6"/>
      <c r="JZ280" s="10"/>
      <c r="KA280" s="10"/>
      <c r="KB280" s="10"/>
      <c r="KC280" s="10"/>
      <c r="KD280" s="5"/>
      <c r="KE280" s="6"/>
    </row>
    <row r="281" spans="6:291" x14ac:dyDescent="0.3">
      <c r="F281" s="17"/>
      <c r="G281" s="9"/>
      <c r="H281" s="3"/>
      <c r="I281" s="3"/>
      <c r="J281" s="3"/>
      <c r="K281" s="3"/>
      <c r="L281" s="3"/>
      <c r="M281" s="3"/>
      <c r="N281" s="3"/>
      <c r="O281" s="3"/>
      <c r="P281" s="4"/>
      <c r="Q281" s="5"/>
      <c r="R281" s="5"/>
      <c r="S281" s="5"/>
      <c r="T281" s="6"/>
      <c r="U281" s="5"/>
      <c r="V281" s="6"/>
      <c r="W281" s="7"/>
      <c r="X281" s="8"/>
      <c r="Y281" s="6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6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C281" s="6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  <c r="JC281" s="5"/>
      <c r="JD281" s="5"/>
      <c r="JE281" s="5"/>
      <c r="JF281" s="5"/>
      <c r="JG281" s="5"/>
      <c r="JH281" s="5"/>
      <c r="JI281" s="5"/>
      <c r="JJ281" s="5"/>
      <c r="JK281" s="5"/>
      <c r="JM281" s="19"/>
      <c r="JN281" s="1">
        <v>279</v>
      </c>
      <c r="JO281" s="5">
        <f>HLOOKUP(JM281,HC$2:JK281,2+JN280,0)-IF(KE281&gt;0,KE281,0)</f>
        <v>0</v>
      </c>
      <c r="JP281" s="5"/>
      <c r="JQ281" s="5"/>
      <c r="JR281" s="5"/>
      <c r="JS281" s="6"/>
      <c r="JT281" s="23"/>
      <c r="JU281" s="13"/>
      <c r="JV281" s="6"/>
      <c r="JW281" s="6"/>
      <c r="JX281" s="6"/>
      <c r="JY281" s="6"/>
      <c r="JZ281" s="10"/>
      <c r="KA281" s="10"/>
      <c r="KB281" s="10"/>
      <c r="KC281" s="10"/>
      <c r="KD281" s="5"/>
      <c r="KE281" s="6"/>
    </row>
    <row r="282" spans="6:291" x14ac:dyDescent="0.3">
      <c r="F282" s="17"/>
      <c r="G282" s="9"/>
      <c r="H282" s="3"/>
      <c r="I282" s="3"/>
      <c r="J282" s="3"/>
      <c r="K282" s="3"/>
      <c r="L282" s="3"/>
      <c r="M282" s="3"/>
      <c r="N282" s="3"/>
      <c r="O282" s="3"/>
      <c r="P282" s="4"/>
      <c r="Q282" s="5"/>
      <c r="R282" s="5"/>
      <c r="S282" s="5"/>
      <c r="T282" s="6"/>
      <c r="U282" s="5"/>
      <c r="V282" s="6"/>
      <c r="W282" s="7"/>
      <c r="X282" s="8"/>
      <c r="Y282" s="6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6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C282" s="6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5"/>
      <c r="JD282" s="5"/>
      <c r="JE282" s="5"/>
      <c r="JF282" s="5"/>
      <c r="JG282" s="5"/>
      <c r="JH282" s="5"/>
      <c r="JI282" s="5"/>
      <c r="JJ282" s="5"/>
      <c r="JK282" s="5"/>
      <c r="JM282" s="19"/>
      <c r="JN282" s="1">
        <v>280</v>
      </c>
      <c r="JO282" s="5">
        <f>HLOOKUP(JM282,HC$2:JK282,2+JN281,0)-IF(KE282&gt;0,KE282,0)</f>
        <v>0</v>
      </c>
      <c r="JP282" s="5"/>
      <c r="JQ282" s="5"/>
      <c r="JR282" s="5"/>
      <c r="JS282" s="6"/>
      <c r="JT282" s="23"/>
      <c r="JU282" s="13"/>
      <c r="JV282" s="6"/>
      <c r="JW282" s="6"/>
      <c r="JX282" s="6"/>
      <c r="JY282" s="6"/>
      <c r="JZ282" s="10"/>
      <c r="KA282" s="10"/>
      <c r="KB282" s="10"/>
      <c r="KC282" s="10"/>
      <c r="KD282" s="5"/>
      <c r="KE282" s="6"/>
    </row>
    <row r="283" spans="6:291" x14ac:dyDescent="0.3">
      <c r="F283" s="17"/>
      <c r="G283" s="9"/>
      <c r="H283" s="3"/>
      <c r="I283" s="3"/>
      <c r="J283" s="3"/>
      <c r="K283" s="3"/>
      <c r="L283" s="3"/>
      <c r="M283" s="3"/>
      <c r="N283" s="3"/>
      <c r="O283" s="3"/>
      <c r="P283" s="4"/>
      <c r="Q283" s="5"/>
      <c r="R283" s="5"/>
      <c r="S283" s="5"/>
      <c r="T283" s="6"/>
      <c r="U283" s="5"/>
      <c r="V283" s="6"/>
      <c r="W283" s="7"/>
      <c r="X283" s="8"/>
      <c r="Y283" s="6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6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C283" s="6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  <c r="JC283" s="5"/>
      <c r="JD283" s="5"/>
      <c r="JE283" s="5"/>
      <c r="JF283" s="5"/>
      <c r="JG283" s="5"/>
      <c r="JH283" s="5"/>
      <c r="JI283" s="5"/>
      <c r="JJ283" s="5"/>
      <c r="JK283" s="5"/>
      <c r="JM283" s="19"/>
      <c r="JN283" s="1">
        <v>281</v>
      </c>
      <c r="JO283" s="5">
        <f>HLOOKUP(JM283,HC$2:JK283,2+JN282,0)-IF(KE283&gt;0,KE283,0)</f>
        <v>0</v>
      </c>
      <c r="JP283" s="5"/>
      <c r="JQ283" s="5"/>
      <c r="JR283" s="5"/>
      <c r="JS283" s="6"/>
      <c r="JT283" s="23"/>
      <c r="JU283" s="13"/>
      <c r="JV283" s="6"/>
      <c r="JW283" s="6"/>
      <c r="JX283" s="6"/>
      <c r="JY283" s="6"/>
      <c r="JZ283" s="10"/>
      <c r="KA283" s="10"/>
      <c r="KB283" s="10"/>
      <c r="KC283" s="10"/>
      <c r="KD283" s="5"/>
      <c r="KE283" s="6"/>
    </row>
    <row r="284" spans="6:291" x14ac:dyDescent="0.3">
      <c r="F284" s="17"/>
      <c r="G284" s="9"/>
      <c r="H284" s="3"/>
      <c r="I284" s="3"/>
      <c r="J284" s="3"/>
      <c r="K284" s="3"/>
      <c r="L284" s="3"/>
      <c r="M284" s="3"/>
      <c r="N284" s="3"/>
      <c r="O284" s="3"/>
      <c r="P284" s="4"/>
      <c r="Q284" s="5"/>
      <c r="R284" s="5"/>
      <c r="S284" s="5"/>
      <c r="T284" s="6"/>
      <c r="U284" s="5"/>
      <c r="V284" s="6"/>
      <c r="W284" s="7"/>
      <c r="X284" s="8"/>
      <c r="Y284" s="6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6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C284" s="6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  <c r="JC284" s="5"/>
      <c r="JD284" s="5"/>
      <c r="JE284" s="5"/>
      <c r="JF284" s="5"/>
      <c r="JG284" s="5"/>
      <c r="JH284" s="5"/>
      <c r="JI284" s="5"/>
      <c r="JJ284" s="5"/>
      <c r="JK284" s="5"/>
      <c r="JM284" s="19"/>
      <c r="JN284" s="1">
        <v>282</v>
      </c>
      <c r="JO284" s="5">
        <f>HLOOKUP(JM284,HC$2:JK284,2+JN283,0)-IF(KE284&gt;0,KE284,0)</f>
        <v>0</v>
      </c>
      <c r="JP284" s="5"/>
      <c r="JQ284" s="5"/>
      <c r="JR284" s="5"/>
      <c r="JS284" s="6"/>
      <c r="JT284" s="23"/>
      <c r="JU284" s="13"/>
      <c r="JV284" s="6"/>
      <c r="JW284" s="6"/>
      <c r="JX284" s="6"/>
      <c r="JY284" s="6"/>
      <c r="JZ284" s="10"/>
      <c r="KA284" s="10"/>
      <c r="KB284" s="10"/>
      <c r="KC284" s="10"/>
      <c r="KD284" s="5"/>
      <c r="KE284" s="6"/>
    </row>
    <row r="285" spans="6:291" x14ac:dyDescent="0.3">
      <c r="F285" s="17"/>
      <c r="G285" s="9"/>
      <c r="H285" s="3"/>
      <c r="I285" s="3"/>
      <c r="J285" s="3"/>
      <c r="K285" s="3"/>
      <c r="L285" s="3"/>
      <c r="M285" s="3"/>
      <c r="N285" s="3"/>
      <c r="O285" s="3"/>
      <c r="P285" s="4"/>
      <c r="Q285" s="5"/>
      <c r="R285" s="5"/>
      <c r="S285" s="5"/>
      <c r="T285" s="6"/>
      <c r="U285" s="5"/>
      <c r="V285" s="6"/>
      <c r="W285" s="7"/>
      <c r="X285" s="8"/>
      <c r="Y285" s="6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6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C285" s="6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  <c r="JE285" s="5"/>
      <c r="JF285" s="5"/>
      <c r="JG285" s="5"/>
      <c r="JH285" s="5"/>
      <c r="JI285" s="5"/>
      <c r="JJ285" s="5"/>
      <c r="JK285" s="5"/>
      <c r="JM285" s="19"/>
      <c r="JN285" s="1">
        <v>283</v>
      </c>
      <c r="JO285" s="5">
        <f>HLOOKUP(JM285,HC$2:JK285,2+JN284,0)-IF(KE285&gt;0,KE285,0)</f>
        <v>0</v>
      </c>
      <c r="JP285" s="5"/>
      <c r="JQ285" s="5"/>
      <c r="JR285" s="5"/>
      <c r="JS285" s="6"/>
      <c r="JT285" s="23"/>
      <c r="JU285" s="13"/>
      <c r="JV285" s="6"/>
      <c r="JW285" s="6"/>
      <c r="JX285" s="6"/>
      <c r="JY285" s="6"/>
      <c r="JZ285" s="10"/>
      <c r="KA285" s="10"/>
      <c r="KB285" s="10"/>
      <c r="KC285" s="10"/>
      <c r="KD285" s="5"/>
      <c r="KE285" s="6"/>
    </row>
    <row r="286" spans="6:291" x14ac:dyDescent="0.3">
      <c r="F286" s="17"/>
      <c r="G286" s="9"/>
      <c r="H286" s="3"/>
      <c r="I286" s="3"/>
      <c r="J286" s="3"/>
      <c r="K286" s="3"/>
      <c r="L286" s="3"/>
      <c r="M286" s="3"/>
      <c r="N286" s="3"/>
      <c r="O286" s="3"/>
      <c r="P286" s="4"/>
      <c r="Q286" s="5"/>
      <c r="R286" s="5"/>
      <c r="S286" s="5"/>
      <c r="T286" s="6"/>
      <c r="U286" s="5"/>
      <c r="V286" s="6"/>
      <c r="W286" s="7"/>
      <c r="X286" s="8"/>
      <c r="Y286" s="6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6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C286" s="6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  <c r="JE286" s="5"/>
      <c r="JF286" s="5"/>
      <c r="JG286" s="5"/>
      <c r="JH286" s="5"/>
      <c r="JI286" s="5"/>
      <c r="JJ286" s="5"/>
      <c r="JK286" s="5"/>
      <c r="JM286" s="19"/>
      <c r="JN286" s="1">
        <v>284</v>
      </c>
      <c r="JO286" s="5">
        <f>HLOOKUP(JM286,HC$2:JK286,2+JN285,0)-IF(KE286&gt;0,KE286,0)</f>
        <v>0</v>
      </c>
      <c r="JP286" s="5"/>
      <c r="JQ286" s="5"/>
      <c r="JR286" s="5"/>
      <c r="JS286" s="6"/>
      <c r="JT286" s="23"/>
      <c r="JU286" s="13"/>
      <c r="JV286" s="6"/>
      <c r="JW286" s="6"/>
      <c r="JX286" s="6"/>
      <c r="JY286" s="6"/>
      <c r="JZ286" s="10"/>
      <c r="KA286" s="10"/>
      <c r="KB286" s="10"/>
      <c r="KC286" s="10"/>
      <c r="KD286" s="5"/>
      <c r="KE286" s="6"/>
    </row>
    <row r="287" spans="6:291" x14ac:dyDescent="0.3">
      <c r="F287" s="17"/>
      <c r="G287" s="9"/>
      <c r="H287" s="3"/>
      <c r="I287" s="3"/>
      <c r="J287" s="3"/>
      <c r="K287" s="3"/>
      <c r="L287" s="3"/>
      <c r="M287" s="3"/>
      <c r="N287" s="3"/>
      <c r="O287" s="3"/>
      <c r="P287" s="4"/>
      <c r="Q287" s="5"/>
      <c r="R287" s="5"/>
      <c r="S287" s="5"/>
      <c r="T287" s="6"/>
      <c r="U287" s="5"/>
      <c r="V287" s="6"/>
      <c r="W287" s="7"/>
      <c r="X287" s="8"/>
      <c r="Y287" s="6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6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C287" s="6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  <c r="JC287" s="5"/>
      <c r="JD287" s="5"/>
      <c r="JE287" s="5"/>
      <c r="JF287" s="5"/>
      <c r="JG287" s="5"/>
      <c r="JH287" s="5"/>
      <c r="JI287" s="5"/>
      <c r="JJ287" s="5"/>
      <c r="JK287" s="5"/>
      <c r="JM287" s="19"/>
      <c r="JN287" s="1">
        <v>285</v>
      </c>
      <c r="JO287" s="5">
        <f>HLOOKUP(JM287,HC$2:JK287,2+JN286,0)-IF(KE287&gt;0,KE287,0)</f>
        <v>0</v>
      </c>
      <c r="JP287" s="5"/>
      <c r="JQ287" s="5"/>
      <c r="JR287" s="5"/>
      <c r="JS287" s="6"/>
      <c r="JT287" s="23"/>
      <c r="JU287" s="13"/>
      <c r="JV287" s="6"/>
      <c r="JW287" s="6"/>
      <c r="JX287" s="6"/>
      <c r="JY287" s="6"/>
      <c r="JZ287" s="10"/>
      <c r="KA287" s="10"/>
      <c r="KB287" s="10"/>
      <c r="KC287" s="10"/>
      <c r="KD287" s="5"/>
      <c r="KE287" s="6"/>
    </row>
    <row r="288" spans="6:291" x14ac:dyDescent="0.3">
      <c r="F288" s="17"/>
      <c r="G288" s="9"/>
      <c r="H288" s="3"/>
      <c r="I288" s="3"/>
      <c r="J288" s="3"/>
      <c r="K288" s="3"/>
      <c r="L288" s="3"/>
      <c r="M288" s="3"/>
      <c r="N288" s="3"/>
      <c r="O288" s="3"/>
      <c r="P288" s="4"/>
      <c r="Q288" s="5"/>
      <c r="R288" s="5"/>
      <c r="S288" s="5"/>
      <c r="T288" s="6"/>
      <c r="U288" s="5"/>
      <c r="V288" s="6"/>
      <c r="W288" s="7"/>
      <c r="X288" s="8"/>
      <c r="Y288" s="6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6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C288" s="6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  <c r="JC288" s="5"/>
      <c r="JD288" s="5"/>
      <c r="JE288" s="5"/>
      <c r="JF288" s="5"/>
      <c r="JG288" s="5"/>
      <c r="JH288" s="5"/>
      <c r="JI288" s="5"/>
      <c r="JJ288" s="5"/>
      <c r="JK288" s="5"/>
      <c r="JM288" s="19"/>
      <c r="JN288" s="1">
        <v>286</v>
      </c>
      <c r="JO288" s="5">
        <f>HLOOKUP(JM288,HC$2:JK288,2+JN287,0)-IF(KE288&gt;0,KE288,0)</f>
        <v>0</v>
      </c>
      <c r="JP288" s="5"/>
      <c r="JQ288" s="5"/>
      <c r="JR288" s="5"/>
      <c r="JS288" s="6"/>
      <c r="JT288" s="23"/>
      <c r="JU288" s="13"/>
      <c r="JV288" s="6"/>
      <c r="JW288" s="6"/>
      <c r="JX288" s="6"/>
      <c r="JY288" s="6"/>
      <c r="JZ288" s="10"/>
      <c r="KA288" s="10"/>
      <c r="KB288" s="10"/>
      <c r="KC288" s="10"/>
      <c r="KD288" s="5"/>
      <c r="KE288" s="6"/>
    </row>
    <row r="289" spans="6:291" x14ac:dyDescent="0.3">
      <c r="F289" s="17"/>
      <c r="G289" s="9"/>
      <c r="H289" s="3"/>
      <c r="I289" s="3"/>
      <c r="J289" s="3"/>
      <c r="K289" s="3"/>
      <c r="L289" s="3"/>
      <c r="M289" s="3"/>
      <c r="N289" s="3"/>
      <c r="O289" s="3"/>
      <c r="P289" s="4"/>
      <c r="Q289" s="5"/>
      <c r="R289" s="5"/>
      <c r="S289" s="5"/>
      <c r="T289" s="6"/>
      <c r="U289" s="5"/>
      <c r="V289" s="6"/>
      <c r="W289" s="7"/>
      <c r="X289" s="8"/>
      <c r="Y289" s="6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6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C289" s="6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  <c r="JC289" s="5"/>
      <c r="JD289" s="5"/>
      <c r="JE289" s="5"/>
      <c r="JF289" s="5"/>
      <c r="JG289" s="5"/>
      <c r="JH289" s="5"/>
      <c r="JI289" s="5"/>
      <c r="JJ289" s="5"/>
      <c r="JK289" s="5"/>
      <c r="JM289" s="19"/>
      <c r="JN289" s="1">
        <v>287</v>
      </c>
      <c r="JO289" s="5">
        <f>HLOOKUP(JM289,HC$2:JK289,2+JN288,0)-IF(KE289&gt;0,KE289,0)</f>
        <v>0</v>
      </c>
      <c r="JP289" s="5"/>
      <c r="JQ289" s="5"/>
      <c r="JR289" s="5"/>
      <c r="JS289" s="6"/>
      <c r="JT289" s="23"/>
      <c r="JU289" s="13"/>
      <c r="JV289" s="6"/>
      <c r="JW289" s="6"/>
      <c r="JX289" s="6"/>
      <c r="JY289" s="6"/>
      <c r="JZ289" s="10"/>
      <c r="KA289" s="10"/>
      <c r="KB289" s="10"/>
      <c r="KC289" s="10"/>
      <c r="KD289" s="5"/>
      <c r="KE289" s="6"/>
    </row>
    <row r="290" spans="6:291" x14ac:dyDescent="0.3">
      <c r="F290" s="17"/>
      <c r="G290" s="9"/>
      <c r="H290" s="3"/>
      <c r="I290" s="3"/>
      <c r="J290" s="3"/>
      <c r="K290" s="3"/>
      <c r="L290" s="3"/>
      <c r="M290" s="3"/>
      <c r="N290" s="3"/>
      <c r="O290" s="3"/>
      <c r="P290" s="4"/>
      <c r="Q290" s="5"/>
      <c r="R290" s="5"/>
      <c r="S290" s="5"/>
      <c r="T290" s="6"/>
      <c r="U290" s="5"/>
      <c r="V290" s="6"/>
      <c r="W290" s="7"/>
      <c r="X290" s="8"/>
      <c r="Y290" s="6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6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C290" s="6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  <c r="JC290" s="5"/>
      <c r="JD290" s="5"/>
      <c r="JE290" s="5"/>
      <c r="JF290" s="5"/>
      <c r="JG290" s="5"/>
      <c r="JH290" s="5"/>
      <c r="JI290" s="5"/>
      <c r="JJ290" s="5"/>
      <c r="JK290" s="5"/>
      <c r="JM290" s="19"/>
      <c r="JN290" s="1">
        <v>288</v>
      </c>
      <c r="JO290" s="5">
        <f>HLOOKUP(JM290,HC$2:JK290,2+JN289,0)-IF(KE290&gt;0,KE290,0)</f>
        <v>0</v>
      </c>
      <c r="JP290" s="5"/>
      <c r="JQ290" s="5"/>
      <c r="JR290" s="5"/>
      <c r="JS290" s="6"/>
      <c r="JT290" s="23"/>
      <c r="JU290" s="13"/>
      <c r="JV290" s="6"/>
      <c r="JW290" s="6"/>
      <c r="JX290" s="6"/>
      <c r="JY290" s="6"/>
      <c r="JZ290" s="10"/>
      <c r="KA290" s="10"/>
      <c r="KB290" s="10"/>
      <c r="KC290" s="10"/>
      <c r="KD290" s="5"/>
      <c r="KE290" s="6"/>
    </row>
    <row r="291" spans="6:291" x14ac:dyDescent="0.3">
      <c r="F291" s="17"/>
      <c r="G291" s="9"/>
      <c r="H291" s="3"/>
      <c r="I291" s="3"/>
      <c r="J291" s="3"/>
      <c r="K291" s="3"/>
      <c r="L291" s="3"/>
      <c r="M291" s="3"/>
      <c r="N291" s="3"/>
      <c r="O291" s="3"/>
      <c r="P291" s="4"/>
      <c r="Q291" s="5"/>
      <c r="R291" s="5"/>
      <c r="S291" s="5"/>
      <c r="T291" s="6"/>
      <c r="U291" s="5"/>
      <c r="V291" s="6"/>
      <c r="W291" s="7"/>
      <c r="X291" s="8"/>
      <c r="Y291" s="6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6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C291" s="6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  <c r="JE291" s="5"/>
      <c r="JF291" s="5"/>
      <c r="JG291" s="5"/>
      <c r="JH291" s="5"/>
      <c r="JI291" s="5"/>
      <c r="JJ291" s="5"/>
      <c r="JK291" s="5"/>
      <c r="JM291" s="19"/>
      <c r="JN291" s="1">
        <v>289</v>
      </c>
      <c r="JO291" s="5">
        <f>HLOOKUP(JM291,HC$2:JK291,2+JN290,0)-IF(KE291&gt;0,KE291,0)</f>
        <v>0</v>
      </c>
      <c r="JP291" s="5"/>
      <c r="JQ291" s="5"/>
      <c r="JR291" s="5"/>
      <c r="JS291" s="6"/>
      <c r="JT291" s="23"/>
      <c r="JU291" s="13"/>
      <c r="JV291" s="6"/>
      <c r="JW291" s="6"/>
      <c r="JX291" s="6"/>
      <c r="JY291" s="6"/>
      <c r="JZ291" s="10"/>
      <c r="KA291" s="10"/>
      <c r="KB291" s="10"/>
      <c r="KC291" s="10"/>
      <c r="KD291" s="5"/>
      <c r="KE291" s="6"/>
    </row>
    <row r="292" spans="6:291" x14ac:dyDescent="0.3">
      <c r="F292" s="17"/>
      <c r="G292" s="9"/>
      <c r="H292" s="3"/>
      <c r="I292" s="3"/>
      <c r="J292" s="3"/>
      <c r="K292" s="3"/>
      <c r="L292" s="3"/>
      <c r="M292" s="3"/>
      <c r="N292" s="3"/>
      <c r="O292" s="3"/>
      <c r="P292" s="4"/>
      <c r="Q292" s="5"/>
      <c r="R292" s="5"/>
      <c r="S292" s="5"/>
      <c r="T292" s="6"/>
      <c r="U292" s="5"/>
      <c r="V292" s="6"/>
      <c r="W292" s="7"/>
      <c r="X292" s="8"/>
      <c r="Y292" s="6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6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C292" s="6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  <c r="JC292" s="5"/>
      <c r="JD292" s="5"/>
      <c r="JE292" s="5"/>
      <c r="JF292" s="5"/>
      <c r="JG292" s="5"/>
      <c r="JH292" s="5"/>
      <c r="JI292" s="5"/>
      <c r="JJ292" s="5"/>
      <c r="JK292" s="5"/>
      <c r="JM292" s="19"/>
      <c r="JN292" s="1">
        <v>290</v>
      </c>
      <c r="JO292" s="5">
        <f>HLOOKUP(JM292,HC$2:JK292,2+JN291,0)-IF(KE292&gt;0,KE292,0)</f>
        <v>0</v>
      </c>
      <c r="JP292" s="5"/>
      <c r="JQ292" s="5"/>
      <c r="JR292" s="5"/>
      <c r="JS292" s="6"/>
      <c r="JT292" s="23"/>
      <c r="JU292" s="13"/>
      <c r="JV292" s="6"/>
      <c r="JW292" s="6"/>
      <c r="JX292" s="6"/>
      <c r="JY292" s="6"/>
      <c r="JZ292" s="10"/>
      <c r="KA292" s="10"/>
      <c r="KB292" s="10"/>
      <c r="KC292" s="10"/>
      <c r="KD292" s="5"/>
      <c r="KE292" s="6"/>
    </row>
    <row r="293" spans="6:291" x14ac:dyDescent="0.3">
      <c r="F293" s="17"/>
      <c r="G293" s="9"/>
      <c r="H293" s="3"/>
      <c r="I293" s="3"/>
      <c r="J293" s="3"/>
      <c r="K293" s="3"/>
      <c r="L293" s="3"/>
      <c r="M293" s="3"/>
      <c r="N293" s="3"/>
      <c r="O293" s="3"/>
      <c r="P293" s="4"/>
      <c r="Q293" s="5"/>
      <c r="R293" s="5"/>
      <c r="S293" s="5"/>
      <c r="T293" s="6"/>
      <c r="U293" s="5"/>
      <c r="V293" s="6"/>
      <c r="W293" s="7"/>
      <c r="X293" s="8"/>
      <c r="Y293" s="6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6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C293" s="6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  <c r="JC293" s="5"/>
      <c r="JD293" s="5"/>
      <c r="JE293" s="5"/>
      <c r="JF293" s="5"/>
      <c r="JG293" s="5"/>
      <c r="JH293" s="5"/>
      <c r="JI293" s="5"/>
      <c r="JJ293" s="5"/>
      <c r="JK293" s="5"/>
      <c r="JM293" s="19"/>
      <c r="JN293" s="1">
        <v>291</v>
      </c>
      <c r="JO293" s="5">
        <f>HLOOKUP(JM293,HC$2:JK293,2+JN292,0)-IF(KE293&gt;0,KE293,0)</f>
        <v>0</v>
      </c>
      <c r="JP293" s="5"/>
      <c r="JQ293" s="5"/>
      <c r="JR293" s="5"/>
      <c r="JS293" s="6"/>
      <c r="JT293" s="23"/>
      <c r="JU293" s="13"/>
      <c r="JV293" s="6"/>
      <c r="JW293" s="6"/>
      <c r="JX293" s="6"/>
      <c r="JY293" s="6"/>
      <c r="JZ293" s="10"/>
      <c r="KA293" s="10"/>
      <c r="KB293" s="10"/>
      <c r="KC293" s="10"/>
      <c r="KD293" s="5"/>
      <c r="KE293" s="6"/>
    </row>
    <row r="294" spans="6:291" x14ac:dyDescent="0.3">
      <c r="F294" s="17"/>
      <c r="G294" s="9"/>
      <c r="H294" s="3"/>
      <c r="I294" s="3"/>
      <c r="J294" s="3"/>
      <c r="K294" s="3"/>
      <c r="L294" s="3"/>
      <c r="M294" s="3"/>
      <c r="N294" s="3"/>
      <c r="O294" s="3"/>
      <c r="P294" s="4"/>
      <c r="Q294" s="5"/>
      <c r="R294" s="5"/>
      <c r="S294" s="5"/>
      <c r="T294" s="6"/>
      <c r="U294" s="5"/>
      <c r="V294" s="6"/>
      <c r="W294" s="7"/>
      <c r="X294" s="8"/>
      <c r="Y294" s="6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6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C294" s="6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  <c r="JC294" s="5"/>
      <c r="JD294" s="5"/>
      <c r="JE294" s="5"/>
      <c r="JF294" s="5"/>
      <c r="JG294" s="5"/>
      <c r="JH294" s="5"/>
      <c r="JI294" s="5"/>
      <c r="JJ294" s="5"/>
      <c r="JK294" s="5"/>
      <c r="JM294" s="19"/>
      <c r="JN294" s="1">
        <v>292</v>
      </c>
      <c r="JO294" s="5">
        <f>HLOOKUP(JM294,HC$2:JK294,2+JN293,0)-IF(KE294&gt;0,KE294,0)</f>
        <v>0</v>
      </c>
      <c r="JP294" s="5"/>
      <c r="JQ294" s="5"/>
      <c r="JR294" s="5"/>
      <c r="JS294" s="6"/>
      <c r="JT294" s="23"/>
      <c r="JU294" s="13"/>
      <c r="JV294" s="6"/>
      <c r="JW294" s="6"/>
      <c r="JX294" s="6"/>
      <c r="JY294" s="6"/>
      <c r="JZ294" s="10"/>
      <c r="KA294" s="10"/>
      <c r="KB294" s="10"/>
      <c r="KC294" s="10"/>
      <c r="KD294" s="5"/>
      <c r="KE294" s="6"/>
    </row>
    <row r="295" spans="6:291" x14ac:dyDescent="0.3">
      <c r="F295" s="17"/>
      <c r="G295" s="9"/>
      <c r="H295" s="3"/>
      <c r="I295" s="3"/>
      <c r="J295" s="3"/>
      <c r="K295" s="3"/>
      <c r="L295" s="3"/>
      <c r="M295" s="3"/>
      <c r="N295" s="3"/>
      <c r="O295" s="3"/>
      <c r="P295" s="4"/>
      <c r="Q295" s="5"/>
      <c r="R295" s="5"/>
      <c r="S295" s="5"/>
      <c r="T295" s="6"/>
      <c r="U295" s="5"/>
      <c r="V295" s="6"/>
      <c r="W295" s="7"/>
      <c r="X295" s="8"/>
      <c r="Y295" s="6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6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C295" s="6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  <c r="JC295" s="5"/>
      <c r="JD295" s="5"/>
      <c r="JE295" s="5"/>
      <c r="JF295" s="5"/>
      <c r="JG295" s="5"/>
      <c r="JH295" s="5"/>
      <c r="JI295" s="5"/>
      <c r="JJ295" s="5"/>
      <c r="JK295" s="5"/>
      <c r="JM295" s="19"/>
      <c r="JN295" s="1">
        <v>293</v>
      </c>
      <c r="JO295" s="5">
        <f>HLOOKUP(JM295,HC$2:JK295,2+JN294,0)-IF(KE295&gt;0,KE295,0)</f>
        <v>0</v>
      </c>
      <c r="JP295" s="5"/>
      <c r="JQ295" s="5"/>
      <c r="JR295" s="5"/>
      <c r="JS295" s="6"/>
      <c r="JT295" s="23"/>
      <c r="JU295" s="13"/>
      <c r="JV295" s="6"/>
      <c r="JW295" s="6"/>
      <c r="JX295" s="6"/>
      <c r="JY295" s="6"/>
      <c r="JZ295" s="10"/>
      <c r="KA295" s="10"/>
      <c r="KB295" s="10"/>
      <c r="KC295" s="10"/>
      <c r="KD295" s="5"/>
      <c r="KE295" s="6"/>
    </row>
    <row r="296" spans="6:291" x14ac:dyDescent="0.3">
      <c r="F296" s="17"/>
      <c r="G296" s="9"/>
      <c r="H296" s="3"/>
      <c r="I296" s="3"/>
      <c r="J296" s="3"/>
      <c r="K296" s="3"/>
      <c r="L296" s="3"/>
      <c r="M296" s="3"/>
      <c r="N296" s="3"/>
      <c r="O296" s="3"/>
      <c r="P296" s="4"/>
      <c r="Q296" s="5"/>
      <c r="R296" s="5"/>
      <c r="S296" s="5"/>
      <c r="T296" s="6"/>
      <c r="U296" s="5"/>
      <c r="V296" s="6"/>
      <c r="W296" s="7"/>
      <c r="X296" s="8"/>
      <c r="Y296" s="6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6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C296" s="6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  <c r="JE296" s="5"/>
      <c r="JF296" s="5"/>
      <c r="JG296" s="5"/>
      <c r="JH296" s="5"/>
      <c r="JI296" s="5"/>
      <c r="JJ296" s="5"/>
      <c r="JK296" s="5"/>
      <c r="JM296" s="19"/>
      <c r="JN296" s="1">
        <v>294</v>
      </c>
      <c r="JO296" s="5">
        <f>HLOOKUP(JM296,HC$2:JK296,2+JN295,0)-IF(KE296&gt;0,KE296,0)</f>
        <v>0</v>
      </c>
      <c r="JP296" s="5"/>
      <c r="JQ296" s="5"/>
      <c r="JR296" s="5"/>
      <c r="JS296" s="6"/>
      <c r="JT296" s="23"/>
      <c r="JU296" s="13"/>
      <c r="JV296" s="6"/>
      <c r="JW296" s="6"/>
      <c r="JX296" s="6"/>
      <c r="JY296" s="6"/>
      <c r="JZ296" s="10"/>
      <c r="KA296" s="10"/>
      <c r="KB296" s="10"/>
      <c r="KC296" s="10"/>
      <c r="KD296" s="5"/>
      <c r="KE296" s="6"/>
    </row>
    <row r="297" spans="6:291" x14ac:dyDescent="0.3">
      <c r="F297" s="17"/>
      <c r="G297" s="9"/>
      <c r="H297" s="3"/>
      <c r="I297" s="3"/>
      <c r="J297" s="3"/>
      <c r="K297" s="3"/>
      <c r="L297" s="3"/>
      <c r="M297" s="3"/>
      <c r="N297" s="3"/>
      <c r="O297" s="3"/>
      <c r="P297" s="4"/>
      <c r="Q297" s="5"/>
      <c r="R297" s="5"/>
      <c r="S297" s="5"/>
      <c r="T297" s="6"/>
      <c r="U297" s="5"/>
      <c r="V297" s="6"/>
      <c r="W297" s="7"/>
      <c r="X297" s="8"/>
      <c r="Y297" s="6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6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C297" s="6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  <c r="JC297" s="5"/>
      <c r="JD297" s="5"/>
      <c r="JE297" s="5"/>
      <c r="JF297" s="5"/>
      <c r="JG297" s="5"/>
      <c r="JH297" s="5"/>
      <c r="JI297" s="5"/>
      <c r="JJ297" s="5"/>
      <c r="JK297" s="5"/>
      <c r="JM297" s="19"/>
      <c r="JN297" s="1">
        <v>295</v>
      </c>
      <c r="JO297" s="5">
        <f>HLOOKUP(JM297,HC$2:JK297,2+JN296,0)-IF(KE297&gt;0,KE297,0)</f>
        <v>0</v>
      </c>
      <c r="JP297" s="5"/>
      <c r="JQ297" s="5"/>
      <c r="JR297" s="5"/>
      <c r="JS297" s="6"/>
      <c r="JT297" s="23"/>
      <c r="JU297" s="13"/>
      <c r="JV297" s="6"/>
      <c r="JW297" s="6"/>
      <c r="JX297" s="6"/>
      <c r="JY297" s="6"/>
      <c r="JZ297" s="10"/>
      <c r="KA297" s="10"/>
      <c r="KB297" s="10"/>
      <c r="KC297" s="10"/>
      <c r="KD297" s="5"/>
      <c r="KE297" s="6"/>
    </row>
    <row r="298" spans="6:291" x14ac:dyDescent="0.3">
      <c r="F298" s="17"/>
      <c r="G298" s="9"/>
      <c r="H298" s="3"/>
      <c r="I298" s="3"/>
      <c r="J298" s="3"/>
      <c r="K298" s="3"/>
      <c r="L298" s="3"/>
      <c r="M298" s="3"/>
      <c r="N298" s="3"/>
      <c r="O298" s="3"/>
      <c r="P298" s="4"/>
      <c r="Q298" s="5"/>
      <c r="R298" s="5"/>
      <c r="S298" s="5"/>
      <c r="T298" s="6"/>
      <c r="U298" s="5"/>
      <c r="V298" s="6"/>
      <c r="W298" s="7"/>
      <c r="X298" s="8"/>
      <c r="Y298" s="6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6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C298" s="6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  <c r="JC298" s="5"/>
      <c r="JD298" s="5"/>
      <c r="JE298" s="5"/>
      <c r="JF298" s="5"/>
      <c r="JG298" s="5"/>
      <c r="JH298" s="5"/>
      <c r="JI298" s="5"/>
      <c r="JJ298" s="5"/>
      <c r="JK298" s="5"/>
      <c r="JM298" s="19"/>
      <c r="JN298" s="1">
        <v>296</v>
      </c>
      <c r="JO298" s="5">
        <f>HLOOKUP(JM298,HC$2:JK298,2+JN297,0)-IF(KE298&gt;0,KE298,0)</f>
        <v>0</v>
      </c>
      <c r="JP298" s="5"/>
      <c r="JQ298" s="5"/>
      <c r="JR298" s="5"/>
      <c r="JS298" s="6"/>
      <c r="JT298" s="23"/>
      <c r="JU298" s="13"/>
      <c r="JV298" s="6"/>
      <c r="JW298" s="6"/>
      <c r="JX298" s="6"/>
      <c r="JY298" s="6"/>
      <c r="JZ298" s="10"/>
      <c r="KA298" s="10"/>
      <c r="KB298" s="10"/>
      <c r="KC298" s="10"/>
      <c r="KD298" s="5"/>
      <c r="KE298" s="6"/>
    </row>
    <row r="299" spans="6:291" x14ac:dyDescent="0.3">
      <c r="F299" s="17"/>
      <c r="G299" s="9"/>
      <c r="H299" s="3"/>
      <c r="I299" s="3"/>
      <c r="J299" s="3"/>
      <c r="K299" s="3"/>
      <c r="L299" s="3"/>
      <c r="M299" s="3"/>
      <c r="N299" s="3"/>
      <c r="O299" s="3"/>
      <c r="P299" s="4"/>
      <c r="Q299" s="5"/>
      <c r="R299" s="5"/>
      <c r="S299" s="5"/>
      <c r="T299" s="6"/>
      <c r="U299" s="5"/>
      <c r="V299" s="6"/>
      <c r="W299" s="7"/>
      <c r="X299" s="8"/>
      <c r="Y299" s="6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6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C299" s="6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  <c r="JC299" s="5"/>
      <c r="JD299" s="5"/>
      <c r="JE299" s="5"/>
      <c r="JF299" s="5"/>
      <c r="JG299" s="5"/>
      <c r="JH299" s="5"/>
      <c r="JI299" s="5"/>
      <c r="JJ299" s="5"/>
      <c r="JK299" s="5"/>
      <c r="JM299" s="19"/>
      <c r="JN299" s="1">
        <v>297</v>
      </c>
      <c r="JO299" s="5">
        <f>HLOOKUP(JM299,HC$2:JK299,2+JN298,0)-IF(KE299&gt;0,KE299,0)</f>
        <v>0</v>
      </c>
      <c r="JP299" s="5"/>
      <c r="JQ299" s="5"/>
      <c r="JR299" s="5"/>
      <c r="JS299" s="6"/>
      <c r="JT299" s="23"/>
      <c r="JU299" s="13"/>
      <c r="JV299" s="6"/>
      <c r="JW299" s="6"/>
      <c r="JX299" s="6"/>
      <c r="JY299" s="6"/>
      <c r="JZ299" s="10"/>
      <c r="KA299" s="10"/>
      <c r="KB299" s="10"/>
      <c r="KC299" s="10"/>
      <c r="KD299" s="5"/>
      <c r="KE299" s="6"/>
    </row>
    <row r="300" spans="6:291" x14ac:dyDescent="0.3">
      <c r="F300" s="17"/>
      <c r="G300" s="9"/>
      <c r="H300" s="3"/>
      <c r="I300" s="3"/>
      <c r="J300" s="3"/>
      <c r="K300" s="3"/>
      <c r="L300" s="3"/>
      <c r="M300" s="3"/>
      <c r="N300" s="3"/>
      <c r="O300" s="3"/>
      <c r="P300" s="4"/>
      <c r="Q300" s="5"/>
      <c r="R300" s="5"/>
      <c r="S300" s="5"/>
      <c r="T300" s="6"/>
      <c r="U300" s="5"/>
      <c r="V300" s="6"/>
      <c r="W300" s="7"/>
      <c r="X300" s="8"/>
      <c r="Y300" s="6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6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C300" s="6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  <c r="JC300" s="5"/>
      <c r="JD300" s="5"/>
      <c r="JE300" s="5"/>
      <c r="JF300" s="5"/>
      <c r="JG300" s="5"/>
      <c r="JH300" s="5"/>
      <c r="JI300" s="5"/>
      <c r="JJ300" s="5"/>
      <c r="JK300" s="5"/>
      <c r="JM300" s="19"/>
      <c r="JN300" s="1">
        <v>298</v>
      </c>
      <c r="JO300" s="5">
        <f>HLOOKUP(JM300,HC$2:JK300,2+JN299,0)-IF(KE300&gt;0,KE300,0)</f>
        <v>0</v>
      </c>
      <c r="JP300" s="5"/>
      <c r="JQ300" s="5"/>
      <c r="JR300" s="5"/>
      <c r="JS300" s="6"/>
      <c r="JT300" s="23"/>
      <c r="JU300" s="13"/>
      <c r="JV300" s="6"/>
      <c r="JW300" s="6"/>
      <c r="JX300" s="6"/>
      <c r="JY300" s="6"/>
      <c r="JZ300" s="10"/>
      <c r="KA300" s="10"/>
      <c r="KB300" s="10"/>
      <c r="KC300" s="10"/>
      <c r="KD300" s="5"/>
      <c r="KE300" s="6"/>
    </row>
    <row r="301" spans="6:291" x14ac:dyDescent="0.3">
      <c r="F301" s="17"/>
      <c r="G301" s="9"/>
      <c r="H301" s="3"/>
      <c r="I301" s="3"/>
      <c r="J301" s="3"/>
      <c r="K301" s="3"/>
      <c r="L301" s="3"/>
      <c r="M301" s="3"/>
      <c r="N301" s="3"/>
      <c r="O301" s="3"/>
      <c r="P301" s="4"/>
      <c r="Q301" s="5"/>
      <c r="R301" s="5"/>
      <c r="S301" s="5"/>
      <c r="T301" s="6"/>
      <c r="U301" s="5"/>
      <c r="V301" s="6"/>
      <c r="W301" s="7"/>
      <c r="X301" s="8"/>
      <c r="Y301" s="6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6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C301" s="6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  <c r="JC301" s="5"/>
      <c r="JD301" s="5"/>
      <c r="JE301" s="5"/>
      <c r="JF301" s="5"/>
      <c r="JG301" s="5"/>
      <c r="JH301" s="5"/>
      <c r="JI301" s="5"/>
      <c r="JJ301" s="5"/>
      <c r="JK301" s="5"/>
      <c r="JM301" s="19"/>
      <c r="JN301" s="1">
        <v>299</v>
      </c>
      <c r="JO301" s="5">
        <f>HLOOKUP(JM301,HC$2:JK301,2+JN300,0)-IF(KE301&gt;0,KE301,0)</f>
        <v>0</v>
      </c>
      <c r="JP301" s="5"/>
      <c r="JQ301" s="5"/>
      <c r="JR301" s="5"/>
      <c r="JS301" s="6"/>
      <c r="JT301" s="23"/>
      <c r="JU301" s="13"/>
      <c r="JV301" s="6"/>
      <c r="JW301" s="6"/>
      <c r="JX301" s="6"/>
      <c r="JY301" s="6"/>
      <c r="JZ301" s="10"/>
      <c r="KA301" s="10"/>
      <c r="KB301" s="10"/>
      <c r="KC301" s="10"/>
      <c r="KD301" s="5"/>
      <c r="KE301" s="6"/>
    </row>
    <row r="302" spans="6:291" x14ac:dyDescent="0.3">
      <c r="F302" s="17"/>
      <c r="G302" s="9"/>
      <c r="H302" s="3"/>
      <c r="I302" s="3"/>
      <c r="J302" s="3"/>
      <c r="K302" s="3"/>
      <c r="L302" s="3"/>
      <c r="M302" s="3"/>
      <c r="N302" s="3"/>
      <c r="O302" s="3"/>
      <c r="P302" s="4"/>
      <c r="Q302" s="5"/>
      <c r="R302" s="5"/>
      <c r="S302" s="5"/>
      <c r="T302" s="6"/>
      <c r="U302" s="5"/>
      <c r="V302" s="6"/>
      <c r="W302" s="7"/>
      <c r="X302" s="8"/>
      <c r="Y302" s="6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6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C302" s="6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  <c r="JC302" s="5"/>
      <c r="JD302" s="5"/>
      <c r="JE302" s="5"/>
      <c r="JF302" s="5"/>
      <c r="JG302" s="5"/>
      <c r="JH302" s="5"/>
      <c r="JI302" s="5"/>
      <c r="JJ302" s="5"/>
      <c r="JK302" s="5"/>
      <c r="JM302" s="19"/>
      <c r="JN302" s="1">
        <v>300</v>
      </c>
      <c r="JO302" s="5">
        <f>HLOOKUP(JM302,HC$2:JK302,2+JN301,0)-IF(KE302&gt;0,KE302,0)</f>
        <v>0</v>
      </c>
      <c r="JP302" s="5"/>
      <c r="JQ302" s="5"/>
      <c r="JR302" s="5"/>
      <c r="JS302" s="6"/>
      <c r="JT302" s="23"/>
      <c r="JU302" s="13"/>
      <c r="JV302" s="6"/>
      <c r="JW302" s="6"/>
      <c r="JX302" s="6"/>
      <c r="JY302" s="6"/>
      <c r="JZ302" s="10"/>
      <c r="KA302" s="10"/>
      <c r="KB302" s="10"/>
      <c r="KC302" s="10"/>
      <c r="KD302" s="5"/>
      <c r="KE302" s="6"/>
    </row>
    <row r="303" spans="6:291" x14ac:dyDescent="0.3">
      <c r="F303" s="17"/>
      <c r="G303" s="9"/>
      <c r="H303" s="3"/>
      <c r="I303" s="3"/>
      <c r="J303" s="3"/>
      <c r="K303" s="3"/>
      <c r="L303" s="3"/>
      <c r="M303" s="3"/>
      <c r="N303" s="3"/>
      <c r="O303" s="3"/>
      <c r="P303" s="4"/>
      <c r="Q303" s="5"/>
      <c r="R303" s="5"/>
      <c r="S303" s="5"/>
      <c r="T303" s="6"/>
      <c r="U303" s="5"/>
      <c r="V303" s="6"/>
      <c r="W303" s="7"/>
      <c r="X303" s="8"/>
      <c r="Y303" s="6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6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C303" s="6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  <c r="JC303" s="5"/>
      <c r="JD303" s="5"/>
      <c r="JE303" s="5"/>
      <c r="JF303" s="5"/>
      <c r="JG303" s="5"/>
      <c r="JH303" s="5"/>
      <c r="JI303" s="5"/>
      <c r="JJ303" s="5"/>
      <c r="JK303" s="5"/>
      <c r="JM303" s="19"/>
      <c r="JN303" s="1">
        <v>301</v>
      </c>
      <c r="JO303" s="5">
        <f>HLOOKUP(JM303,HC$2:JK303,2+JN302,0)-IF(KE303&gt;0,KE303,0)</f>
        <v>0</v>
      </c>
      <c r="JP303" s="5"/>
      <c r="JQ303" s="5"/>
      <c r="JR303" s="5"/>
      <c r="JS303" s="6"/>
      <c r="JT303" s="23"/>
      <c r="JU303" s="13"/>
      <c r="JV303" s="6"/>
      <c r="JW303" s="6"/>
      <c r="JX303" s="6"/>
      <c r="JY303" s="6"/>
      <c r="JZ303" s="10"/>
      <c r="KA303" s="10"/>
      <c r="KB303" s="10"/>
      <c r="KC303" s="10"/>
      <c r="KD303" s="5"/>
      <c r="KE303" s="6"/>
    </row>
    <row r="304" spans="6:291" x14ac:dyDescent="0.3">
      <c r="F304" s="17"/>
      <c r="G304" s="9"/>
      <c r="H304" s="3"/>
      <c r="I304" s="3"/>
      <c r="J304" s="3"/>
      <c r="K304" s="3"/>
      <c r="L304" s="3"/>
      <c r="M304" s="3"/>
      <c r="N304" s="3"/>
      <c r="O304" s="3"/>
      <c r="P304" s="4"/>
      <c r="Q304" s="5"/>
      <c r="R304" s="5"/>
      <c r="S304" s="5"/>
      <c r="T304" s="6"/>
      <c r="U304" s="5"/>
      <c r="V304" s="6"/>
      <c r="W304" s="7"/>
      <c r="X304" s="8"/>
      <c r="Y304" s="6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6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C304" s="6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  <c r="JC304" s="5"/>
      <c r="JD304" s="5"/>
      <c r="JE304" s="5"/>
      <c r="JF304" s="5"/>
      <c r="JG304" s="5"/>
      <c r="JH304" s="5"/>
      <c r="JI304" s="5"/>
      <c r="JJ304" s="5"/>
      <c r="JK304" s="5"/>
      <c r="JM304" s="19"/>
      <c r="JN304" s="1">
        <v>302</v>
      </c>
      <c r="JO304" s="5">
        <f>HLOOKUP(JM304,HC$2:JK304,2+JN303,0)-IF(KE304&gt;0,KE304,0)</f>
        <v>0</v>
      </c>
      <c r="JP304" s="5"/>
      <c r="JQ304" s="5"/>
      <c r="JR304" s="5"/>
      <c r="JS304" s="6"/>
      <c r="JT304" s="23"/>
      <c r="JU304" s="13"/>
      <c r="JV304" s="6"/>
      <c r="JW304" s="6"/>
      <c r="JX304" s="6"/>
      <c r="JY304" s="6"/>
      <c r="JZ304" s="10"/>
      <c r="KA304" s="10"/>
      <c r="KB304" s="10"/>
      <c r="KC304" s="10"/>
      <c r="KD304" s="5"/>
      <c r="KE304" s="6"/>
    </row>
    <row r="305" spans="6:291" x14ac:dyDescent="0.3">
      <c r="F305" s="17"/>
      <c r="G305" s="9"/>
      <c r="H305" s="3"/>
      <c r="I305" s="3"/>
      <c r="J305" s="3"/>
      <c r="K305" s="3"/>
      <c r="L305" s="3"/>
      <c r="M305" s="3"/>
      <c r="N305" s="3"/>
      <c r="O305" s="3"/>
      <c r="P305" s="4"/>
      <c r="Q305" s="5"/>
      <c r="R305" s="5"/>
      <c r="S305" s="5"/>
      <c r="T305" s="6"/>
      <c r="U305" s="5"/>
      <c r="V305" s="6"/>
      <c r="W305" s="7"/>
      <c r="X305" s="8"/>
      <c r="Y305" s="6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6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C305" s="6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  <c r="JC305" s="5"/>
      <c r="JD305" s="5"/>
      <c r="JE305" s="5"/>
      <c r="JF305" s="5"/>
      <c r="JG305" s="5"/>
      <c r="JH305" s="5"/>
      <c r="JI305" s="5"/>
      <c r="JJ305" s="5"/>
      <c r="JK305" s="5"/>
      <c r="JM305" s="19"/>
      <c r="JN305" s="1">
        <v>303</v>
      </c>
      <c r="JO305" s="5">
        <f>HLOOKUP(JM305,HC$2:JK305,2+JN304,0)-IF(KE305&gt;0,KE305,0)</f>
        <v>0</v>
      </c>
      <c r="JP305" s="5"/>
      <c r="JQ305" s="5"/>
      <c r="JR305" s="5"/>
      <c r="JS305" s="6"/>
      <c r="JT305" s="23"/>
      <c r="JU305" s="13"/>
      <c r="JV305" s="6"/>
      <c r="JW305" s="6"/>
      <c r="JX305" s="6"/>
      <c r="JY305" s="6"/>
      <c r="JZ305" s="10"/>
      <c r="KA305" s="10"/>
      <c r="KB305" s="10"/>
      <c r="KC305" s="10"/>
      <c r="KD305" s="5"/>
      <c r="KE305" s="6"/>
    </row>
    <row r="306" spans="6:291" x14ac:dyDescent="0.3">
      <c r="F306" s="17"/>
      <c r="G306" s="9"/>
      <c r="H306" s="3"/>
      <c r="I306" s="3"/>
      <c r="J306" s="3"/>
      <c r="K306" s="3"/>
      <c r="L306" s="3"/>
      <c r="M306" s="3"/>
      <c r="N306" s="3"/>
      <c r="O306" s="3"/>
      <c r="P306" s="4"/>
      <c r="Q306" s="5"/>
      <c r="R306" s="5"/>
      <c r="S306" s="5"/>
      <c r="T306" s="6"/>
      <c r="U306" s="5"/>
      <c r="V306" s="6"/>
      <c r="W306" s="7"/>
      <c r="X306" s="8"/>
      <c r="Y306" s="6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6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C306" s="6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  <c r="JE306" s="5"/>
      <c r="JF306" s="5"/>
      <c r="JG306" s="5"/>
      <c r="JH306" s="5"/>
      <c r="JI306" s="5"/>
      <c r="JJ306" s="5"/>
      <c r="JK306" s="5"/>
      <c r="JM306" s="19"/>
      <c r="JN306" s="1">
        <v>304</v>
      </c>
      <c r="JO306" s="5">
        <f>HLOOKUP(JM306,HC$2:JK306,2+JN305,0)-IF(KE306&gt;0,KE306,0)</f>
        <v>0</v>
      </c>
      <c r="JP306" s="5"/>
      <c r="JQ306" s="5"/>
      <c r="JR306" s="5"/>
      <c r="JS306" s="6"/>
      <c r="JT306" s="23"/>
      <c r="JU306" s="13"/>
      <c r="JV306" s="6"/>
      <c r="JW306" s="6"/>
      <c r="JX306" s="6"/>
      <c r="JY306" s="6"/>
      <c r="JZ306" s="10"/>
      <c r="KA306" s="10"/>
      <c r="KB306" s="10"/>
      <c r="KC306" s="10"/>
      <c r="KD306" s="5"/>
      <c r="KE306" s="6"/>
    </row>
    <row r="307" spans="6:291" x14ac:dyDescent="0.3">
      <c r="F307" s="17"/>
      <c r="G307" s="9"/>
      <c r="H307" s="3"/>
      <c r="I307" s="3"/>
      <c r="J307" s="3"/>
      <c r="K307" s="3"/>
      <c r="L307" s="3"/>
      <c r="M307" s="3"/>
      <c r="N307" s="3"/>
      <c r="O307" s="3"/>
      <c r="P307" s="4"/>
      <c r="Q307" s="5"/>
      <c r="R307" s="5"/>
      <c r="S307" s="5"/>
      <c r="T307" s="6"/>
      <c r="U307" s="5"/>
      <c r="V307" s="6"/>
      <c r="W307" s="7"/>
      <c r="X307" s="8"/>
      <c r="Y307" s="6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6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C307" s="6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  <c r="JC307" s="5"/>
      <c r="JD307" s="5"/>
      <c r="JE307" s="5"/>
      <c r="JF307" s="5"/>
      <c r="JG307" s="5"/>
      <c r="JH307" s="5"/>
      <c r="JI307" s="5"/>
      <c r="JJ307" s="5"/>
      <c r="JK307" s="5"/>
      <c r="JM307" s="19"/>
      <c r="JN307" s="1">
        <v>305</v>
      </c>
      <c r="JO307" s="5">
        <f>HLOOKUP(JM307,HC$2:JK307,2+JN306,0)-IF(KE307&gt;0,KE307,0)</f>
        <v>0</v>
      </c>
      <c r="JP307" s="5"/>
      <c r="JQ307" s="5"/>
      <c r="JR307" s="5"/>
      <c r="JS307" s="6"/>
      <c r="JT307" s="23"/>
      <c r="JU307" s="13"/>
      <c r="JV307" s="6"/>
      <c r="JW307" s="6"/>
      <c r="JX307" s="6"/>
      <c r="JY307" s="6"/>
      <c r="JZ307" s="10"/>
      <c r="KA307" s="10"/>
      <c r="KB307" s="10"/>
      <c r="KC307" s="10"/>
      <c r="KD307" s="5"/>
      <c r="KE307" s="6"/>
    </row>
    <row r="308" spans="6:291" x14ac:dyDescent="0.3">
      <c r="F308" s="17"/>
      <c r="G308" s="9"/>
      <c r="H308" s="3"/>
      <c r="I308" s="3"/>
      <c r="J308" s="3"/>
      <c r="K308" s="3"/>
      <c r="L308" s="3"/>
      <c r="M308" s="3"/>
      <c r="N308" s="3"/>
      <c r="O308" s="3"/>
      <c r="P308" s="4"/>
      <c r="Q308" s="5"/>
      <c r="R308" s="5"/>
      <c r="S308" s="5"/>
      <c r="T308" s="6"/>
      <c r="U308" s="5"/>
      <c r="V308" s="6"/>
      <c r="W308" s="7"/>
      <c r="X308" s="8"/>
      <c r="Y308" s="6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6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C308" s="6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  <c r="JC308" s="5"/>
      <c r="JD308" s="5"/>
      <c r="JE308" s="5"/>
      <c r="JF308" s="5"/>
      <c r="JG308" s="5"/>
      <c r="JH308" s="5"/>
      <c r="JI308" s="5"/>
      <c r="JJ308" s="5"/>
      <c r="JK308" s="5"/>
      <c r="JM308" s="19"/>
      <c r="JN308" s="1">
        <v>306</v>
      </c>
      <c r="JO308" s="5">
        <f>HLOOKUP(JM308,HC$2:JK308,2+JN307,0)-IF(KE308&gt;0,KE308,0)</f>
        <v>0</v>
      </c>
      <c r="JP308" s="5"/>
      <c r="JQ308" s="5"/>
      <c r="JR308" s="5"/>
      <c r="JS308" s="6"/>
      <c r="JT308" s="23"/>
      <c r="JU308" s="13"/>
      <c r="JV308" s="6"/>
      <c r="JW308" s="6"/>
      <c r="JX308" s="6"/>
      <c r="JY308" s="6"/>
      <c r="JZ308" s="10"/>
      <c r="KA308" s="10"/>
      <c r="KB308" s="10"/>
      <c r="KC308" s="10"/>
      <c r="KD308" s="5"/>
      <c r="KE308" s="6"/>
    </row>
    <row r="309" spans="6:291" x14ac:dyDescent="0.3">
      <c r="F309" s="17"/>
      <c r="G309" s="9"/>
      <c r="H309" s="3"/>
      <c r="I309" s="3"/>
      <c r="J309" s="3"/>
      <c r="K309" s="3"/>
      <c r="L309" s="3"/>
      <c r="M309" s="3"/>
      <c r="N309" s="3"/>
      <c r="O309" s="3"/>
      <c r="P309" s="4"/>
      <c r="Q309" s="5"/>
      <c r="R309" s="5"/>
      <c r="S309" s="5"/>
      <c r="T309" s="6"/>
      <c r="U309" s="5"/>
      <c r="V309" s="6"/>
      <c r="W309" s="7"/>
      <c r="X309" s="8"/>
      <c r="Y309" s="6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6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C309" s="6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  <c r="JC309" s="5"/>
      <c r="JD309" s="5"/>
      <c r="JE309" s="5"/>
      <c r="JF309" s="5"/>
      <c r="JG309" s="5"/>
      <c r="JH309" s="5"/>
      <c r="JI309" s="5"/>
      <c r="JJ309" s="5"/>
      <c r="JK309" s="5"/>
      <c r="JM309" s="19"/>
      <c r="JN309" s="1">
        <v>307</v>
      </c>
      <c r="JO309" s="5">
        <f>HLOOKUP(JM309,HC$2:JK309,2+JN308,0)-IF(KE309&gt;0,KE309,0)</f>
        <v>0</v>
      </c>
      <c r="JP309" s="5"/>
      <c r="JQ309" s="5"/>
      <c r="JR309" s="5"/>
      <c r="JS309" s="6"/>
      <c r="JT309" s="23"/>
      <c r="JU309" s="13"/>
      <c r="JV309" s="6"/>
      <c r="JW309" s="6"/>
      <c r="JX309" s="6"/>
      <c r="JY309" s="6"/>
      <c r="JZ309" s="10"/>
      <c r="KA309" s="10"/>
      <c r="KB309" s="10"/>
      <c r="KC309" s="10"/>
      <c r="KD309" s="5"/>
      <c r="KE309" s="6"/>
    </row>
    <row r="310" spans="6:291" x14ac:dyDescent="0.3">
      <c r="F310" s="17"/>
      <c r="G310" s="9"/>
      <c r="H310" s="3"/>
      <c r="I310" s="3"/>
      <c r="J310" s="3"/>
      <c r="K310" s="3"/>
      <c r="L310" s="3"/>
      <c r="M310" s="3"/>
      <c r="N310" s="3"/>
      <c r="O310" s="3"/>
      <c r="P310" s="4"/>
      <c r="Q310" s="5"/>
      <c r="R310" s="5"/>
      <c r="S310" s="5"/>
      <c r="T310" s="6"/>
      <c r="U310" s="5"/>
      <c r="V310" s="6"/>
      <c r="W310" s="7"/>
      <c r="X310" s="8"/>
      <c r="Y310" s="6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6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C310" s="6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  <c r="JC310" s="5"/>
      <c r="JD310" s="5"/>
      <c r="JE310" s="5"/>
      <c r="JF310" s="5"/>
      <c r="JG310" s="5"/>
      <c r="JH310" s="5"/>
      <c r="JI310" s="5"/>
      <c r="JJ310" s="5"/>
      <c r="JK310" s="5"/>
      <c r="JM310" s="19"/>
      <c r="JN310" s="1">
        <v>308</v>
      </c>
      <c r="JO310" s="5">
        <f>HLOOKUP(JM310,HC$2:JK310,2+JN309,0)-IF(KE310&gt;0,KE310,0)</f>
        <v>0</v>
      </c>
      <c r="JP310" s="5"/>
      <c r="JQ310" s="5"/>
      <c r="JR310" s="5"/>
      <c r="JS310" s="6"/>
      <c r="JT310" s="23"/>
      <c r="JU310" s="13"/>
      <c r="JV310" s="6"/>
      <c r="JW310" s="6"/>
      <c r="JX310" s="6"/>
      <c r="JY310" s="6"/>
      <c r="JZ310" s="10"/>
      <c r="KA310" s="10"/>
      <c r="KB310" s="10"/>
      <c r="KC310" s="10"/>
      <c r="KD310" s="5"/>
      <c r="KE310" s="6"/>
    </row>
    <row r="311" spans="6:291" x14ac:dyDescent="0.3">
      <c r="F311" s="17"/>
      <c r="G311" s="9"/>
      <c r="H311" s="3"/>
      <c r="I311" s="3"/>
      <c r="J311" s="3"/>
      <c r="K311" s="3"/>
      <c r="L311" s="3"/>
      <c r="M311" s="3"/>
      <c r="N311" s="3"/>
      <c r="O311" s="3"/>
      <c r="P311" s="4"/>
      <c r="Q311" s="5"/>
      <c r="R311" s="5"/>
      <c r="S311" s="5"/>
      <c r="T311" s="6"/>
      <c r="U311" s="5"/>
      <c r="V311" s="6"/>
      <c r="W311" s="7"/>
      <c r="X311" s="8"/>
      <c r="Y311" s="6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6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C311" s="6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  <c r="JC311" s="5"/>
      <c r="JD311" s="5"/>
      <c r="JE311" s="5"/>
      <c r="JF311" s="5"/>
      <c r="JG311" s="5"/>
      <c r="JH311" s="5"/>
      <c r="JI311" s="5"/>
      <c r="JJ311" s="5"/>
      <c r="JK311" s="5"/>
      <c r="JM311" s="19"/>
      <c r="JN311" s="1">
        <v>309</v>
      </c>
      <c r="JO311" s="5">
        <f>HLOOKUP(JM311,HC$2:JK311,2+JN310,0)-IF(KE311&gt;0,KE311,0)</f>
        <v>0</v>
      </c>
      <c r="JP311" s="5"/>
      <c r="JQ311" s="5"/>
      <c r="JR311" s="5"/>
      <c r="JS311" s="6"/>
      <c r="JT311" s="23"/>
      <c r="JU311" s="13"/>
      <c r="JV311" s="6"/>
      <c r="JW311" s="6"/>
      <c r="JX311" s="6"/>
      <c r="JY311" s="6"/>
      <c r="JZ311" s="10"/>
      <c r="KA311" s="10"/>
      <c r="KB311" s="10"/>
      <c r="KC311" s="10"/>
      <c r="KD311" s="5"/>
      <c r="KE311" s="6"/>
    </row>
    <row r="312" spans="6:291" x14ac:dyDescent="0.3">
      <c r="F312" s="17"/>
      <c r="G312" s="9"/>
      <c r="H312" s="3"/>
      <c r="I312" s="3"/>
      <c r="J312" s="3"/>
      <c r="K312" s="3"/>
      <c r="L312" s="3"/>
      <c r="M312" s="3"/>
      <c r="N312" s="3"/>
      <c r="O312" s="3"/>
      <c r="P312" s="4"/>
      <c r="Q312" s="5"/>
      <c r="R312" s="5"/>
      <c r="S312" s="5"/>
      <c r="T312" s="6"/>
      <c r="U312" s="5"/>
      <c r="V312" s="6"/>
      <c r="W312" s="7"/>
      <c r="X312" s="8"/>
      <c r="Y312" s="6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6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C312" s="6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  <c r="JC312" s="5"/>
      <c r="JD312" s="5"/>
      <c r="JE312" s="5"/>
      <c r="JF312" s="5"/>
      <c r="JG312" s="5"/>
      <c r="JH312" s="5"/>
      <c r="JI312" s="5"/>
      <c r="JJ312" s="5"/>
      <c r="JK312" s="5"/>
      <c r="JM312" s="19"/>
      <c r="JN312" s="1">
        <v>310</v>
      </c>
      <c r="JO312" s="5">
        <f>HLOOKUP(JM312,HC$2:JK312,2+JN311,0)-IF(KE312&gt;0,KE312,0)</f>
        <v>0</v>
      </c>
      <c r="JP312" s="5"/>
      <c r="JQ312" s="5"/>
      <c r="JR312" s="5"/>
      <c r="JS312" s="6"/>
      <c r="JT312" s="23"/>
      <c r="JU312" s="13"/>
      <c r="JV312" s="6"/>
      <c r="JW312" s="6"/>
      <c r="JX312" s="6"/>
      <c r="JY312" s="6"/>
      <c r="JZ312" s="10"/>
      <c r="KA312" s="10"/>
      <c r="KB312" s="10"/>
      <c r="KC312" s="10"/>
      <c r="KD312" s="5"/>
      <c r="KE312" s="6"/>
    </row>
    <row r="313" spans="6:291" x14ac:dyDescent="0.3">
      <c r="F313" s="17"/>
      <c r="G313" s="9"/>
      <c r="H313" s="3"/>
      <c r="I313" s="3"/>
      <c r="J313" s="3"/>
      <c r="K313" s="3"/>
      <c r="L313" s="3"/>
      <c r="M313" s="3"/>
      <c r="N313" s="3"/>
      <c r="O313" s="3"/>
      <c r="P313" s="4"/>
      <c r="Q313" s="5"/>
      <c r="R313" s="5"/>
      <c r="S313" s="5"/>
      <c r="T313" s="6"/>
      <c r="U313" s="5"/>
      <c r="V313" s="6"/>
      <c r="W313" s="7"/>
      <c r="X313" s="8"/>
      <c r="Y313" s="6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6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C313" s="6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  <c r="JC313" s="5"/>
      <c r="JD313" s="5"/>
      <c r="JE313" s="5"/>
      <c r="JF313" s="5"/>
      <c r="JG313" s="5"/>
      <c r="JH313" s="5"/>
      <c r="JI313" s="5"/>
      <c r="JJ313" s="5"/>
      <c r="JK313" s="5"/>
      <c r="JM313" s="19"/>
      <c r="JN313" s="1">
        <v>311</v>
      </c>
      <c r="JO313" s="5">
        <f>HLOOKUP(JM313,HC$2:JK313,2+JN312,0)-IF(KE313&gt;0,KE313,0)</f>
        <v>0</v>
      </c>
      <c r="JP313" s="5"/>
      <c r="JQ313" s="5"/>
      <c r="JR313" s="5"/>
      <c r="JS313" s="6"/>
      <c r="JT313" s="23"/>
      <c r="JU313" s="13"/>
      <c r="JV313" s="6"/>
      <c r="JW313" s="6"/>
      <c r="JX313" s="6"/>
      <c r="JY313" s="6"/>
      <c r="JZ313" s="10"/>
      <c r="KA313" s="10"/>
      <c r="KB313" s="10"/>
      <c r="KC313" s="10"/>
      <c r="KD313" s="5"/>
      <c r="KE313" s="6"/>
    </row>
    <row r="314" spans="6:291" x14ac:dyDescent="0.3">
      <c r="F314" s="17"/>
      <c r="G314" s="9"/>
      <c r="H314" s="3"/>
      <c r="I314" s="3"/>
      <c r="J314" s="3"/>
      <c r="K314" s="3"/>
      <c r="L314" s="3"/>
      <c r="M314" s="3"/>
      <c r="N314" s="3"/>
      <c r="O314" s="3"/>
      <c r="P314" s="4"/>
      <c r="Q314" s="5"/>
      <c r="R314" s="5"/>
      <c r="S314" s="5"/>
      <c r="T314" s="6"/>
      <c r="U314" s="5"/>
      <c r="V314" s="6"/>
      <c r="W314" s="7"/>
      <c r="X314" s="8"/>
      <c r="Y314" s="6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6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C314" s="6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  <c r="JC314" s="5"/>
      <c r="JD314" s="5"/>
      <c r="JE314" s="5"/>
      <c r="JF314" s="5"/>
      <c r="JG314" s="5"/>
      <c r="JH314" s="5"/>
      <c r="JI314" s="5"/>
      <c r="JJ314" s="5"/>
      <c r="JK314" s="5"/>
      <c r="JM314" s="19"/>
      <c r="JN314" s="1">
        <v>312</v>
      </c>
      <c r="JO314" s="5">
        <f>HLOOKUP(JM314,HC$2:JK314,2+JN313,0)-IF(KE314&gt;0,KE314,0)</f>
        <v>0</v>
      </c>
      <c r="JP314" s="5"/>
      <c r="JQ314" s="5"/>
      <c r="JR314" s="5"/>
      <c r="JS314" s="6"/>
      <c r="JT314" s="23"/>
      <c r="JU314" s="13"/>
      <c r="JV314" s="6"/>
      <c r="JW314" s="6"/>
      <c r="JX314" s="6"/>
      <c r="JY314" s="6"/>
      <c r="JZ314" s="10"/>
      <c r="KA314" s="10"/>
      <c r="KB314" s="10"/>
      <c r="KC314" s="10"/>
      <c r="KD314" s="5"/>
      <c r="KE314" s="6"/>
    </row>
    <row r="315" spans="6:291" x14ac:dyDescent="0.3">
      <c r="F315" s="17"/>
      <c r="G315" s="9"/>
      <c r="H315" s="3"/>
      <c r="I315" s="3"/>
      <c r="J315" s="3"/>
      <c r="K315" s="3"/>
      <c r="L315" s="3"/>
      <c r="M315" s="3"/>
      <c r="N315" s="3"/>
      <c r="O315" s="3"/>
      <c r="P315" s="4"/>
      <c r="Q315" s="5"/>
      <c r="R315" s="5"/>
      <c r="S315" s="5"/>
      <c r="T315" s="6"/>
      <c r="U315" s="5"/>
      <c r="V315" s="6"/>
      <c r="W315" s="7"/>
      <c r="X315" s="8"/>
      <c r="Y315" s="6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6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C315" s="6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  <c r="JC315" s="5"/>
      <c r="JD315" s="5"/>
      <c r="JE315" s="5"/>
      <c r="JF315" s="5"/>
      <c r="JG315" s="5"/>
      <c r="JH315" s="5"/>
      <c r="JI315" s="5"/>
      <c r="JJ315" s="5"/>
      <c r="JK315" s="5"/>
      <c r="JM315" s="19"/>
      <c r="JN315" s="1">
        <v>313</v>
      </c>
      <c r="JO315" s="5">
        <f>HLOOKUP(JM315,HC$2:JK315,2+JN314,0)-IF(KE315&gt;0,KE315,0)</f>
        <v>0</v>
      </c>
      <c r="JP315" s="5"/>
      <c r="JQ315" s="5"/>
      <c r="JR315" s="5"/>
      <c r="JS315" s="6"/>
      <c r="JT315" s="23"/>
      <c r="JU315" s="13"/>
      <c r="JV315" s="6"/>
      <c r="JW315" s="6"/>
      <c r="JX315" s="6"/>
      <c r="JY315" s="6"/>
      <c r="JZ315" s="10"/>
      <c r="KA315" s="10"/>
      <c r="KB315" s="10"/>
      <c r="KC315" s="10"/>
      <c r="KD315" s="5"/>
      <c r="KE315" s="6"/>
    </row>
    <row r="316" spans="6:291" x14ac:dyDescent="0.3">
      <c r="F316" s="17"/>
      <c r="G316" s="9"/>
      <c r="H316" s="3"/>
      <c r="I316" s="3"/>
      <c r="J316" s="3"/>
      <c r="K316" s="3"/>
      <c r="L316" s="3"/>
      <c r="M316" s="3"/>
      <c r="N316" s="3"/>
      <c r="O316" s="3"/>
      <c r="P316" s="4"/>
      <c r="Q316" s="5"/>
      <c r="R316" s="5"/>
      <c r="S316" s="5"/>
      <c r="T316" s="6"/>
      <c r="U316" s="5"/>
      <c r="V316" s="6"/>
      <c r="W316" s="7"/>
      <c r="X316" s="8"/>
      <c r="Y316" s="6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6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C316" s="6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  <c r="JC316" s="5"/>
      <c r="JD316" s="5"/>
      <c r="JE316" s="5"/>
      <c r="JF316" s="5"/>
      <c r="JG316" s="5"/>
      <c r="JH316" s="5"/>
      <c r="JI316" s="5"/>
      <c r="JJ316" s="5"/>
      <c r="JK316" s="5"/>
      <c r="JM316" s="19"/>
      <c r="JN316" s="1">
        <v>314</v>
      </c>
      <c r="JO316" s="5">
        <f>HLOOKUP(JM316,HC$2:JK316,2+JN315,0)-IF(KE316&gt;0,KE316,0)</f>
        <v>0</v>
      </c>
      <c r="JP316" s="5"/>
      <c r="JQ316" s="5"/>
      <c r="JR316" s="5"/>
      <c r="JS316" s="6"/>
      <c r="JT316" s="23"/>
      <c r="JU316" s="13"/>
      <c r="JV316" s="6"/>
      <c r="JW316" s="6"/>
      <c r="JX316" s="6"/>
      <c r="JY316" s="6"/>
      <c r="JZ316" s="10"/>
      <c r="KA316" s="10"/>
      <c r="KB316" s="10"/>
      <c r="KC316" s="10"/>
      <c r="KD316" s="5"/>
      <c r="KE316" s="6"/>
    </row>
    <row r="317" spans="6:291" x14ac:dyDescent="0.3">
      <c r="F317" s="17"/>
      <c r="G317" s="9"/>
      <c r="H317" s="3"/>
      <c r="I317" s="3"/>
      <c r="J317" s="3"/>
      <c r="K317" s="3"/>
      <c r="L317" s="3"/>
      <c r="M317" s="3"/>
      <c r="N317" s="3"/>
      <c r="O317" s="3"/>
      <c r="P317" s="4"/>
      <c r="Q317" s="5"/>
      <c r="R317" s="5"/>
      <c r="S317" s="5"/>
      <c r="T317" s="6"/>
      <c r="U317" s="5"/>
      <c r="V317" s="6"/>
      <c r="W317" s="7"/>
      <c r="X317" s="8"/>
      <c r="Y317" s="6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6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C317" s="6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  <c r="JC317" s="5"/>
      <c r="JD317" s="5"/>
      <c r="JE317" s="5"/>
      <c r="JF317" s="5"/>
      <c r="JG317" s="5"/>
      <c r="JH317" s="5"/>
      <c r="JI317" s="5"/>
      <c r="JJ317" s="5"/>
      <c r="JK317" s="5"/>
      <c r="JM317" s="19"/>
      <c r="JN317" s="1">
        <v>315</v>
      </c>
      <c r="JO317" s="5">
        <f>HLOOKUP(JM317,HC$2:JK317,2+JN316,0)-IF(KE317&gt;0,KE317,0)</f>
        <v>0</v>
      </c>
      <c r="JP317" s="5"/>
      <c r="JQ317" s="5"/>
      <c r="JR317" s="5"/>
      <c r="JS317" s="6"/>
      <c r="JT317" s="23"/>
      <c r="JU317" s="13"/>
      <c r="JV317" s="6"/>
      <c r="JW317" s="6"/>
      <c r="JX317" s="6"/>
      <c r="JY317" s="6"/>
      <c r="JZ317" s="10"/>
      <c r="KA317" s="10"/>
      <c r="KB317" s="10"/>
      <c r="KC317" s="10"/>
      <c r="KD317" s="5"/>
      <c r="KE317" s="6"/>
    </row>
    <row r="318" spans="6:291" x14ac:dyDescent="0.3">
      <c r="F318" s="17"/>
      <c r="G318" s="9"/>
      <c r="H318" s="3"/>
      <c r="I318" s="3"/>
      <c r="J318" s="3"/>
      <c r="K318" s="3"/>
      <c r="L318" s="3"/>
      <c r="M318" s="3"/>
      <c r="N318" s="3"/>
      <c r="O318" s="3"/>
      <c r="P318" s="4"/>
      <c r="Q318" s="5"/>
      <c r="R318" s="5"/>
      <c r="S318" s="5"/>
      <c r="T318" s="6"/>
      <c r="U318" s="5"/>
      <c r="V318" s="6"/>
      <c r="W318" s="7"/>
      <c r="X318" s="8"/>
      <c r="Y318" s="6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6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C318" s="6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  <c r="JC318" s="5"/>
      <c r="JD318" s="5"/>
      <c r="JE318" s="5"/>
      <c r="JF318" s="5"/>
      <c r="JG318" s="5"/>
      <c r="JH318" s="5"/>
      <c r="JI318" s="5"/>
      <c r="JJ318" s="5"/>
      <c r="JK318" s="5"/>
      <c r="JM318" s="19"/>
      <c r="JN318" s="1">
        <v>316</v>
      </c>
      <c r="JO318" s="5">
        <f>HLOOKUP(JM318,HC$2:JK318,2+JN317,0)-IF(KE318&gt;0,KE318,0)</f>
        <v>0</v>
      </c>
      <c r="JP318" s="5"/>
      <c r="JQ318" s="5"/>
      <c r="JR318" s="5"/>
      <c r="JS318" s="6"/>
      <c r="JT318" s="23"/>
      <c r="JU318" s="13"/>
      <c r="JV318" s="6"/>
      <c r="JW318" s="6"/>
      <c r="JX318" s="6"/>
      <c r="JY318" s="6"/>
      <c r="JZ318" s="10"/>
      <c r="KA318" s="10"/>
      <c r="KB318" s="10"/>
      <c r="KC318" s="10"/>
      <c r="KD318" s="5"/>
      <c r="KE318" s="6"/>
    </row>
    <row r="319" spans="6:291" x14ac:dyDescent="0.3">
      <c r="F319" s="17"/>
      <c r="G319" s="9"/>
      <c r="H319" s="3"/>
      <c r="I319" s="3"/>
      <c r="J319" s="3"/>
      <c r="K319" s="3"/>
      <c r="L319" s="3"/>
      <c r="M319" s="3"/>
      <c r="N319" s="3"/>
      <c r="O319" s="3"/>
      <c r="P319" s="4"/>
      <c r="Q319" s="5"/>
      <c r="R319" s="5"/>
      <c r="S319" s="5"/>
      <c r="T319" s="6"/>
      <c r="U319" s="5"/>
      <c r="V319" s="6"/>
      <c r="W319" s="7"/>
      <c r="X319" s="8"/>
      <c r="Y319" s="6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6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C319" s="6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  <c r="JC319" s="5"/>
      <c r="JD319" s="5"/>
      <c r="JE319" s="5"/>
      <c r="JF319" s="5"/>
      <c r="JG319" s="5"/>
      <c r="JH319" s="5"/>
      <c r="JI319" s="5"/>
      <c r="JJ319" s="5"/>
      <c r="JK319" s="5"/>
      <c r="JM319" s="19"/>
      <c r="JN319" s="1">
        <v>317</v>
      </c>
      <c r="JO319" s="5">
        <f>HLOOKUP(JM319,HC$2:JK319,2+JN318,0)-IF(KE319&gt;0,KE319,0)</f>
        <v>0</v>
      </c>
      <c r="JP319" s="5"/>
      <c r="JQ319" s="5"/>
      <c r="JR319" s="5"/>
      <c r="JS319" s="6"/>
      <c r="JT319" s="23"/>
      <c r="JU319" s="13"/>
      <c r="JV319" s="6"/>
      <c r="JW319" s="6"/>
      <c r="JX319" s="6"/>
      <c r="JY319" s="6"/>
      <c r="JZ319" s="10"/>
      <c r="KA319" s="10"/>
      <c r="KB319" s="10"/>
      <c r="KC319" s="10"/>
      <c r="KD319" s="5"/>
      <c r="KE319" s="6"/>
    </row>
    <row r="320" spans="6:291" x14ac:dyDescent="0.3">
      <c r="F320" s="17"/>
      <c r="G320" s="9"/>
      <c r="H320" s="3"/>
      <c r="I320" s="3"/>
      <c r="J320" s="3"/>
      <c r="K320" s="3"/>
      <c r="L320" s="3"/>
      <c r="M320" s="3"/>
      <c r="N320" s="3"/>
      <c r="O320" s="3"/>
      <c r="P320" s="4"/>
      <c r="Q320" s="5"/>
      <c r="R320" s="5"/>
      <c r="S320" s="5"/>
      <c r="T320" s="6"/>
      <c r="U320" s="5"/>
      <c r="V320" s="6"/>
      <c r="W320" s="7"/>
      <c r="X320" s="8"/>
      <c r="Y320" s="6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6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C320" s="6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  <c r="JC320" s="5"/>
      <c r="JD320" s="5"/>
      <c r="JE320" s="5"/>
      <c r="JF320" s="5"/>
      <c r="JG320" s="5"/>
      <c r="JH320" s="5"/>
      <c r="JI320" s="5"/>
      <c r="JJ320" s="5"/>
      <c r="JK320" s="5"/>
      <c r="JM320" s="19"/>
      <c r="JN320" s="1">
        <v>318</v>
      </c>
      <c r="JO320" s="5">
        <f>HLOOKUP(JM320,HC$2:JK320,2+JN319,0)-IF(KE320&gt;0,KE320,0)</f>
        <v>0</v>
      </c>
      <c r="JP320" s="5"/>
      <c r="JQ320" s="5"/>
      <c r="JR320" s="5"/>
      <c r="JS320" s="6"/>
      <c r="JT320" s="23"/>
      <c r="JU320" s="13"/>
      <c r="JV320" s="6"/>
      <c r="JW320" s="6"/>
      <c r="JX320" s="6"/>
      <c r="JY320" s="6"/>
      <c r="JZ320" s="10"/>
      <c r="KA320" s="10"/>
      <c r="KB320" s="10"/>
      <c r="KC320" s="10"/>
      <c r="KD320" s="5"/>
      <c r="KE320" s="6"/>
    </row>
    <row r="321" spans="6:291" x14ac:dyDescent="0.3">
      <c r="F321" s="17"/>
      <c r="G321" s="9"/>
      <c r="H321" s="3"/>
      <c r="I321" s="3"/>
      <c r="J321" s="3"/>
      <c r="K321" s="3"/>
      <c r="L321" s="3"/>
      <c r="M321" s="3"/>
      <c r="N321" s="3"/>
      <c r="O321" s="3"/>
      <c r="P321" s="4"/>
      <c r="Q321" s="5"/>
      <c r="R321" s="5"/>
      <c r="S321" s="5"/>
      <c r="T321" s="6"/>
      <c r="U321" s="5"/>
      <c r="V321" s="6"/>
      <c r="W321" s="7"/>
      <c r="X321" s="8"/>
      <c r="Y321" s="6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6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C321" s="6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  <c r="JC321" s="5"/>
      <c r="JD321" s="5"/>
      <c r="JE321" s="5"/>
      <c r="JF321" s="5"/>
      <c r="JG321" s="5"/>
      <c r="JH321" s="5"/>
      <c r="JI321" s="5"/>
      <c r="JJ321" s="5"/>
      <c r="JK321" s="5"/>
      <c r="JM321" s="19"/>
      <c r="JN321" s="1">
        <v>319</v>
      </c>
      <c r="JO321" s="5">
        <f>HLOOKUP(JM321,HC$2:JK321,2+JN320,0)-IF(KE321&gt;0,KE321,0)</f>
        <v>0</v>
      </c>
      <c r="JP321" s="5"/>
      <c r="JQ321" s="5"/>
      <c r="JR321" s="5"/>
      <c r="JS321" s="6"/>
      <c r="JT321" s="23"/>
      <c r="JU321" s="13"/>
      <c r="JV321" s="6"/>
      <c r="JW321" s="6"/>
      <c r="JX321" s="6"/>
      <c r="JY321" s="6"/>
      <c r="JZ321" s="10"/>
      <c r="KA321" s="10"/>
      <c r="KB321" s="10"/>
      <c r="KC321" s="10"/>
      <c r="KD321" s="5"/>
      <c r="KE321" s="6"/>
    </row>
    <row r="322" spans="6:291" x14ac:dyDescent="0.3">
      <c r="F322" s="17"/>
      <c r="G322" s="9"/>
      <c r="H322" s="3"/>
      <c r="I322" s="3"/>
      <c r="J322" s="3"/>
      <c r="K322" s="3"/>
      <c r="L322" s="3"/>
      <c r="M322" s="3"/>
      <c r="N322" s="3"/>
      <c r="O322" s="3"/>
      <c r="P322" s="4"/>
      <c r="Q322" s="5"/>
      <c r="R322" s="5"/>
      <c r="S322" s="5"/>
      <c r="T322" s="6"/>
      <c r="U322" s="5"/>
      <c r="V322" s="6"/>
      <c r="W322" s="7"/>
      <c r="X322" s="8"/>
      <c r="Y322" s="6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6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C322" s="6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  <c r="JC322" s="5"/>
      <c r="JD322" s="5"/>
      <c r="JE322" s="5"/>
      <c r="JF322" s="5"/>
      <c r="JG322" s="5"/>
      <c r="JH322" s="5"/>
      <c r="JI322" s="5"/>
      <c r="JJ322" s="5"/>
      <c r="JK322" s="5"/>
      <c r="JM322" s="19"/>
      <c r="JN322" s="1">
        <v>320</v>
      </c>
      <c r="JO322" s="5">
        <f>HLOOKUP(JM322,HC$2:JK322,2+JN321,0)-IF(KE322&gt;0,KE322,0)</f>
        <v>0</v>
      </c>
      <c r="JP322" s="5"/>
      <c r="JQ322" s="5"/>
      <c r="JR322" s="5"/>
      <c r="JS322" s="6"/>
      <c r="JT322" s="23"/>
      <c r="JU322" s="13"/>
      <c r="JV322" s="6"/>
      <c r="JW322" s="6"/>
      <c r="JX322" s="6"/>
      <c r="JY322" s="6"/>
      <c r="JZ322" s="10"/>
      <c r="KA322" s="10"/>
      <c r="KB322" s="10"/>
      <c r="KC322" s="10"/>
      <c r="KD322" s="5"/>
      <c r="KE322" s="6"/>
    </row>
    <row r="323" spans="6:291" x14ac:dyDescent="0.3">
      <c r="F323" s="17"/>
      <c r="G323" s="9"/>
      <c r="H323" s="3"/>
      <c r="I323" s="3"/>
      <c r="J323" s="3"/>
      <c r="K323" s="3"/>
      <c r="L323" s="3"/>
      <c r="M323" s="3"/>
      <c r="N323" s="3"/>
      <c r="O323" s="3"/>
      <c r="P323" s="4"/>
      <c r="Q323" s="5"/>
      <c r="R323" s="5"/>
      <c r="S323" s="5"/>
      <c r="T323" s="6"/>
      <c r="U323" s="5"/>
      <c r="V323" s="6"/>
      <c r="W323" s="7"/>
      <c r="X323" s="8"/>
      <c r="Y323" s="6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6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C323" s="6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  <c r="JC323" s="5"/>
      <c r="JD323" s="5"/>
      <c r="JE323" s="5"/>
      <c r="JF323" s="5"/>
      <c r="JG323" s="5"/>
      <c r="JH323" s="5"/>
      <c r="JI323" s="5"/>
      <c r="JJ323" s="5"/>
      <c r="JK323" s="5"/>
      <c r="JM323" s="19"/>
      <c r="JN323" s="1">
        <v>321</v>
      </c>
      <c r="JO323" s="5">
        <f>HLOOKUP(JM323,HC$2:JK323,2+JN322,0)-IF(KE323&gt;0,KE323,0)</f>
        <v>0</v>
      </c>
      <c r="JP323" s="5"/>
      <c r="JQ323" s="5"/>
      <c r="JR323" s="5"/>
      <c r="JS323" s="6"/>
      <c r="JT323" s="23"/>
      <c r="JU323" s="13"/>
      <c r="JV323" s="6"/>
      <c r="JW323" s="6"/>
      <c r="JX323" s="6"/>
      <c r="JY323" s="6"/>
      <c r="JZ323" s="10"/>
      <c r="KA323" s="10"/>
      <c r="KB323" s="10"/>
      <c r="KC323" s="10"/>
      <c r="KD323" s="5"/>
      <c r="KE323" s="6"/>
    </row>
    <row r="324" spans="6:291" x14ac:dyDescent="0.3">
      <c r="F324" s="17"/>
      <c r="G324" s="9"/>
      <c r="H324" s="3"/>
      <c r="I324" s="3"/>
      <c r="J324" s="3"/>
      <c r="K324" s="3"/>
      <c r="L324" s="3"/>
      <c r="M324" s="3"/>
      <c r="N324" s="3"/>
      <c r="O324" s="3"/>
      <c r="P324" s="4"/>
      <c r="Q324" s="5"/>
      <c r="R324" s="5"/>
      <c r="S324" s="5"/>
      <c r="T324" s="6"/>
      <c r="U324" s="5"/>
      <c r="V324" s="6"/>
      <c r="W324" s="7"/>
      <c r="X324" s="8"/>
      <c r="Y324" s="6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6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C324" s="6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  <c r="JC324" s="5"/>
      <c r="JD324" s="5"/>
      <c r="JE324" s="5"/>
      <c r="JF324" s="5"/>
      <c r="JG324" s="5"/>
      <c r="JH324" s="5"/>
      <c r="JI324" s="5"/>
      <c r="JJ324" s="5"/>
      <c r="JK324" s="5"/>
      <c r="JM324" s="19"/>
      <c r="JN324" s="1">
        <v>322</v>
      </c>
      <c r="JO324" s="5">
        <f>HLOOKUP(JM324,HC$2:JK324,2+JN323,0)-IF(KE324&gt;0,KE324,0)</f>
        <v>0</v>
      </c>
      <c r="JP324" s="5"/>
      <c r="JQ324" s="5"/>
      <c r="JR324" s="5"/>
      <c r="JS324" s="6"/>
      <c r="JT324" s="23"/>
      <c r="JU324" s="13"/>
      <c r="JV324" s="6"/>
      <c r="JW324" s="6"/>
      <c r="JX324" s="6"/>
      <c r="JY324" s="6"/>
      <c r="JZ324" s="10"/>
      <c r="KA324" s="10"/>
      <c r="KB324" s="10"/>
      <c r="KC324" s="10"/>
      <c r="KD324" s="5"/>
      <c r="KE324" s="6"/>
    </row>
    <row r="325" spans="6:291" x14ac:dyDescent="0.3">
      <c r="F325" s="17"/>
      <c r="G325" s="9"/>
      <c r="H325" s="3"/>
      <c r="I325" s="3"/>
      <c r="J325" s="3"/>
      <c r="K325" s="3"/>
      <c r="L325" s="3"/>
      <c r="M325" s="3"/>
      <c r="N325" s="3"/>
      <c r="O325" s="3"/>
      <c r="P325" s="4"/>
      <c r="Q325" s="5"/>
      <c r="R325" s="5"/>
      <c r="S325" s="5"/>
      <c r="T325" s="6"/>
      <c r="U325" s="5"/>
      <c r="V325" s="6"/>
      <c r="W325" s="7"/>
      <c r="X325" s="8"/>
      <c r="Y325" s="6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6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C325" s="6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  <c r="JC325" s="5"/>
      <c r="JD325" s="5"/>
      <c r="JE325" s="5"/>
      <c r="JF325" s="5"/>
      <c r="JG325" s="5"/>
      <c r="JH325" s="5"/>
      <c r="JI325" s="5"/>
      <c r="JJ325" s="5"/>
      <c r="JK325" s="5"/>
      <c r="JM325" s="19"/>
      <c r="JN325" s="1">
        <v>323</v>
      </c>
      <c r="JO325" s="5">
        <f>HLOOKUP(JM325,HC$2:JK325,2+JN324,0)-IF(KE325&gt;0,KE325,0)</f>
        <v>0</v>
      </c>
      <c r="JP325" s="5"/>
      <c r="JQ325" s="5"/>
      <c r="JR325" s="5"/>
      <c r="JS325" s="6"/>
      <c r="JT325" s="23"/>
      <c r="JU325" s="13"/>
      <c r="JV325" s="6"/>
      <c r="JW325" s="6"/>
      <c r="JX325" s="6"/>
      <c r="JY325" s="6"/>
      <c r="JZ325" s="10"/>
      <c r="KA325" s="10"/>
      <c r="KB325" s="10"/>
      <c r="KC325" s="10"/>
      <c r="KD325" s="5"/>
      <c r="KE325" s="6"/>
    </row>
    <row r="326" spans="6:291" x14ac:dyDescent="0.3">
      <c r="F326" s="17"/>
      <c r="G326" s="9"/>
      <c r="H326" s="3"/>
      <c r="I326" s="3"/>
      <c r="J326" s="3"/>
      <c r="K326" s="3"/>
      <c r="L326" s="3"/>
      <c r="M326" s="3"/>
      <c r="N326" s="3"/>
      <c r="O326" s="3"/>
      <c r="P326" s="4"/>
      <c r="Q326" s="5"/>
      <c r="R326" s="5"/>
      <c r="S326" s="5"/>
      <c r="T326" s="6"/>
      <c r="U326" s="5"/>
      <c r="V326" s="6"/>
      <c r="W326" s="7"/>
      <c r="X326" s="8"/>
      <c r="Y326" s="6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6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C326" s="6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  <c r="JC326" s="5"/>
      <c r="JD326" s="5"/>
      <c r="JE326" s="5"/>
      <c r="JF326" s="5"/>
      <c r="JG326" s="5"/>
      <c r="JH326" s="5"/>
      <c r="JI326" s="5"/>
      <c r="JJ326" s="5"/>
      <c r="JK326" s="5"/>
      <c r="JM326" s="19"/>
      <c r="JN326" s="1">
        <v>324</v>
      </c>
      <c r="JO326" s="5">
        <f>HLOOKUP(JM326,HC$2:JK326,2+JN325,0)-IF(KE326&gt;0,KE326,0)</f>
        <v>0</v>
      </c>
      <c r="JP326" s="5"/>
      <c r="JQ326" s="5"/>
      <c r="JR326" s="5"/>
      <c r="JS326" s="6"/>
      <c r="JT326" s="23"/>
      <c r="JU326" s="13"/>
      <c r="JV326" s="6"/>
      <c r="JW326" s="6"/>
      <c r="JX326" s="6"/>
      <c r="JY326" s="6"/>
      <c r="JZ326" s="10"/>
      <c r="KA326" s="10"/>
      <c r="KB326" s="10"/>
      <c r="KC326" s="10"/>
      <c r="KD326" s="5"/>
      <c r="KE326" s="6"/>
    </row>
    <row r="327" spans="6:291" x14ac:dyDescent="0.3">
      <c r="F327" s="17"/>
      <c r="G327" s="9"/>
      <c r="H327" s="3"/>
      <c r="I327" s="3"/>
      <c r="J327" s="3"/>
      <c r="K327" s="3"/>
      <c r="L327" s="3"/>
      <c r="M327" s="3"/>
      <c r="N327" s="3"/>
      <c r="O327" s="3"/>
      <c r="P327" s="4"/>
      <c r="Q327" s="5"/>
      <c r="R327" s="5"/>
      <c r="S327" s="5"/>
      <c r="T327" s="6"/>
      <c r="U327" s="5"/>
      <c r="V327" s="6"/>
      <c r="W327" s="7"/>
      <c r="X327" s="8"/>
      <c r="Y327" s="6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6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C327" s="6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  <c r="JC327" s="5"/>
      <c r="JD327" s="5"/>
      <c r="JE327" s="5"/>
      <c r="JF327" s="5"/>
      <c r="JG327" s="5"/>
      <c r="JH327" s="5"/>
      <c r="JI327" s="5"/>
      <c r="JJ327" s="5"/>
      <c r="JK327" s="5"/>
      <c r="JM327" s="19"/>
      <c r="JN327" s="1">
        <v>325</v>
      </c>
      <c r="JO327" s="5">
        <f>HLOOKUP(JM327,HC$2:JK327,2+JN326,0)-IF(KE327&gt;0,KE327,0)</f>
        <v>0</v>
      </c>
      <c r="JP327" s="5"/>
      <c r="JQ327" s="5"/>
      <c r="JR327" s="5"/>
      <c r="JS327" s="6"/>
      <c r="JT327" s="23"/>
      <c r="JU327" s="13"/>
      <c r="JV327" s="6"/>
      <c r="JW327" s="6"/>
      <c r="JX327" s="6"/>
      <c r="JY327" s="6"/>
      <c r="JZ327" s="10"/>
      <c r="KA327" s="10"/>
      <c r="KB327" s="10"/>
      <c r="KC327" s="10"/>
      <c r="KD327" s="5"/>
      <c r="KE327" s="6"/>
    </row>
    <row r="328" spans="6:291" x14ac:dyDescent="0.3">
      <c r="F328" s="17"/>
      <c r="G328" s="9"/>
      <c r="H328" s="3"/>
      <c r="I328" s="3"/>
      <c r="J328" s="3"/>
      <c r="K328" s="3"/>
      <c r="L328" s="3"/>
      <c r="M328" s="3"/>
      <c r="N328" s="3"/>
      <c r="O328" s="3"/>
      <c r="P328" s="4"/>
      <c r="Q328" s="5"/>
      <c r="R328" s="5"/>
      <c r="S328" s="5"/>
      <c r="T328" s="6"/>
      <c r="U328" s="5"/>
      <c r="V328" s="6"/>
      <c r="W328" s="7"/>
      <c r="X328" s="8"/>
      <c r="Y328" s="6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6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C328" s="6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  <c r="JC328" s="5"/>
      <c r="JD328" s="5"/>
      <c r="JE328" s="5"/>
      <c r="JF328" s="5"/>
      <c r="JG328" s="5"/>
      <c r="JH328" s="5"/>
      <c r="JI328" s="5"/>
      <c r="JJ328" s="5"/>
      <c r="JK328" s="5"/>
      <c r="JM328" s="19"/>
      <c r="JN328" s="1">
        <v>326</v>
      </c>
      <c r="JO328" s="5">
        <f>HLOOKUP(JM328,HC$2:JK328,2+JN327,0)-IF(KE328&gt;0,KE328,0)</f>
        <v>0</v>
      </c>
      <c r="JP328" s="5"/>
      <c r="JQ328" s="5"/>
      <c r="JR328" s="5"/>
      <c r="JS328" s="6"/>
      <c r="JT328" s="23"/>
      <c r="JU328" s="13"/>
      <c r="JV328" s="6"/>
      <c r="JW328" s="6"/>
      <c r="JX328" s="6"/>
      <c r="JY328" s="6"/>
      <c r="JZ328" s="10"/>
      <c r="KA328" s="10"/>
      <c r="KB328" s="10"/>
      <c r="KC328" s="10"/>
      <c r="KD328" s="5"/>
      <c r="KE328" s="6"/>
    </row>
    <row r="329" spans="6:291" x14ac:dyDescent="0.3">
      <c r="F329" s="17"/>
      <c r="G329" s="9"/>
      <c r="H329" s="3"/>
      <c r="I329" s="3"/>
      <c r="J329" s="3"/>
      <c r="K329" s="3"/>
      <c r="L329" s="3"/>
      <c r="M329" s="3"/>
      <c r="N329" s="3"/>
      <c r="O329" s="3"/>
      <c r="P329" s="4"/>
      <c r="Q329" s="5"/>
      <c r="R329" s="5"/>
      <c r="S329" s="5"/>
      <c r="T329" s="6"/>
      <c r="U329" s="5"/>
      <c r="V329" s="6"/>
      <c r="W329" s="7"/>
      <c r="X329" s="8"/>
      <c r="Y329" s="6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6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C329" s="6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  <c r="JC329" s="5"/>
      <c r="JD329" s="5"/>
      <c r="JE329" s="5"/>
      <c r="JF329" s="5"/>
      <c r="JG329" s="5"/>
      <c r="JH329" s="5"/>
      <c r="JI329" s="5"/>
      <c r="JJ329" s="5"/>
      <c r="JK329" s="5"/>
      <c r="JM329" s="19"/>
      <c r="JN329" s="1">
        <v>327</v>
      </c>
      <c r="JO329" s="5">
        <f>HLOOKUP(JM329,HC$2:JK329,2+JN328,0)-IF(KE329&gt;0,KE329,0)</f>
        <v>0</v>
      </c>
      <c r="JP329" s="5"/>
      <c r="JQ329" s="5"/>
      <c r="JR329" s="5"/>
      <c r="JS329" s="6"/>
      <c r="JT329" s="23"/>
      <c r="JU329" s="13"/>
      <c r="JV329" s="6"/>
      <c r="JW329" s="6"/>
      <c r="JX329" s="6"/>
      <c r="JY329" s="6"/>
      <c r="JZ329" s="10"/>
      <c r="KA329" s="10"/>
      <c r="KB329" s="10"/>
      <c r="KC329" s="10"/>
      <c r="KD329" s="5"/>
      <c r="KE329" s="6"/>
    </row>
    <row r="330" spans="6:291" x14ac:dyDescent="0.3">
      <c r="F330" s="17"/>
      <c r="G330" s="9"/>
      <c r="H330" s="3"/>
      <c r="I330" s="3"/>
      <c r="J330" s="3"/>
      <c r="K330" s="3"/>
      <c r="L330" s="3"/>
      <c r="M330" s="3"/>
      <c r="N330" s="3"/>
      <c r="O330" s="3"/>
      <c r="P330" s="4"/>
      <c r="Q330" s="5"/>
      <c r="R330" s="5"/>
      <c r="S330" s="5"/>
      <c r="T330" s="6"/>
      <c r="U330" s="5"/>
      <c r="V330" s="6"/>
      <c r="W330" s="7"/>
      <c r="X330" s="8"/>
      <c r="Y330" s="6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6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C330" s="6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  <c r="JC330" s="5"/>
      <c r="JD330" s="5"/>
      <c r="JE330" s="5"/>
      <c r="JF330" s="5"/>
      <c r="JG330" s="5"/>
      <c r="JH330" s="5"/>
      <c r="JI330" s="5"/>
      <c r="JJ330" s="5"/>
      <c r="JK330" s="5"/>
      <c r="JM330" s="19"/>
      <c r="JN330" s="1">
        <v>328</v>
      </c>
      <c r="JO330" s="5">
        <f>HLOOKUP(JM330,HC$2:JK330,2+JN329,0)-IF(KE330&gt;0,KE330,0)</f>
        <v>0</v>
      </c>
      <c r="JP330" s="5"/>
      <c r="JQ330" s="5"/>
      <c r="JR330" s="5"/>
      <c r="JS330" s="6"/>
      <c r="JT330" s="23"/>
      <c r="JU330" s="13"/>
      <c r="JV330" s="6"/>
      <c r="JW330" s="6"/>
      <c r="JX330" s="6"/>
      <c r="JY330" s="6"/>
      <c r="JZ330" s="10"/>
      <c r="KA330" s="10"/>
      <c r="KB330" s="10"/>
      <c r="KC330" s="10"/>
      <c r="KD330" s="5"/>
      <c r="KE330" s="6"/>
    </row>
    <row r="331" spans="6:291" x14ac:dyDescent="0.3">
      <c r="F331" s="17"/>
      <c r="G331" s="9"/>
      <c r="H331" s="3"/>
      <c r="I331" s="3"/>
      <c r="J331" s="3"/>
      <c r="K331" s="3"/>
      <c r="L331" s="3"/>
      <c r="M331" s="3"/>
      <c r="N331" s="3"/>
      <c r="O331" s="3"/>
      <c r="P331" s="4"/>
      <c r="Q331" s="5"/>
      <c r="R331" s="5"/>
      <c r="S331" s="5"/>
      <c r="T331" s="6"/>
      <c r="U331" s="5"/>
      <c r="V331" s="6"/>
      <c r="W331" s="7"/>
      <c r="X331" s="8"/>
      <c r="Y331" s="6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6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C331" s="6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  <c r="JC331" s="5"/>
      <c r="JD331" s="5"/>
      <c r="JE331" s="5"/>
      <c r="JF331" s="5"/>
      <c r="JG331" s="5"/>
      <c r="JH331" s="5"/>
      <c r="JI331" s="5"/>
      <c r="JJ331" s="5"/>
      <c r="JK331" s="5"/>
      <c r="JM331" s="19"/>
      <c r="JN331" s="1">
        <v>329</v>
      </c>
      <c r="JO331" s="5">
        <f>HLOOKUP(JM331,HC$2:JK331,2+JN330,0)-IF(KE331&gt;0,KE331,0)</f>
        <v>0</v>
      </c>
      <c r="JP331" s="5"/>
      <c r="JQ331" s="5"/>
      <c r="JR331" s="5"/>
      <c r="JS331" s="6"/>
      <c r="JT331" s="23"/>
      <c r="JU331" s="13"/>
      <c r="JV331" s="6"/>
      <c r="JW331" s="6"/>
      <c r="JX331" s="6"/>
      <c r="JY331" s="6"/>
      <c r="JZ331" s="10"/>
      <c r="KA331" s="10"/>
      <c r="KB331" s="10"/>
      <c r="KC331" s="10"/>
      <c r="KD331" s="5"/>
      <c r="KE331" s="6"/>
    </row>
    <row r="332" spans="6:291" x14ac:dyDescent="0.3">
      <c r="F332" s="17"/>
      <c r="G332" s="9"/>
      <c r="H332" s="3"/>
      <c r="I332" s="3"/>
      <c r="J332" s="3"/>
      <c r="K332" s="3"/>
      <c r="L332" s="3"/>
      <c r="M332" s="3"/>
      <c r="N332" s="3"/>
      <c r="O332" s="3"/>
      <c r="P332" s="4"/>
      <c r="Q332" s="5"/>
      <c r="R332" s="5"/>
      <c r="S332" s="5"/>
      <c r="T332" s="6"/>
      <c r="U332" s="5"/>
      <c r="V332" s="6"/>
      <c r="W332" s="7"/>
      <c r="X332" s="8"/>
      <c r="Y332" s="6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6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C332" s="6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  <c r="JC332" s="5"/>
      <c r="JD332" s="5"/>
      <c r="JE332" s="5"/>
      <c r="JF332" s="5"/>
      <c r="JG332" s="5"/>
      <c r="JH332" s="5"/>
      <c r="JI332" s="5"/>
      <c r="JJ332" s="5"/>
      <c r="JK332" s="5"/>
      <c r="JM332" s="19"/>
      <c r="JN332" s="1">
        <v>330</v>
      </c>
      <c r="JO332" s="5">
        <f>HLOOKUP(JM332,HC$2:JK332,2+JN331,0)-IF(KE332&gt;0,KE332,0)</f>
        <v>0</v>
      </c>
      <c r="JP332" s="5"/>
      <c r="JQ332" s="5"/>
      <c r="JR332" s="5"/>
      <c r="JS332" s="6"/>
      <c r="JT332" s="23"/>
      <c r="JU332" s="13"/>
      <c r="JV332" s="6"/>
      <c r="JW332" s="6"/>
      <c r="JX332" s="6"/>
      <c r="JY332" s="6"/>
      <c r="JZ332" s="10"/>
      <c r="KA332" s="10"/>
      <c r="KB332" s="10"/>
      <c r="KC332" s="10"/>
      <c r="KD332" s="5"/>
      <c r="KE332" s="6"/>
    </row>
    <row r="333" spans="6:291" x14ac:dyDescent="0.3">
      <c r="F333" s="17"/>
      <c r="G333" s="9"/>
      <c r="H333" s="3"/>
      <c r="I333" s="3"/>
      <c r="J333" s="3"/>
      <c r="K333" s="3"/>
      <c r="L333" s="3"/>
      <c r="M333" s="3"/>
      <c r="N333" s="3"/>
      <c r="O333" s="3"/>
      <c r="P333" s="4"/>
      <c r="Q333" s="5"/>
      <c r="R333" s="5"/>
      <c r="S333" s="5"/>
      <c r="T333" s="6"/>
      <c r="U333" s="5"/>
      <c r="V333" s="6"/>
      <c r="W333" s="7"/>
      <c r="X333" s="8"/>
      <c r="Y333" s="6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6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C333" s="6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  <c r="JC333" s="5"/>
      <c r="JD333" s="5"/>
      <c r="JE333" s="5"/>
      <c r="JF333" s="5"/>
      <c r="JG333" s="5"/>
      <c r="JH333" s="5"/>
      <c r="JI333" s="5"/>
      <c r="JJ333" s="5"/>
      <c r="JK333" s="5"/>
      <c r="JM333" s="19"/>
      <c r="JN333" s="1">
        <v>331</v>
      </c>
      <c r="JO333" s="5">
        <f>HLOOKUP(JM333,HC$2:JK333,2+JN332,0)-IF(KE333&gt;0,KE333,0)</f>
        <v>0</v>
      </c>
      <c r="JP333" s="5"/>
      <c r="JQ333" s="5"/>
      <c r="JR333" s="5"/>
      <c r="JS333" s="6"/>
      <c r="JT333" s="23"/>
      <c r="JU333" s="13"/>
      <c r="JV333" s="6"/>
      <c r="JW333" s="6"/>
      <c r="JX333" s="6"/>
      <c r="JY333" s="6"/>
      <c r="JZ333" s="10"/>
      <c r="KA333" s="10"/>
      <c r="KB333" s="10"/>
      <c r="KC333" s="10"/>
      <c r="KD333" s="5"/>
      <c r="KE333" s="6"/>
    </row>
    <row r="334" spans="6:291" x14ac:dyDescent="0.3">
      <c r="F334" s="17"/>
      <c r="G334" s="9"/>
      <c r="H334" s="3"/>
      <c r="I334" s="3"/>
      <c r="J334" s="3"/>
      <c r="K334" s="3"/>
      <c r="L334" s="3"/>
      <c r="M334" s="3"/>
      <c r="N334" s="3"/>
      <c r="O334" s="3"/>
      <c r="P334" s="4"/>
      <c r="Q334" s="5"/>
      <c r="R334" s="5"/>
      <c r="S334" s="5"/>
      <c r="T334" s="6"/>
      <c r="U334" s="5"/>
      <c r="V334" s="6"/>
      <c r="W334" s="7"/>
      <c r="X334" s="8"/>
      <c r="Y334" s="6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6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C334" s="6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  <c r="JC334" s="5"/>
      <c r="JD334" s="5"/>
      <c r="JE334" s="5"/>
      <c r="JF334" s="5"/>
      <c r="JG334" s="5"/>
      <c r="JH334" s="5"/>
      <c r="JI334" s="5"/>
      <c r="JJ334" s="5"/>
      <c r="JK334" s="5"/>
      <c r="JM334" s="19"/>
      <c r="JN334" s="1">
        <v>332</v>
      </c>
      <c r="JO334" s="5">
        <f>HLOOKUP(JM334,HC$2:JK334,2+JN333,0)-IF(KE334&gt;0,KE334,0)</f>
        <v>0</v>
      </c>
      <c r="JP334" s="5"/>
      <c r="JQ334" s="5"/>
      <c r="JR334" s="5"/>
      <c r="JS334" s="6"/>
      <c r="JT334" s="23"/>
      <c r="JU334" s="13"/>
      <c r="JV334" s="6"/>
      <c r="JW334" s="6"/>
      <c r="JX334" s="6"/>
      <c r="JY334" s="6"/>
      <c r="JZ334" s="10"/>
      <c r="KA334" s="10"/>
      <c r="KB334" s="10"/>
      <c r="KC334" s="10"/>
      <c r="KD334" s="5"/>
      <c r="KE334" s="6"/>
    </row>
    <row r="335" spans="6:291" x14ac:dyDescent="0.3">
      <c r="F335" s="17"/>
      <c r="G335" s="9"/>
      <c r="H335" s="3"/>
      <c r="I335" s="3"/>
      <c r="J335" s="3"/>
      <c r="K335" s="3"/>
      <c r="L335" s="3"/>
      <c r="M335" s="3"/>
      <c r="N335" s="3"/>
      <c r="O335" s="3"/>
      <c r="P335" s="4"/>
      <c r="Q335" s="5"/>
      <c r="R335" s="5"/>
      <c r="S335" s="5"/>
      <c r="T335" s="6"/>
      <c r="U335" s="5"/>
      <c r="V335" s="6"/>
      <c r="W335" s="7"/>
      <c r="X335" s="8"/>
      <c r="Y335" s="6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6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C335" s="6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  <c r="JC335" s="5"/>
      <c r="JD335" s="5"/>
      <c r="JE335" s="5"/>
      <c r="JF335" s="5"/>
      <c r="JG335" s="5"/>
      <c r="JH335" s="5"/>
      <c r="JI335" s="5"/>
      <c r="JJ335" s="5"/>
      <c r="JK335" s="5"/>
      <c r="JM335" s="19"/>
      <c r="JN335" s="1">
        <v>333</v>
      </c>
      <c r="JO335" s="5">
        <f>HLOOKUP(JM335,HC$2:JK335,2+JN334,0)-IF(KE335&gt;0,KE335,0)</f>
        <v>0</v>
      </c>
      <c r="JP335" s="5"/>
      <c r="JQ335" s="5"/>
      <c r="JR335" s="5"/>
      <c r="JS335" s="6"/>
      <c r="JT335" s="23"/>
      <c r="JU335" s="13"/>
      <c r="JV335" s="6"/>
      <c r="JW335" s="6"/>
      <c r="JX335" s="6"/>
      <c r="JY335" s="6"/>
      <c r="JZ335" s="10"/>
      <c r="KA335" s="10"/>
      <c r="KB335" s="10"/>
      <c r="KC335" s="10"/>
      <c r="KD335" s="5"/>
      <c r="KE335" s="6"/>
    </row>
    <row r="336" spans="6:291" x14ac:dyDescent="0.3">
      <c r="F336" s="17"/>
      <c r="G336" s="9"/>
      <c r="H336" s="3"/>
      <c r="I336" s="3"/>
      <c r="J336" s="3"/>
      <c r="K336" s="3"/>
      <c r="L336" s="3"/>
      <c r="M336" s="3"/>
      <c r="N336" s="3"/>
      <c r="O336" s="3"/>
      <c r="P336" s="4"/>
      <c r="Q336" s="5"/>
      <c r="R336" s="5"/>
      <c r="S336" s="5"/>
      <c r="T336" s="6"/>
      <c r="U336" s="5"/>
      <c r="V336" s="6"/>
      <c r="W336" s="7"/>
      <c r="X336" s="8"/>
      <c r="Y336" s="6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6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C336" s="6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  <c r="JC336" s="5"/>
      <c r="JD336" s="5"/>
      <c r="JE336" s="5"/>
      <c r="JF336" s="5"/>
      <c r="JG336" s="5"/>
      <c r="JH336" s="5"/>
      <c r="JI336" s="5"/>
      <c r="JJ336" s="5"/>
      <c r="JK336" s="5"/>
      <c r="JM336" s="19"/>
      <c r="JN336" s="1">
        <v>334</v>
      </c>
      <c r="JO336" s="5">
        <f>HLOOKUP(JM336,HC$2:JK336,2+JN335,0)-IF(KE336&gt;0,KE336,0)</f>
        <v>0</v>
      </c>
      <c r="JP336" s="5"/>
      <c r="JQ336" s="5"/>
      <c r="JR336" s="5"/>
      <c r="JS336" s="6"/>
      <c r="JT336" s="23"/>
      <c r="JU336" s="13"/>
      <c r="JV336" s="6"/>
      <c r="JW336" s="6"/>
      <c r="JX336" s="6"/>
      <c r="JY336" s="6"/>
      <c r="JZ336" s="10"/>
      <c r="KA336" s="10"/>
      <c r="KB336" s="10"/>
      <c r="KC336" s="10"/>
      <c r="KD336" s="5"/>
      <c r="KE336" s="6"/>
    </row>
    <row r="337" spans="6:291" x14ac:dyDescent="0.3">
      <c r="F337" s="17"/>
      <c r="G337" s="9"/>
      <c r="H337" s="3"/>
      <c r="I337" s="3"/>
      <c r="J337" s="3"/>
      <c r="K337" s="3"/>
      <c r="L337" s="3"/>
      <c r="M337" s="3"/>
      <c r="N337" s="3"/>
      <c r="O337" s="3"/>
      <c r="P337" s="4"/>
      <c r="Q337" s="5"/>
      <c r="R337" s="5"/>
      <c r="S337" s="5"/>
      <c r="T337" s="6"/>
      <c r="U337" s="5"/>
      <c r="V337" s="6"/>
      <c r="W337" s="7"/>
      <c r="X337" s="8"/>
      <c r="Y337" s="6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6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C337" s="6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  <c r="JC337" s="5"/>
      <c r="JD337" s="5"/>
      <c r="JE337" s="5"/>
      <c r="JF337" s="5"/>
      <c r="JG337" s="5"/>
      <c r="JH337" s="5"/>
      <c r="JI337" s="5"/>
      <c r="JJ337" s="5"/>
      <c r="JK337" s="5"/>
      <c r="JM337" s="19"/>
      <c r="JN337" s="1">
        <v>335</v>
      </c>
      <c r="JO337" s="5">
        <f>HLOOKUP(JM337,HC$2:JK337,2+JN336,0)-IF(KE337&gt;0,KE337,0)</f>
        <v>0</v>
      </c>
      <c r="JP337" s="5"/>
      <c r="JQ337" s="5"/>
      <c r="JR337" s="5"/>
      <c r="JS337" s="6"/>
      <c r="JT337" s="23"/>
      <c r="JU337" s="13"/>
      <c r="JV337" s="6"/>
      <c r="JW337" s="6"/>
      <c r="JX337" s="6"/>
      <c r="JY337" s="6"/>
      <c r="JZ337" s="10"/>
      <c r="KA337" s="10"/>
      <c r="KB337" s="10"/>
      <c r="KC337" s="10"/>
      <c r="KD337" s="5"/>
      <c r="KE337" s="6"/>
    </row>
    <row r="338" spans="6:291" x14ac:dyDescent="0.3">
      <c r="F338" s="17"/>
      <c r="G338" s="9"/>
      <c r="H338" s="3"/>
      <c r="I338" s="3"/>
      <c r="J338" s="3"/>
      <c r="K338" s="3"/>
      <c r="L338" s="3"/>
      <c r="M338" s="3"/>
      <c r="N338" s="3"/>
      <c r="O338" s="3"/>
      <c r="P338" s="4"/>
      <c r="Q338" s="5"/>
      <c r="R338" s="5"/>
      <c r="S338" s="5"/>
      <c r="T338" s="6"/>
      <c r="U338" s="5"/>
      <c r="V338" s="6"/>
      <c r="W338" s="7"/>
      <c r="X338" s="8"/>
      <c r="Y338" s="6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6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C338" s="6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  <c r="JC338" s="5"/>
      <c r="JD338" s="5"/>
      <c r="JE338" s="5"/>
      <c r="JF338" s="5"/>
      <c r="JG338" s="5"/>
      <c r="JH338" s="5"/>
      <c r="JI338" s="5"/>
      <c r="JJ338" s="5"/>
      <c r="JK338" s="5"/>
      <c r="JM338" s="19"/>
      <c r="JN338" s="1">
        <v>336</v>
      </c>
      <c r="JO338" s="5">
        <f>HLOOKUP(JM338,HC$2:JK338,2+JN337,0)-IF(KE338&gt;0,KE338,0)</f>
        <v>0</v>
      </c>
      <c r="JP338" s="5"/>
      <c r="JQ338" s="5"/>
      <c r="JR338" s="5"/>
      <c r="JS338" s="6"/>
      <c r="JT338" s="23"/>
      <c r="JU338" s="13"/>
      <c r="JV338" s="6"/>
      <c r="JW338" s="6"/>
      <c r="JX338" s="6"/>
      <c r="JY338" s="6"/>
      <c r="JZ338" s="10"/>
      <c r="KA338" s="10"/>
      <c r="KB338" s="10"/>
      <c r="KC338" s="10"/>
      <c r="KD338" s="5"/>
      <c r="KE338" s="6"/>
    </row>
    <row r="339" spans="6:291" x14ac:dyDescent="0.3">
      <c r="F339" s="17"/>
      <c r="G339" s="9"/>
      <c r="H339" s="3"/>
      <c r="I339" s="3"/>
      <c r="J339" s="3"/>
      <c r="K339" s="3"/>
      <c r="L339" s="3"/>
      <c r="M339" s="3"/>
      <c r="N339" s="3"/>
      <c r="O339" s="3"/>
      <c r="P339" s="4"/>
      <c r="Q339" s="5"/>
      <c r="R339" s="5"/>
      <c r="S339" s="5"/>
      <c r="T339" s="6"/>
      <c r="U339" s="5"/>
      <c r="V339" s="6"/>
      <c r="W339" s="7"/>
      <c r="X339" s="8"/>
      <c r="Y339" s="6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6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C339" s="6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  <c r="JC339" s="5"/>
      <c r="JD339" s="5"/>
      <c r="JE339" s="5"/>
      <c r="JF339" s="5"/>
      <c r="JG339" s="5"/>
      <c r="JH339" s="5"/>
      <c r="JI339" s="5"/>
      <c r="JJ339" s="5"/>
      <c r="JK339" s="5"/>
      <c r="JM339" s="19"/>
      <c r="JN339" s="1">
        <v>337</v>
      </c>
      <c r="JO339" s="5">
        <f>HLOOKUP(JM339,HC$2:JK339,2+JN338,0)-IF(KE339&gt;0,KE339,0)</f>
        <v>0</v>
      </c>
      <c r="JP339" s="5"/>
      <c r="JQ339" s="5"/>
      <c r="JR339" s="5"/>
      <c r="JS339" s="6"/>
      <c r="JT339" s="23"/>
      <c r="JU339" s="13"/>
      <c r="JV339" s="6"/>
      <c r="JW339" s="6"/>
      <c r="JX339" s="6"/>
      <c r="JY339" s="6"/>
      <c r="JZ339" s="10"/>
      <c r="KA339" s="10"/>
      <c r="KB339" s="10"/>
      <c r="KC339" s="10"/>
      <c r="KD339" s="5"/>
      <c r="KE339" s="6"/>
    </row>
    <row r="340" spans="6:291" x14ac:dyDescent="0.3">
      <c r="F340" s="17"/>
      <c r="G340" s="9"/>
      <c r="H340" s="3"/>
      <c r="I340" s="3"/>
      <c r="J340" s="3"/>
      <c r="K340" s="3"/>
      <c r="L340" s="3"/>
      <c r="M340" s="3"/>
      <c r="N340" s="3"/>
      <c r="O340" s="3"/>
      <c r="P340" s="4"/>
      <c r="Q340" s="5"/>
      <c r="R340" s="5"/>
      <c r="S340" s="5"/>
      <c r="T340" s="6"/>
      <c r="U340" s="5"/>
      <c r="V340" s="6"/>
      <c r="W340" s="7"/>
      <c r="X340" s="8"/>
      <c r="Y340" s="6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6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C340" s="6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  <c r="JC340" s="5"/>
      <c r="JD340" s="5"/>
      <c r="JE340" s="5"/>
      <c r="JF340" s="5"/>
      <c r="JG340" s="5"/>
      <c r="JH340" s="5"/>
      <c r="JI340" s="5"/>
      <c r="JJ340" s="5"/>
      <c r="JK340" s="5"/>
      <c r="JM340" s="19"/>
      <c r="JN340" s="1">
        <v>338</v>
      </c>
      <c r="JO340" s="5">
        <f>HLOOKUP(JM340,HC$2:JK340,2+JN339,0)-IF(KE340&gt;0,KE340,0)</f>
        <v>0</v>
      </c>
      <c r="JP340" s="5"/>
      <c r="JQ340" s="5"/>
      <c r="JR340" s="5"/>
      <c r="JS340" s="6"/>
      <c r="JT340" s="23"/>
      <c r="JU340" s="13"/>
      <c r="JV340" s="6"/>
      <c r="JW340" s="6"/>
      <c r="JX340" s="6"/>
      <c r="JY340" s="6"/>
      <c r="JZ340" s="10"/>
      <c r="KA340" s="10"/>
      <c r="KB340" s="10"/>
      <c r="KC340" s="10"/>
      <c r="KD340" s="5"/>
      <c r="KE340" s="6"/>
    </row>
    <row r="341" spans="6:291" x14ac:dyDescent="0.3">
      <c r="F341" s="17"/>
      <c r="G341" s="9"/>
      <c r="H341" s="3"/>
      <c r="I341" s="3"/>
      <c r="J341" s="3"/>
      <c r="K341" s="3"/>
      <c r="L341" s="3"/>
      <c r="M341" s="3"/>
      <c r="N341" s="3"/>
      <c r="O341" s="3"/>
      <c r="P341" s="4"/>
      <c r="Q341" s="5"/>
      <c r="R341" s="5"/>
      <c r="S341" s="5"/>
      <c r="T341" s="6"/>
      <c r="U341" s="5"/>
      <c r="V341" s="6"/>
      <c r="W341" s="7"/>
      <c r="X341" s="8"/>
      <c r="Y341" s="6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6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C341" s="6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  <c r="JC341" s="5"/>
      <c r="JD341" s="5"/>
      <c r="JE341" s="5"/>
      <c r="JF341" s="5"/>
      <c r="JG341" s="5"/>
      <c r="JH341" s="5"/>
      <c r="JI341" s="5"/>
      <c r="JJ341" s="5"/>
      <c r="JK341" s="5"/>
      <c r="JM341" s="19"/>
      <c r="JN341" s="1">
        <v>339</v>
      </c>
      <c r="JO341" s="5">
        <f>HLOOKUP(JM341,HC$2:JK341,2+JN340,0)-IF(KE341&gt;0,KE341,0)</f>
        <v>0</v>
      </c>
      <c r="JP341" s="5"/>
      <c r="JQ341" s="5"/>
      <c r="JR341" s="5"/>
      <c r="JS341" s="6"/>
      <c r="JT341" s="23"/>
      <c r="JU341" s="13"/>
      <c r="JV341" s="6"/>
      <c r="JW341" s="6"/>
      <c r="JX341" s="6"/>
      <c r="JY341" s="6"/>
      <c r="JZ341" s="10"/>
      <c r="KA341" s="10"/>
      <c r="KB341" s="10"/>
      <c r="KC341" s="10"/>
      <c r="KD341" s="5"/>
      <c r="KE341" s="6"/>
    </row>
    <row r="342" spans="6:291" x14ac:dyDescent="0.3">
      <c r="F342" s="17"/>
      <c r="G342" s="9"/>
      <c r="H342" s="3"/>
      <c r="I342" s="3"/>
      <c r="J342" s="3"/>
      <c r="K342" s="3"/>
      <c r="L342" s="3"/>
      <c r="M342" s="3"/>
      <c r="N342" s="3"/>
      <c r="O342" s="3"/>
      <c r="P342" s="4"/>
      <c r="Q342" s="5"/>
      <c r="R342" s="5"/>
      <c r="S342" s="5"/>
      <c r="T342" s="6"/>
      <c r="U342" s="5"/>
      <c r="V342" s="6"/>
      <c r="W342" s="7"/>
      <c r="X342" s="8"/>
      <c r="Y342" s="6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6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C342" s="6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  <c r="JC342" s="5"/>
      <c r="JD342" s="5"/>
      <c r="JE342" s="5"/>
      <c r="JF342" s="5"/>
      <c r="JG342" s="5"/>
      <c r="JH342" s="5"/>
      <c r="JI342" s="5"/>
      <c r="JJ342" s="5"/>
      <c r="JK342" s="5"/>
      <c r="JM342" s="19"/>
      <c r="JN342" s="1">
        <v>340</v>
      </c>
      <c r="JO342" s="5">
        <f>HLOOKUP(JM342,HC$2:JK342,2+JN341,0)-IF(KE342&gt;0,KE342,0)</f>
        <v>0</v>
      </c>
      <c r="JP342" s="5"/>
      <c r="JQ342" s="5"/>
      <c r="JR342" s="5"/>
      <c r="JS342" s="6"/>
      <c r="JT342" s="23"/>
      <c r="JU342" s="13"/>
      <c r="JV342" s="6"/>
      <c r="JW342" s="6"/>
      <c r="JX342" s="6"/>
      <c r="JY342" s="6"/>
      <c r="JZ342" s="10"/>
      <c r="KA342" s="10"/>
      <c r="KB342" s="10"/>
      <c r="KC342" s="10"/>
      <c r="KD342" s="5"/>
      <c r="KE342" s="6"/>
    </row>
    <row r="343" spans="6:291" x14ac:dyDescent="0.3">
      <c r="F343" s="17"/>
      <c r="G343" s="9"/>
      <c r="H343" s="3"/>
      <c r="I343" s="3"/>
      <c r="J343" s="3"/>
      <c r="K343" s="3"/>
      <c r="L343" s="3"/>
      <c r="M343" s="3"/>
      <c r="N343" s="3"/>
      <c r="O343" s="3"/>
      <c r="P343" s="4"/>
      <c r="Q343" s="5"/>
      <c r="R343" s="5"/>
      <c r="S343" s="5"/>
      <c r="T343" s="6"/>
      <c r="U343" s="5"/>
      <c r="V343" s="6"/>
      <c r="W343" s="7"/>
      <c r="X343" s="8"/>
      <c r="Y343" s="6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6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C343" s="6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  <c r="JC343" s="5"/>
      <c r="JD343" s="5"/>
      <c r="JE343" s="5"/>
      <c r="JF343" s="5"/>
      <c r="JG343" s="5"/>
      <c r="JH343" s="5"/>
      <c r="JI343" s="5"/>
      <c r="JJ343" s="5"/>
      <c r="JK343" s="5"/>
      <c r="JM343" s="19"/>
      <c r="JN343" s="1">
        <v>341</v>
      </c>
      <c r="JO343" s="5">
        <f>HLOOKUP(JM343,HC$2:JK343,2+JN342,0)-IF(KE343&gt;0,KE343,0)</f>
        <v>0</v>
      </c>
      <c r="JP343" s="5"/>
      <c r="JQ343" s="5"/>
      <c r="JR343" s="5"/>
      <c r="JS343" s="6"/>
      <c r="JT343" s="23"/>
      <c r="JU343" s="13"/>
      <c r="JV343" s="6"/>
      <c r="JW343" s="6"/>
      <c r="JX343" s="6"/>
      <c r="JY343" s="6"/>
      <c r="JZ343" s="10"/>
      <c r="KA343" s="10"/>
      <c r="KB343" s="10"/>
      <c r="KC343" s="10"/>
      <c r="KD343" s="5"/>
      <c r="KE343" s="6"/>
    </row>
    <row r="344" spans="6:291" x14ac:dyDescent="0.3">
      <c r="F344" s="17"/>
      <c r="G344" s="9"/>
      <c r="H344" s="3"/>
      <c r="I344" s="3"/>
      <c r="J344" s="3"/>
      <c r="K344" s="3"/>
      <c r="L344" s="3"/>
      <c r="M344" s="3"/>
      <c r="N344" s="3"/>
      <c r="O344" s="3"/>
      <c r="P344" s="4"/>
      <c r="Q344" s="5"/>
      <c r="R344" s="5"/>
      <c r="S344" s="5"/>
      <c r="T344" s="6"/>
      <c r="U344" s="5"/>
      <c r="V344" s="6"/>
      <c r="W344" s="7"/>
      <c r="X344" s="8"/>
      <c r="Y344" s="6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6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C344" s="6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  <c r="JC344" s="5"/>
      <c r="JD344" s="5"/>
      <c r="JE344" s="5"/>
      <c r="JF344" s="5"/>
      <c r="JG344" s="5"/>
      <c r="JH344" s="5"/>
      <c r="JI344" s="5"/>
      <c r="JJ344" s="5"/>
      <c r="JK344" s="5"/>
      <c r="JM344" s="19"/>
      <c r="JN344" s="1">
        <v>342</v>
      </c>
      <c r="JO344" s="5">
        <f>HLOOKUP(JM344,HC$2:JK344,2+JN343,0)-IF(KE344&gt;0,KE344,0)</f>
        <v>0</v>
      </c>
      <c r="JP344" s="5"/>
      <c r="JQ344" s="5"/>
      <c r="JR344" s="5"/>
      <c r="JS344" s="6"/>
      <c r="JT344" s="23"/>
      <c r="JU344" s="13"/>
      <c r="JV344" s="6"/>
      <c r="JW344" s="6"/>
      <c r="JX344" s="6"/>
      <c r="JY344" s="6"/>
      <c r="JZ344" s="10"/>
      <c r="KA344" s="10"/>
      <c r="KB344" s="10"/>
      <c r="KC344" s="10"/>
      <c r="KD344" s="5"/>
      <c r="KE344" s="6"/>
    </row>
    <row r="345" spans="6:291" x14ac:dyDescent="0.3">
      <c r="F345" s="17"/>
      <c r="G345" s="9"/>
      <c r="H345" s="3"/>
      <c r="I345" s="3"/>
      <c r="J345" s="3"/>
      <c r="K345" s="3"/>
      <c r="L345" s="3"/>
      <c r="M345" s="3"/>
      <c r="N345" s="3"/>
      <c r="O345" s="3"/>
      <c r="P345" s="4"/>
      <c r="Q345" s="5"/>
      <c r="R345" s="5"/>
      <c r="S345" s="5"/>
      <c r="T345" s="6"/>
      <c r="U345" s="5"/>
      <c r="V345" s="6"/>
      <c r="W345" s="7"/>
      <c r="X345" s="8"/>
      <c r="Y345" s="6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6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C345" s="6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  <c r="JC345" s="5"/>
      <c r="JD345" s="5"/>
      <c r="JE345" s="5"/>
      <c r="JF345" s="5"/>
      <c r="JG345" s="5"/>
      <c r="JH345" s="5"/>
      <c r="JI345" s="5"/>
      <c r="JJ345" s="5"/>
      <c r="JK345" s="5"/>
      <c r="JM345" s="19"/>
      <c r="JN345" s="1">
        <v>343</v>
      </c>
      <c r="JO345" s="5">
        <f>HLOOKUP(JM345,HC$2:JK345,2+JN344,0)-IF(KE345&gt;0,KE345,0)</f>
        <v>0</v>
      </c>
      <c r="JP345" s="5"/>
      <c r="JQ345" s="5"/>
      <c r="JR345" s="5"/>
      <c r="JS345" s="6"/>
      <c r="JT345" s="23"/>
      <c r="JU345" s="13"/>
      <c r="JV345" s="6"/>
      <c r="JW345" s="6"/>
      <c r="JX345" s="6"/>
      <c r="JY345" s="6"/>
      <c r="JZ345" s="10"/>
      <c r="KA345" s="10"/>
      <c r="KB345" s="10"/>
      <c r="KC345" s="10"/>
      <c r="KD345" s="5"/>
      <c r="KE345" s="6"/>
    </row>
    <row r="346" spans="6:291" x14ac:dyDescent="0.3">
      <c r="F346" s="17"/>
      <c r="G346" s="9"/>
      <c r="H346" s="3"/>
      <c r="I346" s="3"/>
      <c r="J346" s="3"/>
      <c r="K346" s="3"/>
      <c r="L346" s="3"/>
      <c r="M346" s="3"/>
      <c r="N346" s="3"/>
      <c r="O346" s="3"/>
      <c r="P346" s="4"/>
      <c r="Q346" s="5"/>
      <c r="R346" s="5"/>
      <c r="S346" s="5"/>
      <c r="T346" s="6"/>
      <c r="U346" s="5"/>
      <c r="V346" s="6"/>
      <c r="W346" s="7"/>
      <c r="X346" s="8"/>
      <c r="Y346" s="6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6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C346" s="6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  <c r="JC346" s="5"/>
      <c r="JD346" s="5"/>
      <c r="JE346" s="5"/>
      <c r="JF346" s="5"/>
      <c r="JG346" s="5"/>
      <c r="JH346" s="5"/>
      <c r="JI346" s="5"/>
      <c r="JJ346" s="5"/>
      <c r="JK346" s="5"/>
      <c r="JM346" s="19"/>
      <c r="JN346" s="1">
        <v>344</v>
      </c>
      <c r="JO346" s="5">
        <f>HLOOKUP(JM346,HC$2:JK346,2+JN345,0)-IF(KE346&gt;0,KE346,0)</f>
        <v>0</v>
      </c>
      <c r="JP346" s="5"/>
      <c r="JQ346" s="5"/>
      <c r="JR346" s="5"/>
      <c r="JS346" s="6"/>
      <c r="JT346" s="23"/>
      <c r="JU346" s="13"/>
      <c r="JV346" s="6"/>
      <c r="JW346" s="6"/>
      <c r="JX346" s="6"/>
      <c r="JY346" s="6"/>
      <c r="JZ346" s="10"/>
      <c r="KA346" s="10"/>
      <c r="KB346" s="10"/>
      <c r="KC346" s="10"/>
      <c r="KD346" s="5"/>
      <c r="KE346" s="6"/>
    </row>
    <row r="347" spans="6:291" x14ac:dyDescent="0.3">
      <c r="F347" s="17"/>
      <c r="G347" s="9"/>
      <c r="H347" s="3"/>
      <c r="I347" s="3"/>
      <c r="J347" s="3"/>
      <c r="K347" s="3"/>
      <c r="L347" s="3"/>
      <c r="M347" s="3"/>
      <c r="N347" s="3"/>
      <c r="O347" s="3"/>
      <c r="P347" s="4"/>
      <c r="Q347" s="5"/>
      <c r="R347" s="5"/>
      <c r="S347" s="5"/>
      <c r="T347" s="6"/>
      <c r="U347" s="5"/>
      <c r="V347" s="6"/>
      <c r="W347" s="7"/>
      <c r="X347" s="8"/>
      <c r="Y347" s="6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6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C347" s="6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  <c r="JC347" s="5"/>
      <c r="JD347" s="5"/>
      <c r="JE347" s="5"/>
      <c r="JF347" s="5"/>
      <c r="JG347" s="5"/>
      <c r="JH347" s="5"/>
      <c r="JI347" s="5"/>
      <c r="JJ347" s="5"/>
      <c r="JK347" s="5"/>
      <c r="JM347" s="19"/>
      <c r="JN347" s="1">
        <v>345</v>
      </c>
      <c r="JO347" s="5">
        <f>HLOOKUP(JM347,HC$2:JK347,2+JN346,0)-IF(KE347&gt;0,KE347,0)</f>
        <v>0</v>
      </c>
      <c r="JP347" s="5"/>
      <c r="JQ347" s="5"/>
      <c r="JR347" s="5"/>
      <c r="JS347" s="6"/>
      <c r="JT347" s="23"/>
      <c r="JU347" s="13"/>
      <c r="JV347" s="6"/>
      <c r="JW347" s="6"/>
      <c r="JX347" s="6"/>
      <c r="JY347" s="6"/>
      <c r="JZ347" s="10"/>
      <c r="KA347" s="10"/>
      <c r="KB347" s="10"/>
      <c r="KC347" s="10"/>
      <c r="KD347" s="5"/>
      <c r="KE347" s="6"/>
    </row>
    <row r="348" spans="6:291" x14ac:dyDescent="0.3">
      <c r="F348" s="17"/>
      <c r="G348" s="9"/>
      <c r="H348" s="3"/>
      <c r="I348" s="3"/>
      <c r="J348" s="3"/>
      <c r="K348" s="3"/>
      <c r="L348" s="3"/>
      <c r="M348" s="3"/>
      <c r="N348" s="3"/>
      <c r="O348" s="3"/>
      <c r="P348" s="4"/>
      <c r="Q348" s="5"/>
      <c r="R348" s="5"/>
      <c r="S348" s="5"/>
      <c r="T348" s="6"/>
      <c r="U348" s="5"/>
      <c r="V348" s="6"/>
      <c r="W348" s="7"/>
      <c r="X348" s="8"/>
      <c r="Y348" s="6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6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C348" s="6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  <c r="JC348" s="5"/>
      <c r="JD348" s="5"/>
      <c r="JE348" s="5"/>
      <c r="JF348" s="5"/>
      <c r="JG348" s="5"/>
      <c r="JH348" s="5"/>
      <c r="JI348" s="5"/>
      <c r="JJ348" s="5"/>
      <c r="JK348" s="5"/>
      <c r="JM348" s="19"/>
      <c r="JN348" s="1">
        <v>346</v>
      </c>
      <c r="JO348" s="5">
        <f>HLOOKUP(JM348,HC$2:JK348,2+JN347,0)-IF(KE348&gt;0,KE348,0)</f>
        <v>0</v>
      </c>
      <c r="JP348" s="5"/>
      <c r="JQ348" s="5"/>
      <c r="JR348" s="5"/>
      <c r="JS348" s="6"/>
      <c r="JT348" s="23"/>
      <c r="JU348" s="13"/>
      <c r="JV348" s="6"/>
      <c r="JW348" s="6"/>
      <c r="JX348" s="6"/>
      <c r="JY348" s="6"/>
      <c r="JZ348" s="10"/>
      <c r="KA348" s="10"/>
      <c r="KB348" s="10"/>
      <c r="KC348" s="10"/>
      <c r="KD348" s="5"/>
      <c r="KE348" s="6"/>
    </row>
    <row r="349" spans="6:291" x14ac:dyDescent="0.3">
      <c r="F349" s="17"/>
      <c r="G349" s="9"/>
      <c r="H349" s="3"/>
      <c r="I349" s="3"/>
      <c r="J349" s="3"/>
      <c r="K349" s="3"/>
      <c r="L349" s="3"/>
      <c r="M349" s="3"/>
      <c r="N349" s="3"/>
      <c r="O349" s="3"/>
      <c r="P349" s="4"/>
      <c r="Q349" s="5"/>
      <c r="R349" s="5"/>
      <c r="S349" s="5"/>
      <c r="T349" s="6"/>
      <c r="U349" s="5"/>
      <c r="V349" s="6"/>
      <c r="W349" s="7"/>
      <c r="X349" s="8"/>
      <c r="Y349" s="6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6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C349" s="6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  <c r="JC349" s="5"/>
      <c r="JD349" s="5"/>
      <c r="JE349" s="5"/>
      <c r="JF349" s="5"/>
      <c r="JG349" s="5"/>
      <c r="JH349" s="5"/>
      <c r="JI349" s="5"/>
      <c r="JJ349" s="5"/>
      <c r="JK349" s="5"/>
      <c r="JM349" s="19"/>
      <c r="JN349" s="1">
        <v>347</v>
      </c>
      <c r="JO349" s="5">
        <f>HLOOKUP(JM349,HC$2:JK349,2+JN348,0)-IF(KE349&gt;0,KE349,0)</f>
        <v>0</v>
      </c>
      <c r="JP349" s="5"/>
      <c r="JQ349" s="5"/>
      <c r="JR349" s="5"/>
      <c r="JS349" s="6"/>
      <c r="JT349" s="23"/>
      <c r="JU349" s="13"/>
      <c r="JV349" s="6"/>
      <c r="JW349" s="6"/>
      <c r="JX349" s="6"/>
      <c r="JY349" s="6"/>
      <c r="JZ349" s="10"/>
      <c r="KA349" s="10"/>
      <c r="KB349" s="10"/>
      <c r="KC349" s="10"/>
      <c r="KD349" s="5"/>
      <c r="KE349" s="6"/>
    </row>
    <row r="350" spans="6:291" x14ac:dyDescent="0.3">
      <c r="F350" s="17"/>
      <c r="G350" s="9"/>
      <c r="H350" s="3"/>
      <c r="I350" s="3"/>
      <c r="J350" s="3"/>
      <c r="K350" s="3"/>
      <c r="L350" s="3"/>
      <c r="M350" s="3"/>
      <c r="N350" s="3"/>
      <c r="O350" s="3"/>
      <c r="P350" s="4"/>
      <c r="Q350" s="5"/>
      <c r="R350" s="5"/>
      <c r="S350" s="5"/>
      <c r="T350" s="6"/>
      <c r="U350" s="5"/>
      <c r="V350" s="6"/>
      <c r="W350" s="7"/>
      <c r="X350" s="8"/>
      <c r="Y350" s="6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6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C350" s="6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  <c r="JC350" s="5"/>
      <c r="JD350" s="5"/>
      <c r="JE350" s="5"/>
      <c r="JF350" s="5"/>
      <c r="JG350" s="5"/>
      <c r="JH350" s="5"/>
      <c r="JI350" s="5"/>
      <c r="JJ350" s="5"/>
      <c r="JK350" s="5"/>
      <c r="JM350" s="19"/>
      <c r="JN350" s="1">
        <v>348</v>
      </c>
      <c r="JO350" s="5">
        <f>HLOOKUP(JM350,HC$2:JK350,2+JN349,0)-IF(KE350&gt;0,KE350,0)</f>
        <v>0</v>
      </c>
      <c r="JP350" s="5"/>
      <c r="JQ350" s="5"/>
      <c r="JR350" s="5"/>
      <c r="JS350" s="6"/>
      <c r="JT350" s="23"/>
      <c r="JU350" s="13"/>
      <c r="JV350" s="6"/>
      <c r="JW350" s="6"/>
      <c r="JX350" s="6"/>
      <c r="JY350" s="6"/>
      <c r="JZ350" s="10"/>
      <c r="KA350" s="10"/>
      <c r="KB350" s="10"/>
      <c r="KC350" s="10"/>
      <c r="KD350" s="5"/>
      <c r="KE350" s="6"/>
    </row>
    <row r="351" spans="6:291" x14ac:dyDescent="0.3">
      <c r="F351" s="17"/>
      <c r="G351" s="9"/>
      <c r="H351" s="3"/>
      <c r="I351" s="3"/>
      <c r="J351" s="3"/>
      <c r="K351" s="3"/>
      <c r="L351" s="3"/>
      <c r="M351" s="3"/>
      <c r="N351" s="3"/>
      <c r="O351" s="3"/>
      <c r="P351" s="4"/>
      <c r="Q351" s="5"/>
      <c r="R351" s="5"/>
      <c r="S351" s="5"/>
      <c r="T351" s="6"/>
      <c r="U351" s="5"/>
      <c r="V351" s="6"/>
      <c r="W351" s="7"/>
      <c r="X351" s="8"/>
      <c r="Y351" s="6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6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C351" s="6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  <c r="JC351" s="5"/>
      <c r="JD351" s="5"/>
      <c r="JE351" s="5"/>
      <c r="JF351" s="5"/>
      <c r="JG351" s="5"/>
      <c r="JH351" s="5"/>
      <c r="JI351" s="5"/>
      <c r="JJ351" s="5"/>
      <c r="JK351" s="5"/>
      <c r="JM351" s="19"/>
      <c r="JN351" s="1">
        <v>349</v>
      </c>
      <c r="JO351" s="5">
        <f>HLOOKUP(JM351,HC$2:JK351,2+JN350,0)-IF(KE351&gt;0,KE351,0)</f>
        <v>0</v>
      </c>
      <c r="JP351" s="5"/>
      <c r="JQ351" s="5"/>
      <c r="JR351" s="5"/>
      <c r="JS351" s="6"/>
      <c r="JT351" s="23"/>
      <c r="JU351" s="13"/>
      <c r="JV351" s="6"/>
      <c r="JW351" s="6"/>
      <c r="JX351" s="6"/>
      <c r="JY351" s="6"/>
      <c r="JZ351" s="10"/>
      <c r="KA351" s="10"/>
      <c r="KB351" s="10"/>
      <c r="KC351" s="10"/>
      <c r="KD351" s="5"/>
      <c r="KE351" s="6"/>
    </row>
    <row r="352" spans="6:291" x14ac:dyDescent="0.3">
      <c r="F352" s="17"/>
      <c r="G352" s="9"/>
      <c r="H352" s="3"/>
      <c r="I352" s="3"/>
      <c r="J352" s="3"/>
      <c r="K352" s="3"/>
      <c r="L352" s="3"/>
      <c r="M352" s="3"/>
      <c r="N352" s="3"/>
      <c r="O352" s="3"/>
      <c r="P352" s="4"/>
      <c r="Q352" s="5"/>
      <c r="R352" s="5"/>
      <c r="S352" s="5"/>
      <c r="T352" s="6"/>
      <c r="U352" s="5"/>
      <c r="V352" s="6"/>
      <c r="W352" s="7"/>
      <c r="X352" s="8"/>
      <c r="Y352" s="6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6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C352" s="6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  <c r="JC352" s="5"/>
      <c r="JD352" s="5"/>
      <c r="JE352" s="5"/>
      <c r="JF352" s="5"/>
      <c r="JG352" s="5"/>
      <c r="JH352" s="5"/>
      <c r="JI352" s="5"/>
      <c r="JJ352" s="5"/>
      <c r="JK352" s="5"/>
      <c r="JM352" s="19"/>
      <c r="JN352" s="1">
        <v>350</v>
      </c>
      <c r="JO352" s="5">
        <f>HLOOKUP(JM352,HC$2:JK352,2+JN351,0)-IF(KE352&gt;0,KE352,0)</f>
        <v>0</v>
      </c>
      <c r="JP352" s="5"/>
      <c r="JQ352" s="5"/>
      <c r="JR352" s="5"/>
      <c r="JS352" s="6"/>
      <c r="JT352" s="23"/>
      <c r="JU352" s="13"/>
      <c r="JV352" s="6"/>
      <c r="JW352" s="6"/>
      <c r="JX352" s="6"/>
      <c r="JY352" s="6"/>
      <c r="JZ352" s="10"/>
      <c r="KA352" s="10"/>
      <c r="KB352" s="10"/>
      <c r="KC352" s="10"/>
      <c r="KD352" s="5"/>
      <c r="KE352" s="6"/>
    </row>
    <row r="353" spans="6:291" x14ac:dyDescent="0.3">
      <c r="F353" s="17"/>
      <c r="G353" s="9"/>
      <c r="H353" s="3"/>
      <c r="I353" s="3"/>
      <c r="J353" s="3"/>
      <c r="K353" s="3"/>
      <c r="L353" s="3"/>
      <c r="M353" s="3"/>
      <c r="N353" s="3"/>
      <c r="O353" s="3"/>
      <c r="P353" s="4"/>
      <c r="Q353" s="5"/>
      <c r="R353" s="5"/>
      <c r="S353" s="5"/>
      <c r="T353" s="6"/>
      <c r="U353" s="5"/>
      <c r="V353" s="6"/>
      <c r="W353" s="7"/>
      <c r="X353" s="8"/>
      <c r="Y353" s="6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6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C353" s="6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  <c r="JC353" s="5"/>
      <c r="JD353" s="5"/>
      <c r="JE353" s="5"/>
      <c r="JF353" s="5"/>
      <c r="JG353" s="5"/>
      <c r="JH353" s="5"/>
      <c r="JI353" s="5"/>
      <c r="JJ353" s="5"/>
      <c r="JK353" s="5"/>
      <c r="JM353" s="19"/>
      <c r="JN353" s="1">
        <v>351</v>
      </c>
      <c r="JO353" s="5">
        <f>HLOOKUP(JM353,HC$2:JK353,2+JN352,0)-IF(KE353&gt;0,KE353,0)</f>
        <v>0</v>
      </c>
      <c r="JP353" s="5"/>
      <c r="JQ353" s="5"/>
      <c r="JR353" s="5"/>
      <c r="JS353" s="6"/>
      <c r="JT353" s="23"/>
      <c r="JU353" s="13"/>
      <c r="JV353" s="6"/>
      <c r="JW353" s="6"/>
      <c r="JX353" s="6"/>
      <c r="JY353" s="6"/>
      <c r="JZ353" s="10"/>
      <c r="KA353" s="10"/>
      <c r="KB353" s="10"/>
      <c r="KC353" s="10"/>
      <c r="KD353" s="5"/>
      <c r="KE353" s="6"/>
    </row>
    <row r="354" spans="6:291" x14ac:dyDescent="0.3">
      <c r="F354" s="17"/>
      <c r="G354" s="9"/>
      <c r="H354" s="3"/>
      <c r="I354" s="3"/>
      <c r="J354" s="3"/>
      <c r="K354" s="3"/>
      <c r="L354" s="3"/>
      <c r="M354" s="3"/>
      <c r="N354" s="3"/>
      <c r="O354" s="3"/>
      <c r="P354" s="4"/>
      <c r="Q354" s="5"/>
      <c r="R354" s="5"/>
      <c r="S354" s="5"/>
      <c r="T354" s="6"/>
      <c r="U354" s="5"/>
      <c r="V354" s="6"/>
      <c r="W354" s="7"/>
      <c r="X354" s="8"/>
      <c r="Y354" s="6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6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C354" s="6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  <c r="JC354" s="5"/>
      <c r="JD354" s="5"/>
      <c r="JE354" s="5"/>
      <c r="JF354" s="5"/>
      <c r="JG354" s="5"/>
      <c r="JH354" s="5"/>
      <c r="JI354" s="5"/>
      <c r="JJ354" s="5"/>
      <c r="JK354" s="5"/>
      <c r="JM354" s="19"/>
      <c r="JN354" s="1">
        <v>352</v>
      </c>
      <c r="JO354" s="5">
        <f>HLOOKUP(JM354,HC$2:JK354,2+JN353,0)-IF(KE354&gt;0,KE354,0)</f>
        <v>0</v>
      </c>
      <c r="JP354" s="5"/>
      <c r="JQ354" s="5"/>
      <c r="JR354" s="5"/>
      <c r="JS354" s="6"/>
      <c r="JT354" s="23"/>
      <c r="JU354" s="13"/>
      <c r="JV354" s="6"/>
      <c r="JW354" s="6"/>
      <c r="JX354" s="6"/>
      <c r="JY354" s="6"/>
      <c r="JZ354" s="10"/>
      <c r="KA354" s="10"/>
      <c r="KB354" s="10"/>
      <c r="KC354" s="10"/>
      <c r="KD354" s="5"/>
      <c r="KE354" s="6"/>
    </row>
    <row r="355" spans="6:291" x14ac:dyDescent="0.3">
      <c r="F355" s="17"/>
      <c r="G355" s="9"/>
      <c r="H355" s="3"/>
      <c r="I355" s="3"/>
      <c r="J355" s="3"/>
      <c r="K355" s="3"/>
      <c r="L355" s="3"/>
      <c r="M355" s="3"/>
      <c r="N355" s="3"/>
      <c r="O355" s="3"/>
      <c r="P355" s="4"/>
      <c r="Q355" s="5"/>
      <c r="R355" s="5"/>
      <c r="S355" s="5"/>
      <c r="T355" s="6"/>
      <c r="U355" s="5"/>
      <c r="V355" s="6"/>
      <c r="W355" s="7"/>
      <c r="X355" s="8"/>
      <c r="Y355" s="6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6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C355" s="6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  <c r="JC355" s="5"/>
      <c r="JD355" s="5"/>
      <c r="JE355" s="5"/>
      <c r="JF355" s="5"/>
      <c r="JG355" s="5"/>
      <c r="JH355" s="5"/>
      <c r="JI355" s="5"/>
      <c r="JJ355" s="5"/>
      <c r="JK355" s="5"/>
      <c r="JM355" s="19"/>
      <c r="JN355" s="1">
        <v>353</v>
      </c>
      <c r="JO355" s="5">
        <f>HLOOKUP(JM355,HC$2:JK355,2+JN354,0)-IF(KE355&gt;0,KE355,0)</f>
        <v>0</v>
      </c>
      <c r="JP355" s="5"/>
      <c r="JQ355" s="5"/>
      <c r="JR355" s="5"/>
      <c r="JS355" s="6"/>
      <c r="JT355" s="23"/>
      <c r="JU355" s="13"/>
      <c r="JV355" s="6"/>
      <c r="JW355" s="6"/>
      <c r="JX355" s="6"/>
      <c r="JY355" s="6"/>
      <c r="JZ355" s="10"/>
      <c r="KA355" s="10"/>
      <c r="KB355" s="10"/>
      <c r="KC355" s="10"/>
      <c r="KD355" s="5"/>
      <c r="KE355" s="6"/>
    </row>
    <row r="356" spans="6:291" x14ac:dyDescent="0.3">
      <c r="F356" s="17"/>
      <c r="G356" s="9"/>
      <c r="H356" s="3"/>
      <c r="I356" s="3"/>
      <c r="J356" s="3"/>
      <c r="K356" s="3"/>
      <c r="L356" s="3"/>
      <c r="M356" s="3"/>
      <c r="N356" s="3"/>
      <c r="O356" s="3"/>
      <c r="P356" s="4"/>
      <c r="Q356" s="5"/>
      <c r="R356" s="5"/>
      <c r="S356" s="5"/>
      <c r="T356" s="6"/>
      <c r="U356" s="5"/>
      <c r="V356" s="6"/>
      <c r="W356" s="7"/>
      <c r="X356" s="8"/>
      <c r="Y356" s="6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6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C356" s="6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  <c r="JC356" s="5"/>
      <c r="JD356" s="5"/>
      <c r="JE356" s="5"/>
      <c r="JF356" s="5"/>
      <c r="JG356" s="5"/>
      <c r="JH356" s="5"/>
      <c r="JI356" s="5"/>
      <c r="JJ356" s="5"/>
      <c r="JK356" s="5"/>
      <c r="JM356" s="19"/>
      <c r="JN356" s="1">
        <v>354</v>
      </c>
      <c r="JO356" s="5">
        <f>HLOOKUP(JM356,HC$2:JK356,2+JN355,0)-IF(KE356&gt;0,KE356,0)</f>
        <v>0</v>
      </c>
      <c r="JP356" s="5"/>
      <c r="JQ356" s="5"/>
      <c r="JR356" s="5"/>
      <c r="JS356" s="6"/>
      <c r="JT356" s="23"/>
      <c r="JU356" s="13"/>
      <c r="JV356" s="6"/>
      <c r="JW356" s="6"/>
      <c r="JX356" s="6"/>
      <c r="JY356" s="6"/>
      <c r="JZ356" s="10"/>
      <c r="KA356" s="10"/>
      <c r="KB356" s="10"/>
      <c r="KC356" s="10"/>
      <c r="KD356" s="5"/>
      <c r="KE356" s="6"/>
    </row>
    <row r="357" spans="6:291" x14ac:dyDescent="0.3">
      <c r="F357" s="17"/>
      <c r="G357" s="9"/>
      <c r="H357" s="3"/>
      <c r="I357" s="3"/>
      <c r="J357" s="3"/>
      <c r="K357" s="3"/>
      <c r="L357" s="3"/>
      <c r="M357" s="3"/>
      <c r="N357" s="3"/>
      <c r="O357" s="3"/>
      <c r="P357" s="4"/>
      <c r="Q357" s="5"/>
      <c r="R357" s="5"/>
      <c r="S357" s="5"/>
      <c r="T357" s="6"/>
      <c r="U357" s="5"/>
      <c r="V357" s="6"/>
      <c r="W357" s="7"/>
      <c r="X357" s="8"/>
      <c r="Y357" s="6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6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C357" s="6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  <c r="JC357" s="5"/>
      <c r="JD357" s="5"/>
      <c r="JE357" s="5"/>
      <c r="JF357" s="5"/>
      <c r="JG357" s="5"/>
      <c r="JH357" s="5"/>
      <c r="JI357" s="5"/>
      <c r="JJ357" s="5"/>
      <c r="JK357" s="5"/>
      <c r="JM357" s="19"/>
      <c r="JN357" s="1">
        <v>355</v>
      </c>
      <c r="JO357" s="5">
        <f>HLOOKUP(JM357,HC$2:JK357,2+JN356,0)-IF(KE357&gt;0,KE357,0)</f>
        <v>0</v>
      </c>
      <c r="JP357" s="5"/>
      <c r="JQ357" s="5"/>
      <c r="JR357" s="5"/>
      <c r="JS357" s="6"/>
      <c r="JT357" s="23"/>
      <c r="JU357" s="13"/>
      <c r="JV357" s="6"/>
      <c r="JW357" s="6"/>
      <c r="JX357" s="6"/>
      <c r="JY357" s="6"/>
      <c r="JZ357" s="10"/>
      <c r="KA357" s="10"/>
      <c r="KB357" s="10"/>
      <c r="KC357" s="10"/>
      <c r="KD357" s="5"/>
      <c r="KE357" s="6"/>
    </row>
    <row r="358" spans="6:291" x14ac:dyDescent="0.3">
      <c r="F358" s="17"/>
      <c r="G358" s="9"/>
      <c r="H358" s="3"/>
      <c r="I358" s="3"/>
      <c r="J358" s="3"/>
      <c r="K358" s="3"/>
      <c r="L358" s="3"/>
      <c r="M358" s="3"/>
      <c r="N358" s="3"/>
      <c r="O358" s="3"/>
      <c r="P358" s="4"/>
      <c r="Q358" s="5"/>
      <c r="R358" s="5"/>
      <c r="S358" s="5"/>
      <c r="T358" s="6"/>
      <c r="U358" s="5"/>
      <c r="V358" s="6"/>
      <c r="W358" s="7"/>
      <c r="X358" s="8"/>
      <c r="Y358" s="6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6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C358" s="6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  <c r="JC358" s="5"/>
      <c r="JD358" s="5"/>
      <c r="JE358" s="5"/>
      <c r="JF358" s="5"/>
      <c r="JG358" s="5"/>
      <c r="JH358" s="5"/>
      <c r="JI358" s="5"/>
      <c r="JJ358" s="5"/>
      <c r="JK358" s="5"/>
      <c r="JM358" s="19"/>
      <c r="JN358" s="1">
        <v>356</v>
      </c>
      <c r="JO358" s="5">
        <f>HLOOKUP(JM358,HC$2:JK358,2+JN357,0)-IF(KE358&gt;0,KE358,0)</f>
        <v>0</v>
      </c>
      <c r="JP358" s="5"/>
      <c r="JQ358" s="5"/>
      <c r="JR358" s="5"/>
      <c r="JS358" s="6"/>
      <c r="JT358" s="23"/>
      <c r="JU358" s="13"/>
      <c r="JV358" s="6"/>
      <c r="JW358" s="6"/>
      <c r="JX358" s="6"/>
      <c r="JY358" s="6"/>
      <c r="JZ358" s="10"/>
      <c r="KA358" s="10"/>
      <c r="KB358" s="10"/>
      <c r="KC358" s="10"/>
      <c r="KD358" s="5"/>
      <c r="KE358" s="6"/>
    </row>
    <row r="359" spans="6:291" x14ac:dyDescent="0.3">
      <c r="F359" s="17"/>
      <c r="G359" s="9"/>
      <c r="H359" s="3"/>
      <c r="I359" s="3"/>
      <c r="J359" s="3"/>
      <c r="K359" s="3"/>
      <c r="L359" s="3"/>
      <c r="M359" s="3"/>
      <c r="N359" s="3"/>
      <c r="O359" s="3"/>
      <c r="P359" s="4"/>
      <c r="Q359" s="5"/>
      <c r="R359" s="5"/>
      <c r="S359" s="5"/>
      <c r="T359" s="6"/>
      <c r="U359" s="5"/>
      <c r="V359" s="6"/>
      <c r="W359" s="7"/>
      <c r="X359" s="8"/>
      <c r="Y359" s="6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6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C359" s="6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  <c r="JC359" s="5"/>
      <c r="JD359" s="5"/>
      <c r="JE359" s="5"/>
      <c r="JF359" s="5"/>
      <c r="JG359" s="5"/>
      <c r="JH359" s="5"/>
      <c r="JI359" s="5"/>
      <c r="JJ359" s="5"/>
      <c r="JK359" s="5"/>
      <c r="JM359" s="19"/>
      <c r="JN359" s="1">
        <v>357</v>
      </c>
      <c r="JO359" s="5">
        <f>HLOOKUP(JM359,HC$2:JK359,2+JN358,0)-IF(KE359&gt;0,KE359,0)</f>
        <v>0</v>
      </c>
      <c r="JP359" s="5"/>
      <c r="JQ359" s="5"/>
      <c r="JR359" s="5"/>
      <c r="JS359" s="6"/>
      <c r="JT359" s="23"/>
      <c r="JU359" s="13"/>
      <c r="JV359" s="6"/>
      <c r="JW359" s="6"/>
      <c r="JX359" s="6"/>
      <c r="JY359" s="6"/>
      <c r="JZ359" s="10"/>
      <c r="KA359" s="10"/>
      <c r="KB359" s="10"/>
      <c r="KC359" s="10"/>
      <c r="KD359" s="5"/>
      <c r="KE359" s="6"/>
    </row>
    <row r="360" spans="6:291" x14ac:dyDescent="0.3">
      <c r="F360" s="17"/>
      <c r="G360" s="9"/>
      <c r="H360" s="3"/>
      <c r="I360" s="3"/>
      <c r="J360" s="3"/>
      <c r="K360" s="3"/>
      <c r="L360" s="3"/>
      <c r="M360" s="3"/>
      <c r="N360" s="3"/>
      <c r="O360" s="3"/>
      <c r="P360" s="4"/>
      <c r="Q360" s="5"/>
      <c r="R360" s="5"/>
      <c r="S360" s="5"/>
      <c r="T360" s="6"/>
      <c r="U360" s="5"/>
      <c r="V360" s="6"/>
      <c r="W360" s="7"/>
      <c r="X360" s="8"/>
      <c r="Y360" s="6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6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C360" s="6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  <c r="JC360" s="5"/>
      <c r="JD360" s="5"/>
      <c r="JE360" s="5"/>
      <c r="JF360" s="5"/>
      <c r="JG360" s="5"/>
      <c r="JH360" s="5"/>
      <c r="JI360" s="5"/>
      <c r="JJ360" s="5"/>
      <c r="JK360" s="5"/>
      <c r="JM360" s="19"/>
      <c r="JN360" s="1">
        <v>358</v>
      </c>
      <c r="JO360" s="5">
        <f>HLOOKUP(JM360,HC$2:JK360,2+JN359,0)-IF(KE360&gt;0,KE360,0)</f>
        <v>0</v>
      </c>
      <c r="JP360" s="5"/>
      <c r="JQ360" s="5"/>
      <c r="JR360" s="5"/>
      <c r="JS360" s="6"/>
      <c r="JT360" s="23"/>
      <c r="JU360" s="13"/>
      <c r="JV360" s="6"/>
      <c r="JW360" s="6"/>
      <c r="JX360" s="6"/>
      <c r="JY360" s="6"/>
      <c r="JZ360" s="10"/>
      <c r="KA360" s="10"/>
      <c r="KB360" s="10"/>
      <c r="KC360" s="10"/>
      <c r="KD360" s="5"/>
      <c r="KE360" s="6"/>
    </row>
    <row r="361" spans="6:291" x14ac:dyDescent="0.3">
      <c r="F361" s="17"/>
      <c r="G361" s="9"/>
      <c r="H361" s="3"/>
      <c r="I361" s="3"/>
      <c r="J361" s="3"/>
      <c r="K361" s="3"/>
      <c r="L361" s="3"/>
      <c r="M361" s="3"/>
      <c r="N361" s="3"/>
      <c r="O361" s="3"/>
      <c r="P361" s="4"/>
      <c r="Q361" s="5"/>
      <c r="R361" s="5"/>
      <c r="S361" s="5"/>
      <c r="T361" s="6"/>
      <c r="U361" s="5"/>
      <c r="V361" s="6"/>
      <c r="W361" s="7"/>
      <c r="X361" s="8"/>
      <c r="Y361" s="6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6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C361" s="6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  <c r="JC361" s="5"/>
      <c r="JD361" s="5"/>
      <c r="JE361" s="5"/>
      <c r="JF361" s="5"/>
      <c r="JG361" s="5"/>
      <c r="JH361" s="5"/>
      <c r="JI361" s="5"/>
      <c r="JJ361" s="5"/>
      <c r="JK361" s="5"/>
      <c r="JM361" s="19"/>
      <c r="JN361" s="1">
        <v>359</v>
      </c>
      <c r="JO361" s="5">
        <f>HLOOKUP(JM361,HC$2:JK361,2+JN360,0)-IF(KE361&gt;0,KE361,0)</f>
        <v>0</v>
      </c>
      <c r="JP361" s="5"/>
      <c r="JQ361" s="5"/>
      <c r="JR361" s="5"/>
      <c r="JS361" s="6"/>
      <c r="JT361" s="23"/>
      <c r="JU361" s="13"/>
      <c r="JV361" s="6"/>
      <c r="JW361" s="6"/>
      <c r="JX361" s="6"/>
      <c r="JY361" s="6"/>
      <c r="JZ361" s="10"/>
      <c r="KA361" s="10"/>
      <c r="KB361" s="10"/>
      <c r="KC361" s="10"/>
      <c r="KD361" s="5"/>
      <c r="KE361" s="6"/>
    </row>
    <row r="362" spans="6:291" x14ac:dyDescent="0.3">
      <c r="F362" s="17"/>
      <c r="G362" s="9"/>
      <c r="H362" s="3"/>
      <c r="I362" s="3"/>
      <c r="J362" s="3"/>
      <c r="K362" s="3"/>
      <c r="L362" s="3"/>
      <c r="M362" s="3"/>
      <c r="N362" s="3"/>
      <c r="O362" s="3"/>
      <c r="P362" s="4"/>
      <c r="Q362" s="5"/>
      <c r="R362" s="5"/>
      <c r="S362" s="5"/>
      <c r="T362" s="6"/>
      <c r="U362" s="5"/>
      <c r="V362" s="6"/>
      <c r="W362" s="7"/>
      <c r="X362" s="8"/>
      <c r="Y362" s="6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6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C362" s="6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  <c r="JC362" s="5"/>
      <c r="JD362" s="5"/>
      <c r="JE362" s="5"/>
      <c r="JF362" s="5"/>
      <c r="JG362" s="5"/>
      <c r="JH362" s="5"/>
      <c r="JI362" s="5"/>
      <c r="JJ362" s="5"/>
      <c r="JK362" s="5"/>
      <c r="JM362" s="19"/>
      <c r="JN362" s="1">
        <v>360</v>
      </c>
      <c r="JO362" s="5">
        <f>HLOOKUP(JM362,HC$2:JK362,2+JN361,0)-IF(KE362&gt;0,KE362,0)</f>
        <v>0</v>
      </c>
      <c r="JP362" s="5"/>
      <c r="JQ362" s="5"/>
      <c r="JR362" s="5"/>
      <c r="JS362" s="6"/>
      <c r="JT362" s="23"/>
      <c r="JU362" s="13"/>
      <c r="JV362" s="6"/>
      <c r="JW362" s="6"/>
      <c r="JX362" s="6"/>
      <c r="JY362" s="6"/>
      <c r="JZ362" s="10"/>
      <c r="KA362" s="10"/>
      <c r="KB362" s="10"/>
      <c r="KC362" s="10"/>
      <c r="KD362" s="5"/>
      <c r="KE362" s="6"/>
    </row>
    <row r="363" spans="6:291" x14ac:dyDescent="0.3">
      <c r="F363" s="17"/>
      <c r="G363" s="9"/>
      <c r="H363" s="3"/>
      <c r="I363" s="3"/>
      <c r="J363" s="3"/>
      <c r="K363" s="3"/>
      <c r="L363" s="3"/>
      <c r="M363" s="3"/>
      <c r="N363" s="3"/>
      <c r="O363" s="3"/>
      <c r="P363" s="4"/>
      <c r="Q363" s="5"/>
      <c r="R363" s="5"/>
      <c r="S363" s="5"/>
      <c r="T363" s="6"/>
      <c r="U363" s="5"/>
      <c r="V363" s="6"/>
      <c r="W363" s="7"/>
      <c r="X363" s="8"/>
      <c r="Y363" s="6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6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C363" s="6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  <c r="JC363" s="5"/>
      <c r="JD363" s="5"/>
      <c r="JE363" s="5"/>
      <c r="JF363" s="5"/>
      <c r="JG363" s="5"/>
      <c r="JH363" s="5"/>
      <c r="JI363" s="5"/>
      <c r="JJ363" s="5"/>
      <c r="JK363" s="5"/>
      <c r="JM363" s="19"/>
      <c r="JN363" s="1">
        <v>361</v>
      </c>
      <c r="JO363" s="5">
        <f>HLOOKUP(JM363,HC$2:JK363,2+JN362,0)-IF(KE363&gt;0,KE363,0)</f>
        <v>0</v>
      </c>
      <c r="JP363" s="5"/>
      <c r="JQ363" s="5"/>
      <c r="JR363" s="5"/>
      <c r="JS363" s="6"/>
      <c r="JT363" s="23"/>
      <c r="JU363" s="13"/>
      <c r="JV363" s="6"/>
      <c r="JW363" s="6"/>
      <c r="JX363" s="6"/>
      <c r="JY363" s="6"/>
      <c r="JZ363" s="10"/>
      <c r="KA363" s="10"/>
      <c r="KB363" s="10"/>
      <c r="KC363" s="10"/>
      <c r="KD363" s="5"/>
      <c r="KE363" s="6"/>
    </row>
    <row r="364" spans="6:291" x14ac:dyDescent="0.3">
      <c r="F364" s="17"/>
      <c r="G364" s="9"/>
      <c r="H364" s="3"/>
      <c r="I364" s="3"/>
      <c r="J364" s="3"/>
      <c r="K364" s="3"/>
      <c r="L364" s="3"/>
      <c r="M364" s="3"/>
      <c r="N364" s="3"/>
      <c r="O364" s="3"/>
      <c r="P364" s="4"/>
      <c r="Q364" s="5"/>
      <c r="R364" s="5"/>
      <c r="S364" s="5"/>
      <c r="T364" s="6"/>
      <c r="U364" s="5"/>
      <c r="V364" s="6"/>
      <c r="W364" s="7"/>
      <c r="X364" s="8"/>
      <c r="Y364" s="6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6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C364" s="6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  <c r="JC364" s="5"/>
      <c r="JD364" s="5"/>
      <c r="JE364" s="5"/>
      <c r="JF364" s="5"/>
      <c r="JG364" s="5"/>
      <c r="JH364" s="5"/>
      <c r="JI364" s="5"/>
      <c r="JJ364" s="5"/>
      <c r="JK364" s="5"/>
      <c r="JM364" s="19"/>
      <c r="JN364" s="1">
        <v>362</v>
      </c>
      <c r="JO364" s="5">
        <f>HLOOKUP(JM364,HC$2:JK364,2+JN363,0)-IF(KE364&gt;0,KE364,0)</f>
        <v>0</v>
      </c>
      <c r="JP364" s="5"/>
      <c r="JQ364" s="5"/>
      <c r="JR364" s="5"/>
      <c r="JS364" s="6"/>
      <c r="JT364" s="23"/>
      <c r="JU364" s="13"/>
      <c r="JV364" s="6"/>
      <c r="JW364" s="6"/>
      <c r="JX364" s="6"/>
      <c r="JY364" s="6"/>
      <c r="JZ364" s="10"/>
      <c r="KA364" s="10"/>
      <c r="KB364" s="10"/>
      <c r="KC364" s="10"/>
      <c r="KD364" s="5"/>
      <c r="KE364" s="6"/>
    </row>
    <row r="365" spans="6:291" x14ac:dyDescent="0.3">
      <c r="F365" s="17"/>
      <c r="G365" s="9"/>
      <c r="H365" s="3"/>
      <c r="I365" s="3"/>
      <c r="J365" s="3"/>
      <c r="K365" s="3"/>
      <c r="L365" s="3"/>
      <c r="M365" s="3"/>
      <c r="N365" s="3"/>
      <c r="O365" s="3"/>
      <c r="P365" s="4"/>
      <c r="Q365" s="5"/>
      <c r="R365" s="5"/>
      <c r="S365" s="5"/>
      <c r="T365" s="6"/>
      <c r="U365" s="5"/>
      <c r="V365" s="6"/>
      <c r="W365" s="7"/>
      <c r="X365" s="8"/>
      <c r="Y365" s="6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6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C365" s="6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  <c r="JC365" s="5"/>
      <c r="JD365" s="5"/>
      <c r="JE365" s="5"/>
      <c r="JF365" s="5"/>
      <c r="JG365" s="5"/>
      <c r="JH365" s="5"/>
      <c r="JI365" s="5"/>
      <c r="JJ365" s="5"/>
      <c r="JK365" s="5"/>
      <c r="JM365" s="19"/>
      <c r="JN365" s="1">
        <v>363</v>
      </c>
      <c r="JO365" s="5">
        <f>HLOOKUP(JM365,HC$2:JK365,2+JN364,0)-IF(KE365&gt;0,KE365,0)</f>
        <v>0</v>
      </c>
      <c r="JP365" s="5"/>
      <c r="JQ365" s="5"/>
      <c r="JR365" s="5"/>
      <c r="JS365" s="6"/>
      <c r="JT365" s="23"/>
      <c r="JU365" s="13"/>
      <c r="JV365" s="6"/>
      <c r="JW365" s="6"/>
      <c r="JX365" s="6"/>
      <c r="JY365" s="6"/>
      <c r="JZ365" s="10"/>
      <c r="KA365" s="10"/>
      <c r="KB365" s="10"/>
      <c r="KC365" s="10"/>
      <c r="KD365" s="5"/>
      <c r="KE365" s="6"/>
    </row>
    <row r="366" spans="6:291" x14ac:dyDescent="0.3">
      <c r="F366" s="17"/>
      <c r="G366" s="9"/>
      <c r="H366" s="3"/>
      <c r="I366" s="3"/>
      <c r="J366" s="3"/>
      <c r="K366" s="3"/>
      <c r="L366" s="3"/>
      <c r="M366" s="3"/>
      <c r="N366" s="3"/>
      <c r="O366" s="3"/>
      <c r="P366" s="4"/>
      <c r="Q366" s="5"/>
      <c r="R366" s="5"/>
      <c r="S366" s="5"/>
      <c r="T366" s="6"/>
      <c r="U366" s="5"/>
      <c r="V366" s="6"/>
      <c r="W366" s="7"/>
      <c r="X366" s="8"/>
      <c r="Y366" s="6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6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C366" s="6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  <c r="JC366" s="5"/>
      <c r="JD366" s="5"/>
      <c r="JE366" s="5"/>
      <c r="JF366" s="5"/>
      <c r="JG366" s="5"/>
      <c r="JH366" s="5"/>
      <c r="JI366" s="5"/>
      <c r="JJ366" s="5"/>
      <c r="JK366" s="5"/>
      <c r="JM366" s="19"/>
      <c r="JN366" s="1">
        <v>364</v>
      </c>
      <c r="JO366" s="5">
        <f>HLOOKUP(JM366,HC$2:JK366,2+JN365,0)-IF(KE366&gt;0,KE366,0)</f>
        <v>0</v>
      </c>
      <c r="JP366" s="5"/>
      <c r="JQ366" s="5"/>
      <c r="JR366" s="5"/>
      <c r="JS366" s="6"/>
      <c r="JT366" s="23"/>
      <c r="JU366" s="13"/>
      <c r="JV366" s="6"/>
      <c r="JW366" s="6"/>
      <c r="JX366" s="6"/>
      <c r="JY366" s="6"/>
      <c r="JZ366" s="10"/>
      <c r="KA366" s="10"/>
      <c r="KB366" s="10"/>
      <c r="KC366" s="10"/>
      <c r="KD366" s="5"/>
      <c r="KE366" s="6"/>
    </row>
    <row r="367" spans="6:291" x14ac:dyDescent="0.3">
      <c r="F367" s="17"/>
      <c r="G367" s="9"/>
      <c r="H367" s="3"/>
      <c r="I367" s="3"/>
      <c r="J367" s="3"/>
      <c r="K367" s="3"/>
      <c r="L367" s="3"/>
      <c r="M367" s="3"/>
      <c r="N367" s="3"/>
      <c r="O367" s="3"/>
      <c r="P367" s="4"/>
      <c r="Q367" s="5"/>
      <c r="R367" s="5"/>
      <c r="S367" s="5"/>
      <c r="T367" s="6"/>
      <c r="U367" s="5"/>
      <c r="V367" s="6"/>
      <c r="W367" s="7"/>
      <c r="X367" s="8"/>
      <c r="Y367" s="6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6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C367" s="6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  <c r="JC367" s="5"/>
      <c r="JD367" s="5"/>
      <c r="JE367" s="5"/>
      <c r="JF367" s="5"/>
      <c r="JG367" s="5"/>
      <c r="JH367" s="5"/>
      <c r="JI367" s="5"/>
      <c r="JJ367" s="5"/>
      <c r="JK367" s="5"/>
      <c r="JM367" s="19"/>
      <c r="JN367" s="1">
        <v>365</v>
      </c>
      <c r="JO367" s="5">
        <f>HLOOKUP(JM367,HC$2:JK367,2+JN366,0)-IF(KE367&gt;0,KE367,0)</f>
        <v>0</v>
      </c>
      <c r="JP367" s="5"/>
      <c r="JQ367" s="5"/>
      <c r="JR367" s="5"/>
      <c r="JS367" s="6"/>
      <c r="JT367" s="23"/>
      <c r="JU367" s="13"/>
      <c r="JV367" s="6"/>
      <c r="JW367" s="6"/>
      <c r="JX367" s="6"/>
      <c r="JY367" s="6"/>
      <c r="JZ367" s="10"/>
      <c r="KA367" s="10"/>
      <c r="KB367" s="10"/>
      <c r="KC367" s="10"/>
      <c r="KD367" s="5"/>
      <c r="KE367" s="6"/>
    </row>
    <row r="368" spans="6:291" x14ac:dyDescent="0.3">
      <c r="F368" s="17"/>
      <c r="G368" s="9"/>
      <c r="H368" s="3"/>
      <c r="I368" s="3"/>
      <c r="J368" s="3"/>
      <c r="K368" s="3"/>
      <c r="L368" s="3"/>
      <c r="M368" s="3"/>
      <c r="N368" s="3"/>
      <c r="O368" s="3"/>
      <c r="P368" s="4"/>
      <c r="Q368" s="5"/>
      <c r="R368" s="5"/>
      <c r="S368" s="5"/>
      <c r="T368" s="6"/>
      <c r="U368" s="5"/>
      <c r="V368" s="6"/>
      <c r="W368" s="7"/>
      <c r="X368" s="8"/>
      <c r="Y368" s="6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6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C368" s="6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  <c r="JC368" s="5"/>
      <c r="JD368" s="5"/>
      <c r="JE368" s="5"/>
      <c r="JF368" s="5"/>
      <c r="JG368" s="5"/>
      <c r="JH368" s="5"/>
      <c r="JI368" s="5"/>
      <c r="JJ368" s="5"/>
      <c r="JK368" s="5"/>
      <c r="JM368" s="19"/>
      <c r="JN368" s="1">
        <v>366</v>
      </c>
      <c r="JO368" s="5">
        <f>HLOOKUP(JM368,HC$2:JK368,2+JN367,0)-IF(KE368&gt;0,KE368,0)</f>
        <v>0</v>
      </c>
      <c r="JP368" s="5"/>
      <c r="JQ368" s="5"/>
      <c r="JR368" s="5"/>
      <c r="JS368" s="6"/>
      <c r="JT368" s="23"/>
      <c r="JU368" s="13"/>
      <c r="JV368" s="6"/>
      <c r="JW368" s="6"/>
      <c r="JX368" s="6"/>
      <c r="JY368" s="6"/>
      <c r="JZ368" s="10"/>
      <c r="KA368" s="10"/>
      <c r="KB368" s="10"/>
      <c r="KC368" s="10"/>
      <c r="KD368" s="5"/>
      <c r="KE368" s="6"/>
    </row>
    <row r="369" spans="6:291" x14ac:dyDescent="0.3">
      <c r="F369" s="17"/>
      <c r="G369" s="9"/>
      <c r="H369" s="3"/>
      <c r="I369" s="3"/>
      <c r="J369" s="3"/>
      <c r="K369" s="3"/>
      <c r="L369" s="3"/>
      <c r="M369" s="3"/>
      <c r="N369" s="3"/>
      <c r="O369" s="3"/>
      <c r="P369" s="4"/>
      <c r="Q369" s="5"/>
      <c r="R369" s="5"/>
      <c r="S369" s="5"/>
      <c r="T369" s="6"/>
      <c r="U369" s="5"/>
      <c r="V369" s="6"/>
      <c r="W369" s="7"/>
      <c r="X369" s="8"/>
      <c r="Y369" s="6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6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C369" s="6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  <c r="JC369" s="5"/>
      <c r="JD369" s="5"/>
      <c r="JE369" s="5"/>
      <c r="JF369" s="5"/>
      <c r="JG369" s="5"/>
      <c r="JH369" s="5"/>
      <c r="JI369" s="5"/>
      <c r="JJ369" s="5"/>
      <c r="JK369" s="5"/>
      <c r="JM369" s="19"/>
      <c r="JN369" s="1">
        <v>367</v>
      </c>
      <c r="JO369" s="5">
        <f>HLOOKUP(JM369,HC$2:JK369,2+JN368,0)-IF(KE369&gt;0,KE369,0)</f>
        <v>0</v>
      </c>
      <c r="JP369" s="5"/>
      <c r="JQ369" s="5"/>
      <c r="JR369" s="5"/>
      <c r="JS369" s="6"/>
      <c r="JT369" s="23"/>
      <c r="JU369" s="13"/>
      <c r="JV369" s="6"/>
      <c r="JW369" s="6"/>
      <c r="JX369" s="6"/>
      <c r="JY369" s="6"/>
      <c r="JZ369" s="10"/>
      <c r="KA369" s="10"/>
      <c r="KB369" s="10"/>
      <c r="KC369" s="10"/>
      <c r="KD369" s="5"/>
      <c r="KE369" s="6"/>
    </row>
    <row r="370" spans="6:291" x14ac:dyDescent="0.3">
      <c r="F370" s="17"/>
      <c r="G370" s="9"/>
      <c r="H370" s="3"/>
      <c r="I370" s="3"/>
      <c r="J370" s="3"/>
      <c r="K370" s="3"/>
      <c r="L370" s="3"/>
      <c r="M370" s="3"/>
      <c r="N370" s="3"/>
      <c r="O370" s="3"/>
      <c r="P370" s="4"/>
      <c r="Q370" s="5"/>
      <c r="R370" s="5"/>
      <c r="S370" s="5"/>
      <c r="T370" s="6"/>
      <c r="U370" s="5"/>
      <c r="V370" s="6"/>
      <c r="W370" s="7"/>
      <c r="X370" s="8"/>
      <c r="Y370" s="6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6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C370" s="6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  <c r="JC370" s="5"/>
      <c r="JD370" s="5"/>
      <c r="JE370" s="5"/>
      <c r="JF370" s="5"/>
      <c r="JG370" s="5"/>
      <c r="JH370" s="5"/>
      <c r="JI370" s="5"/>
      <c r="JJ370" s="5"/>
      <c r="JK370" s="5"/>
      <c r="JM370" s="19"/>
      <c r="JN370" s="1">
        <v>368</v>
      </c>
      <c r="JO370" s="5">
        <f>HLOOKUP(JM370,HC$2:JK370,2+JN369,0)-IF(KE370&gt;0,KE370,0)</f>
        <v>0</v>
      </c>
      <c r="JP370" s="5"/>
      <c r="JQ370" s="5"/>
      <c r="JR370" s="5"/>
      <c r="JS370" s="6"/>
      <c r="JT370" s="23"/>
      <c r="JU370" s="13"/>
      <c r="JV370" s="6"/>
      <c r="JW370" s="6"/>
      <c r="JX370" s="6"/>
      <c r="JY370" s="6"/>
      <c r="JZ370" s="10"/>
      <c r="KA370" s="10"/>
      <c r="KB370" s="10"/>
      <c r="KC370" s="10"/>
      <c r="KD370" s="5"/>
      <c r="KE370" s="6"/>
    </row>
    <row r="371" spans="6:291" x14ac:dyDescent="0.3">
      <c r="F371" s="17"/>
      <c r="G371" s="9"/>
      <c r="H371" s="3"/>
      <c r="I371" s="3"/>
      <c r="J371" s="3"/>
      <c r="K371" s="3"/>
      <c r="L371" s="3"/>
      <c r="M371" s="3"/>
      <c r="N371" s="3"/>
      <c r="O371" s="3"/>
      <c r="P371" s="4"/>
      <c r="Q371" s="5"/>
      <c r="R371" s="5"/>
      <c r="S371" s="5"/>
      <c r="T371" s="6"/>
      <c r="U371" s="5"/>
      <c r="V371" s="6"/>
      <c r="W371" s="7"/>
      <c r="X371" s="8"/>
      <c r="Y371" s="6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6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C371" s="6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  <c r="JC371" s="5"/>
      <c r="JD371" s="5"/>
      <c r="JE371" s="5"/>
      <c r="JF371" s="5"/>
      <c r="JG371" s="5"/>
      <c r="JH371" s="5"/>
      <c r="JI371" s="5"/>
      <c r="JJ371" s="5"/>
      <c r="JK371" s="5"/>
      <c r="JM371" s="19"/>
      <c r="JN371" s="1">
        <v>369</v>
      </c>
      <c r="JO371" s="5">
        <f>HLOOKUP(JM371,HC$2:JK371,2+JN370,0)-IF(KE371&gt;0,KE371,0)</f>
        <v>0</v>
      </c>
      <c r="JP371" s="5"/>
      <c r="JQ371" s="5"/>
      <c r="JR371" s="5"/>
      <c r="JS371" s="6"/>
      <c r="JT371" s="23"/>
      <c r="JU371" s="13"/>
      <c r="JV371" s="6"/>
      <c r="JW371" s="6"/>
      <c r="JX371" s="6"/>
      <c r="JY371" s="6"/>
      <c r="JZ371" s="10"/>
      <c r="KA371" s="10"/>
      <c r="KB371" s="10"/>
      <c r="KC371" s="10"/>
      <c r="KD371" s="5"/>
      <c r="KE371" s="6"/>
    </row>
    <row r="372" spans="6:291" x14ac:dyDescent="0.3">
      <c r="F372" s="17"/>
      <c r="G372" s="9"/>
      <c r="H372" s="3"/>
      <c r="I372" s="3"/>
      <c r="J372" s="3"/>
      <c r="K372" s="3"/>
      <c r="L372" s="3"/>
      <c r="M372" s="3"/>
      <c r="N372" s="3"/>
      <c r="O372" s="3"/>
      <c r="P372" s="4"/>
      <c r="Q372" s="5"/>
      <c r="R372" s="5"/>
      <c r="S372" s="5"/>
      <c r="T372" s="6"/>
      <c r="U372" s="5"/>
      <c r="V372" s="6"/>
      <c r="W372" s="7"/>
      <c r="X372" s="8"/>
      <c r="Y372" s="6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6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C372" s="6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  <c r="JC372" s="5"/>
      <c r="JD372" s="5"/>
      <c r="JE372" s="5"/>
      <c r="JF372" s="5"/>
      <c r="JG372" s="5"/>
      <c r="JH372" s="5"/>
      <c r="JI372" s="5"/>
      <c r="JJ372" s="5"/>
      <c r="JK372" s="5"/>
      <c r="JM372" s="19"/>
      <c r="JN372" s="1">
        <v>370</v>
      </c>
      <c r="JO372" s="5">
        <f>HLOOKUP(JM372,HC$2:JK372,2+JN371,0)-IF(KE372&gt;0,KE372,0)</f>
        <v>0</v>
      </c>
      <c r="JP372" s="5"/>
      <c r="JQ372" s="5"/>
      <c r="JR372" s="5"/>
      <c r="JS372" s="6"/>
      <c r="JT372" s="23"/>
      <c r="JU372" s="13"/>
      <c r="JV372" s="6"/>
      <c r="JW372" s="6"/>
      <c r="JX372" s="6"/>
      <c r="JY372" s="6"/>
      <c r="JZ372" s="10"/>
      <c r="KA372" s="10"/>
      <c r="KB372" s="10"/>
      <c r="KC372" s="10"/>
      <c r="KD372" s="5"/>
      <c r="KE372" s="6"/>
    </row>
    <row r="373" spans="6:291" x14ac:dyDescent="0.3">
      <c r="F373" s="17"/>
      <c r="G373" s="9"/>
      <c r="H373" s="3"/>
      <c r="I373" s="3"/>
      <c r="J373" s="3"/>
      <c r="K373" s="3"/>
      <c r="L373" s="3"/>
      <c r="M373" s="3"/>
      <c r="N373" s="3"/>
      <c r="O373" s="3"/>
      <c r="P373" s="4"/>
      <c r="Q373" s="5"/>
      <c r="R373" s="5"/>
      <c r="S373" s="5"/>
      <c r="T373" s="6"/>
      <c r="U373" s="5"/>
      <c r="V373" s="6"/>
      <c r="W373" s="7"/>
      <c r="X373" s="8"/>
      <c r="Y373" s="6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6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C373" s="6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  <c r="JC373" s="5"/>
      <c r="JD373" s="5"/>
      <c r="JE373" s="5"/>
      <c r="JF373" s="5"/>
      <c r="JG373" s="5"/>
      <c r="JH373" s="5"/>
      <c r="JI373" s="5"/>
      <c r="JJ373" s="5"/>
      <c r="JK373" s="5"/>
      <c r="JM373" s="19"/>
      <c r="JN373" s="1">
        <v>371</v>
      </c>
      <c r="JO373" s="5">
        <f>HLOOKUP(JM373,HC$2:JK373,2+JN372,0)-IF(KE373&gt;0,KE373,0)</f>
        <v>0</v>
      </c>
      <c r="JP373" s="5"/>
      <c r="JQ373" s="5"/>
      <c r="JR373" s="5"/>
      <c r="JS373" s="6"/>
      <c r="JT373" s="23"/>
      <c r="JU373" s="13"/>
      <c r="JV373" s="6"/>
      <c r="JW373" s="6"/>
      <c r="JX373" s="6"/>
      <c r="JY373" s="6"/>
      <c r="JZ373" s="10"/>
      <c r="KA373" s="10"/>
      <c r="KB373" s="10"/>
      <c r="KC373" s="10"/>
      <c r="KD373" s="5"/>
      <c r="KE373" s="6"/>
    </row>
    <row r="374" spans="6:291" x14ac:dyDescent="0.3">
      <c r="F374" s="17"/>
      <c r="G374" s="9"/>
      <c r="H374" s="3"/>
      <c r="I374" s="3"/>
      <c r="J374" s="3"/>
      <c r="K374" s="3"/>
      <c r="L374" s="3"/>
      <c r="M374" s="3"/>
      <c r="N374" s="3"/>
      <c r="O374" s="3"/>
      <c r="P374" s="4"/>
      <c r="Q374" s="5"/>
      <c r="R374" s="5"/>
      <c r="S374" s="5"/>
      <c r="T374" s="6"/>
      <c r="U374" s="5"/>
      <c r="V374" s="6"/>
      <c r="W374" s="7"/>
      <c r="X374" s="8"/>
      <c r="Y374" s="6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6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C374" s="6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  <c r="JC374" s="5"/>
      <c r="JD374" s="5"/>
      <c r="JE374" s="5"/>
      <c r="JF374" s="5"/>
      <c r="JG374" s="5"/>
      <c r="JH374" s="5"/>
      <c r="JI374" s="5"/>
      <c r="JJ374" s="5"/>
      <c r="JK374" s="5"/>
      <c r="JM374" s="19"/>
      <c r="JN374" s="1">
        <v>372</v>
      </c>
      <c r="JO374" s="5">
        <f>HLOOKUP(JM374,HC$2:JK374,2+JN373,0)-IF(KE374&gt;0,KE374,0)</f>
        <v>0</v>
      </c>
      <c r="JP374" s="5"/>
      <c r="JQ374" s="5"/>
      <c r="JR374" s="5"/>
      <c r="JS374" s="6"/>
      <c r="JT374" s="23"/>
      <c r="JU374" s="13"/>
      <c r="JV374" s="6"/>
      <c r="JW374" s="6"/>
      <c r="JX374" s="6"/>
      <c r="JY374" s="6"/>
      <c r="JZ374" s="10"/>
      <c r="KA374" s="10"/>
      <c r="KB374" s="10"/>
      <c r="KC374" s="10"/>
      <c r="KD374" s="5"/>
      <c r="KE374" s="6"/>
    </row>
    <row r="375" spans="6:291" x14ac:dyDescent="0.3">
      <c r="F375" s="17"/>
      <c r="G375" s="9"/>
      <c r="H375" s="3"/>
      <c r="I375" s="3"/>
      <c r="J375" s="3"/>
      <c r="K375" s="3"/>
      <c r="L375" s="3"/>
      <c r="M375" s="3"/>
      <c r="N375" s="3"/>
      <c r="O375" s="3"/>
      <c r="P375" s="4"/>
      <c r="Q375" s="5"/>
      <c r="R375" s="5"/>
      <c r="S375" s="5"/>
      <c r="T375" s="6"/>
      <c r="U375" s="5"/>
      <c r="V375" s="6"/>
      <c r="W375" s="7"/>
      <c r="X375" s="8"/>
      <c r="Y375" s="6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6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C375" s="6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  <c r="JC375" s="5"/>
      <c r="JD375" s="5"/>
      <c r="JE375" s="5"/>
      <c r="JF375" s="5"/>
      <c r="JG375" s="5"/>
      <c r="JH375" s="5"/>
      <c r="JI375" s="5"/>
      <c r="JJ375" s="5"/>
      <c r="JK375" s="5"/>
      <c r="JM375" s="19"/>
      <c r="JN375" s="1">
        <v>373</v>
      </c>
      <c r="JO375" s="5">
        <f>HLOOKUP(JM375,HC$2:JK375,2+JN374,0)-IF(KE375&gt;0,KE375,0)</f>
        <v>0</v>
      </c>
      <c r="JP375" s="5"/>
      <c r="JQ375" s="5"/>
      <c r="JR375" s="5"/>
      <c r="JS375" s="6"/>
      <c r="JT375" s="23"/>
      <c r="JU375" s="13"/>
      <c r="JV375" s="6"/>
      <c r="JW375" s="6"/>
      <c r="JX375" s="6"/>
      <c r="JY375" s="6"/>
      <c r="JZ375" s="10"/>
      <c r="KA375" s="10"/>
      <c r="KB375" s="10"/>
      <c r="KC375" s="10"/>
      <c r="KD375" s="5"/>
      <c r="KE375" s="6"/>
    </row>
    <row r="376" spans="6:291" x14ac:dyDescent="0.3">
      <c r="F376" s="17"/>
      <c r="G376" s="9"/>
      <c r="H376" s="3"/>
      <c r="I376" s="3"/>
      <c r="J376" s="3"/>
      <c r="K376" s="3"/>
      <c r="L376" s="3"/>
      <c r="M376" s="3"/>
      <c r="N376" s="3"/>
      <c r="O376" s="3"/>
      <c r="P376" s="4"/>
      <c r="Q376" s="5"/>
      <c r="R376" s="5"/>
      <c r="S376" s="5"/>
      <c r="T376" s="6"/>
      <c r="U376" s="5"/>
      <c r="V376" s="6"/>
      <c r="W376" s="7"/>
      <c r="X376" s="8"/>
      <c r="Y376" s="6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6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C376" s="6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  <c r="JC376" s="5"/>
      <c r="JD376" s="5"/>
      <c r="JE376" s="5"/>
      <c r="JF376" s="5"/>
      <c r="JG376" s="5"/>
      <c r="JH376" s="5"/>
      <c r="JI376" s="5"/>
      <c r="JJ376" s="5"/>
      <c r="JK376" s="5"/>
      <c r="JM376" s="19"/>
      <c r="JN376" s="1">
        <v>374</v>
      </c>
      <c r="JO376" s="5">
        <f>HLOOKUP(JM376,HC$2:JK376,2+JN375,0)-IF(KE376&gt;0,KE376,0)</f>
        <v>0</v>
      </c>
      <c r="JP376" s="5"/>
      <c r="JQ376" s="5"/>
      <c r="JR376" s="5"/>
      <c r="JS376" s="6"/>
      <c r="JT376" s="23"/>
      <c r="JU376" s="13"/>
      <c r="JV376" s="6"/>
      <c r="JW376" s="6"/>
      <c r="JX376" s="6"/>
      <c r="JY376" s="6"/>
      <c r="JZ376" s="10"/>
      <c r="KA376" s="10"/>
      <c r="KB376" s="10"/>
      <c r="KC376" s="10"/>
      <c r="KD376" s="5"/>
      <c r="KE376" s="6"/>
    </row>
    <row r="377" spans="6:291" x14ac:dyDescent="0.3">
      <c r="F377" s="17"/>
      <c r="G377" s="9"/>
      <c r="H377" s="3"/>
      <c r="I377" s="3"/>
      <c r="J377" s="3"/>
      <c r="K377" s="3"/>
      <c r="L377" s="3"/>
      <c r="M377" s="3"/>
      <c r="N377" s="3"/>
      <c r="O377" s="3"/>
      <c r="P377" s="4"/>
      <c r="Q377" s="5"/>
      <c r="R377" s="5"/>
      <c r="S377" s="5"/>
      <c r="T377" s="6"/>
      <c r="U377" s="5"/>
      <c r="V377" s="6"/>
      <c r="W377" s="7"/>
      <c r="X377" s="8"/>
      <c r="Y377" s="6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6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C377" s="6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  <c r="JC377" s="5"/>
      <c r="JD377" s="5"/>
      <c r="JE377" s="5"/>
      <c r="JF377" s="5"/>
      <c r="JG377" s="5"/>
      <c r="JH377" s="5"/>
      <c r="JI377" s="5"/>
      <c r="JJ377" s="5"/>
      <c r="JK377" s="5"/>
      <c r="JM377" s="19"/>
      <c r="JN377" s="1">
        <v>375</v>
      </c>
      <c r="JO377" s="5">
        <f>HLOOKUP(JM377,HC$2:JK377,2+JN376,0)-IF(KE377&gt;0,KE377,0)</f>
        <v>0</v>
      </c>
      <c r="JP377" s="5"/>
      <c r="JQ377" s="5"/>
      <c r="JR377" s="5"/>
      <c r="JS377" s="6"/>
      <c r="JT377" s="23"/>
      <c r="JU377" s="13"/>
      <c r="JV377" s="6"/>
      <c r="JW377" s="6"/>
      <c r="JX377" s="6"/>
      <c r="JY377" s="6"/>
      <c r="JZ377" s="10"/>
      <c r="KA377" s="10"/>
      <c r="KB377" s="10"/>
      <c r="KC377" s="10"/>
      <c r="KD377" s="5"/>
      <c r="KE377" s="6"/>
    </row>
    <row r="378" spans="6:291" x14ac:dyDescent="0.3">
      <c r="F378" s="17"/>
      <c r="G378" s="9"/>
      <c r="H378" s="3"/>
      <c r="I378" s="3"/>
      <c r="J378" s="3"/>
      <c r="K378" s="3"/>
      <c r="L378" s="3"/>
      <c r="M378" s="3"/>
      <c r="N378" s="3"/>
      <c r="O378" s="3"/>
      <c r="P378" s="4"/>
      <c r="Q378" s="5"/>
      <c r="R378" s="5"/>
      <c r="S378" s="5"/>
      <c r="T378" s="6"/>
      <c r="U378" s="5"/>
      <c r="V378" s="6"/>
      <c r="W378" s="7"/>
      <c r="X378" s="8"/>
      <c r="Y378" s="6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6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C378" s="6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  <c r="JC378" s="5"/>
      <c r="JD378" s="5"/>
      <c r="JE378" s="5"/>
      <c r="JF378" s="5"/>
      <c r="JG378" s="5"/>
      <c r="JH378" s="5"/>
      <c r="JI378" s="5"/>
      <c r="JJ378" s="5"/>
      <c r="JK378" s="5"/>
      <c r="JM378" s="19"/>
      <c r="JN378" s="1">
        <v>376</v>
      </c>
      <c r="JO378" s="5">
        <f>HLOOKUP(JM378,HC$2:JK378,2+JN377,0)-IF(KE378&gt;0,KE378,0)</f>
        <v>0</v>
      </c>
      <c r="JP378" s="5"/>
      <c r="JQ378" s="5"/>
      <c r="JR378" s="5"/>
      <c r="JS378" s="6"/>
      <c r="JT378" s="23"/>
      <c r="JU378" s="13"/>
      <c r="JV378" s="6"/>
      <c r="JW378" s="6"/>
      <c r="JX378" s="6"/>
      <c r="JY378" s="6"/>
      <c r="JZ378" s="10"/>
      <c r="KA378" s="10"/>
      <c r="KB378" s="10"/>
      <c r="KC378" s="10"/>
      <c r="KD378" s="5"/>
      <c r="KE378" s="6"/>
    </row>
    <row r="379" spans="6:291" x14ac:dyDescent="0.3">
      <c r="F379" s="17"/>
      <c r="G379" s="9"/>
      <c r="H379" s="3"/>
      <c r="I379" s="3"/>
      <c r="J379" s="3"/>
      <c r="K379" s="3"/>
      <c r="L379" s="3"/>
      <c r="M379" s="3"/>
      <c r="N379" s="3"/>
      <c r="O379" s="3"/>
      <c r="P379" s="4"/>
      <c r="Q379" s="5"/>
      <c r="R379" s="5"/>
      <c r="S379" s="5"/>
      <c r="T379" s="6"/>
      <c r="U379" s="5"/>
      <c r="V379" s="6"/>
      <c r="W379" s="7"/>
      <c r="X379" s="8"/>
      <c r="Y379" s="6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6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C379" s="6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  <c r="JC379" s="5"/>
      <c r="JD379" s="5"/>
      <c r="JE379" s="5"/>
      <c r="JF379" s="5"/>
      <c r="JG379" s="5"/>
      <c r="JH379" s="5"/>
      <c r="JI379" s="5"/>
      <c r="JJ379" s="5"/>
      <c r="JK379" s="5"/>
      <c r="JM379" s="19"/>
      <c r="JN379" s="1">
        <v>377</v>
      </c>
      <c r="JO379" s="5">
        <f>HLOOKUP(JM379,HC$2:JK379,2+JN378,0)-IF(KE379&gt;0,KE379,0)</f>
        <v>0</v>
      </c>
      <c r="JP379" s="5"/>
      <c r="JQ379" s="5"/>
      <c r="JR379" s="5"/>
      <c r="JS379" s="6"/>
      <c r="JT379" s="23"/>
      <c r="JU379" s="13"/>
      <c r="JV379" s="6"/>
      <c r="JW379" s="6"/>
      <c r="JX379" s="6"/>
      <c r="JY379" s="6"/>
      <c r="JZ379" s="10"/>
      <c r="KA379" s="10"/>
      <c r="KB379" s="10"/>
      <c r="KC379" s="10"/>
      <c r="KD379" s="5"/>
      <c r="KE379" s="6"/>
    </row>
    <row r="380" spans="6:291" x14ac:dyDescent="0.3">
      <c r="F380" s="17"/>
      <c r="G380" s="9"/>
      <c r="H380" s="3"/>
      <c r="I380" s="3"/>
      <c r="J380" s="3"/>
      <c r="K380" s="3"/>
      <c r="L380" s="3"/>
      <c r="M380" s="3"/>
      <c r="N380" s="3"/>
      <c r="O380" s="3"/>
      <c r="P380" s="4"/>
      <c r="Q380" s="5"/>
      <c r="R380" s="5"/>
      <c r="S380" s="5"/>
      <c r="T380" s="6"/>
      <c r="U380" s="5"/>
      <c r="V380" s="6"/>
      <c r="W380" s="7"/>
      <c r="X380" s="8"/>
      <c r="Y380" s="6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6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C380" s="6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  <c r="JC380" s="5"/>
      <c r="JD380" s="5"/>
      <c r="JE380" s="5"/>
      <c r="JF380" s="5"/>
      <c r="JG380" s="5"/>
      <c r="JH380" s="5"/>
      <c r="JI380" s="5"/>
      <c r="JJ380" s="5"/>
      <c r="JK380" s="5"/>
      <c r="JM380" s="19"/>
      <c r="JN380" s="1">
        <v>378</v>
      </c>
      <c r="JO380" s="5">
        <f>HLOOKUP(JM380,HC$2:JK380,2+JN379,0)-IF(KE380&gt;0,KE380,0)</f>
        <v>0</v>
      </c>
      <c r="JP380" s="5"/>
      <c r="JQ380" s="5"/>
      <c r="JR380" s="5"/>
      <c r="JS380" s="6"/>
      <c r="JT380" s="23"/>
      <c r="JU380" s="13"/>
      <c r="JV380" s="6"/>
      <c r="JW380" s="6"/>
      <c r="JX380" s="6"/>
      <c r="JY380" s="6"/>
      <c r="JZ380" s="10"/>
      <c r="KA380" s="10"/>
      <c r="KB380" s="10"/>
      <c r="KC380" s="10"/>
      <c r="KD380" s="5"/>
      <c r="KE380" s="6"/>
    </row>
    <row r="381" spans="6:291" x14ac:dyDescent="0.3">
      <c r="F381" s="17"/>
      <c r="G381" s="9"/>
      <c r="H381" s="3"/>
      <c r="I381" s="3"/>
      <c r="J381" s="3"/>
      <c r="K381" s="3"/>
      <c r="L381" s="3"/>
      <c r="M381" s="3"/>
      <c r="N381" s="3"/>
      <c r="O381" s="3"/>
      <c r="P381" s="4"/>
      <c r="Q381" s="5"/>
      <c r="R381" s="5"/>
      <c r="S381" s="5"/>
      <c r="T381" s="6"/>
      <c r="U381" s="5"/>
      <c r="V381" s="6"/>
      <c r="W381" s="7"/>
      <c r="X381" s="8"/>
      <c r="Y381" s="6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6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C381" s="6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  <c r="JC381" s="5"/>
      <c r="JD381" s="5"/>
      <c r="JE381" s="5"/>
      <c r="JF381" s="5"/>
      <c r="JG381" s="5"/>
      <c r="JH381" s="5"/>
      <c r="JI381" s="5"/>
      <c r="JJ381" s="5"/>
      <c r="JK381" s="5"/>
      <c r="JM381" s="19"/>
      <c r="JN381" s="1">
        <v>379</v>
      </c>
      <c r="JO381" s="5">
        <f>HLOOKUP(JM381,HC$2:JK381,2+JN380,0)-IF(KE381&gt;0,KE381,0)</f>
        <v>0</v>
      </c>
      <c r="JP381" s="5"/>
      <c r="JQ381" s="5"/>
      <c r="JR381" s="5"/>
      <c r="JS381" s="6"/>
      <c r="JT381" s="23"/>
      <c r="JU381" s="13"/>
      <c r="JV381" s="6"/>
      <c r="JW381" s="6"/>
      <c r="JX381" s="6"/>
      <c r="JY381" s="6"/>
      <c r="JZ381" s="10"/>
      <c r="KA381" s="10"/>
      <c r="KB381" s="10"/>
      <c r="KC381" s="10"/>
      <c r="KD381" s="5"/>
      <c r="KE381" s="6"/>
    </row>
    <row r="382" spans="6:291" x14ac:dyDescent="0.3">
      <c r="F382" s="17"/>
      <c r="G382" s="9"/>
      <c r="H382" s="3"/>
      <c r="I382" s="3"/>
      <c r="J382" s="3"/>
      <c r="K382" s="3"/>
      <c r="L382" s="3"/>
      <c r="M382" s="3"/>
      <c r="N382" s="3"/>
      <c r="O382" s="3"/>
      <c r="P382" s="4"/>
      <c r="Q382" s="5"/>
      <c r="R382" s="5"/>
      <c r="S382" s="5"/>
      <c r="T382" s="6"/>
      <c r="U382" s="5"/>
      <c r="V382" s="6"/>
      <c r="W382" s="7"/>
      <c r="X382" s="8"/>
      <c r="Y382" s="6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6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C382" s="6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  <c r="JC382" s="5"/>
      <c r="JD382" s="5"/>
      <c r="JE382" s="5"/>
      <c r="JF382" s="5"/>
      <c r="JG382" s="5"/>
      <c r="JH382" s="5"/>
      <c r="JI382" s="5"/>
      <c r="JJ382" s="5"/>
      <c r="JK382" s="5"/>
      <c r="JM382" s="19"/>
      <c r="JN382" s="1">
        <v>380</v>
      </c>
      <c r="JO382" s="5">
        <f>HLOOKUP(JM382,HC$2:JK382,2+JN381,0)-IF(KE382&gt;0,KE382,0)</f>
        <v>0</v>
      </c>
      <c r="JP382" s="5"/>
      <c r="JQ382" s="5"/>
      <c r="JR382" s="5"/>
      <c r="JS382" s="6"/>
      <c r="JT382" s="23"/>
      <c r="JU382" s="13"/>
      <c r="JV382" s="6"/>
      <c r="JW382" s="6"/>
      <c r="JX382" s="6"/>
      <c r="JY382" s="6"/>
      <c r="JZ382" s="10"/>
      <c r="KA382" s="10"/>
      <c r="KB382" s="10"/>
      <c r="KC382" s="10"/>
      <c r="KD382" s="5"/>
      <c r="KE382" s="6"/>
    </row>
    <row r="383" spans="6:291" x14ac:dyDescent="0.3">
      <c r="F383" s="17"/>
      <c r="G383" s="9"/>
      <c r="H383" s="3"/>
      <c r="I383" s="3"/>
      <c r="J383" s="3"/>
      <c r="K383" s="3"/>
      <c r="L383" s="3"/>
      <c r="M383" s="3"/>
      <c r="N383" s="3"/>
      <c r="O383" s="3"/>
      <c r="P383" s="4"/>
      <c r="Q383" s="5"/>
      <c r="R383" s="5"/>
      <c r="S383" s="5"/>
      <c r="T383" s="6"/>
      <c r="U383" s="5"/>
      <c r="V383" s="6"/>
      <c r="W383" s="7"/>
      <c r="X383" s="8"/>
      <c r="Y383" s="6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6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C383" s="6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  <c r="JC383" s="5"/>
      <c r="JD383" s="5"/>
      <c r="JE383" s="5"/>
      <c r="JF383" s="5"/>
      <c r="JG383" s="5"/>
      <c r="JH383" s="5"/>
      <c r="JI383" s="5"/>
      <c r="JJ383" s="5"/>
      <c r="JK383" s="5"/>
      <c r="JM383" s="19"/>
      <c r="JN383" s="1">
        <v>381</v>
      </c>
      <c r="JO383" s="5">
        <f>HLOOKUP(JM383,HC$2:JK383,2+JN382,0)-IF(KE383&gt;0,KE383,0)</f>
        <v>0</v>
      </c>
      <c r="JP383" s="5"/>
      <c r="JQ383" s="5"/>
      <c r="JR383" s="5"/>
      <c r="JS383" s="6"/>
      <c r="JT383" s="23"/>
      <c r="JU383" s="13"/>
      <c r="JV383" s="6"/>
      <c r="JW383" s="6"/>
      <c r="JX383" s="6"/>
      <c r="JY383" s="6"/>
      <c r="JZ383" s="10"/>
      <c r="KA383" s="10"/>
      <c r="KB383" s="10"/>
      <c r="KC383" s="10"/>
      <c r="KD383" s="5"/>
      <c r="KE383" s="6"/>
    </row>
    <row r="384" spans="6:291" x14ac:dyDescent="0.3">
      <c r="F384" s="17"/>
      <c r="G384" s="9"/>
      <c r="H384" s="3"/>
      <c r="I384" s="3"/>
      <c r="J384" s="3"/>
      <c r="K384" s="3"/>
      <c r="L384" s="3"/>
      <c r="M384" s="3"/>
      <c r="N384" s="3"/>
      <c r="O384" s="3"/>
      <c r="P384" s="4"/>
      <c r="Q384" s="5"/>
      <c r="R384" s="5"/>
      <c r="S384" s="5"/>
      <c r="T384" s="6"/>
      <c r="U384" s="5"/>
      <c r="V384" s="6"/>
      <c r="W384" s="7"/>
      <c r="X384" s="8"/>
      <c r="Y384" s="6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6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C384" s="6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  <c r="JC384" s="5"/>
      <c r="JD384" s="5"/>
      <c r="JE384" s="5"/>
      <c r="JF384" s="5"/>
      <c r="JG384" s="5"/>
      <c r="JH384" s="5"/>
      <c r="JI384" s="5"/>
      <c r="JJ384" s="5"/>
      <c r="JK384" s="5"/>
      <c r="JM384" s="19"/>
      <c r="JN384" s="1">
        <v>382</v>
      </c>
      <c r="JO384" s="5">
        <f>HLOOKUP(JM384,HC$2:JK384,2+JN383,0)-IF(KE384&gt;0,KE384,0)</f>
        <v>0</v>
      </c>
      <c r="JP384" s="5"/>
      <c r="JQ384" s="5"/>
      <c r="JR384" s="5"/>
      <c r="JS384" s="6"/>
      <c r="JT384" s="23"/>
      <c r="JU384" s="13"/>
      <c r="JV384" s="6"/>
      <c r="JW384" s="6"/>
      <c r="JX384" s="6"/>
      <c r="JY384" s="6"/>
      <c r="JZ384" s="10"/>
      <c r="KA384" s="10"/>
      <c r="KB384" s="10"/>
      <c r="KC384" s="10"/>
      <c r="KD384" s="5"/>
      <c r="KE384" s="6"/>
    </row>
    <row r="385" spans="6:291" x14ac:dyDescent="0.3">
      <c r="F385" s="17"/>
      <c r="G385" s="9"/>
      <c r="H385" s="3"/>
      <c r="I385" s="3"/>
      <c r="J385" s="3"/>
      <c r="K385" s="3"/>
      <c r="L385" s="3"/>
      <c r="M385" s="3"/>
      <c r="N385" s="3"/>
      <c r="O385" s="3"/>
      <c r="P385" s="4"/>
      <c r="Q385" s="5"/>
      <c r="R385" s="5"/>
      <c r="S385" s="5"/>
      <c r="T385" s="6"/>
      <c r="U385" s="5"/>
      <c r="V385" s="6"/>
      <c r="W385" s="7"/>
      <c r="X385" s="8"/>
      <c r="Y385" s="6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6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C385" s="6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  <c r="JC385" s="5"/>
      <c r="JD385" s="5"/>
      <c r="JE385" s="5"/>
      <c r="JF385" s="5"/>
      <c r="JG385" s="5"/>
      <c r="JH385" s="5"/>
      <c r="JI385" s="5"/>
      <c r="JJ385" s="5"/>
      <c r="JK385" s="5"/>
      <c r="JM385" s="19"/>
      <c r="JN385" s="1">
        <v>383</v>
      </c>
      <c r="JO385" s="5">
        <f>HLOOKUP(JM385,HC$2:JK385,2+JN384,0)-IF(KE385&gt;0,KE385,0)</f>
        <v>0</v>
      </c>
      <c r="JP385" s="5"/>
      <c r="JQ385" s="5"/>
      <c r="JR385" s="5"/>
      <c r="JS385" s="6"/>
      <c r="JT385" s="23"/>
      <c r="JU385" s="13"/>
      <c r="JV385" s="6"/>
      <c r="JW385" s="6"/>
      <c r="JX385" s="6"/>
      <c r="JY385" s="6"/>
      <c r="JZ385" s="10"/>
      <c r="KA385" s="10"/>
      <c r="KB385" s="10"/>
      <c r="KC385" s="10"/>
      <c r="KD385" s="5"/>
      <c r="KE385" s="6"/>
    </row>
    <row r="386" spans="6:291" x14ac:dyDescent="0.3">
      <c r="F386" s="17"/>
      <c r="G386" s="9"/>
      <c r="H386" s="3"/>
      <c r="I386" s="3"/>
      <c r="J386" s="3"/>
      <c r="K386" s="3"/>
      <c r="L386" s="3"/>
      <c r="M386" s="3"/>
      <c r="N386" s="3"/>
      <c r="O386" s="3"/>
      <c r="P386" s="4"/>
      <c r="Q386" s="5"/>
      <c r="R386" s="5"/>
      <c r="S386" s="5"/>
      <c r="T386" s="6"/>
      <c r="U386" s="5"/>
      <c r="V386" s="6"/>
      <c r="W386" s="7"/>
      <c r="X386" s="8"/>
      <c r="Y386" s="6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6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C386" s="6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  <c r="JC386" s="5"/>
      <c r="JD386" s="5"/>
      <c r="JE386" s="5"/>
      <c r="JF386" s="5"/>
      <c r="JG386" s="5"/>
      <c r="JH386" s="5"/>
      <c r="JI386" s="5"/>
      <c r="JJ386" s="5"/>
      <c r="JK386" s="5"/>
      <c r="JM386" s="19"/>
      <c r="JN386" s="1">
        <v>384</v>
      </c>
      <c r="JO386" s="5">
        <f>HLOOKUP(JM386,HC$2:JK386,2+JN385,0)-IF(KE386&gt;0,KE386,0)</f>
        <v>0</v>
      </c>
      <c r="JP386" s="5"/>
      <c r="JQ386" s="5"/>
      <c r="JR386" s="5"/>
      <c r="JS386" s="6"/>
      <c r="JT386" s="23"/>
      <c r="JU386" s="13"/>
      <c r="JV386" s="6"/>
      <c r="JW386" s="6"/>
      <c r="JX386" s="6"/>
      <c r="JY386" s="6"/>
      <c r="JZ386" s="10"/>
      <c r="KA386" s="10"/>
      <c r="KB386" s="10"/>
      <c r="KC386" s="10"/>
      <c r="KD386" s="5"/>
      <c r="KE386" s="6"/>
    </row>
    <row r="387" spans="6:291" x14ac:dyDescent="0.3">
      <c r="F387" s="17"/>
      <c r="G387" s="9"/>
      <c r="H387" s="3"/>
      <c r="I387" s="3"/>
      <c r="J387" s="3"/>
      <c r="K387" s="3"/>
      <c r="L387" s="3"/>
      <c r="M387" s="3"/>
      <c r="N387" s="3"/>
      <c r="O387" s="3"/>
      <c r="P387" s="4"/>
      <c r="Q387" s="5"/>
      <c r="R387" s="5"/>
      <c r="S387" s="5"/>
      <c r="T387" s="6"/>
      <c r="U387" s="5"/>
      <c r="V387" s="6"/>
      <c r="W387" s="7"/>
      <c r="X387" s="8"/>
      <c r="Y387" s="6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6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C387" s="6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  <c r="JC387" s="5"/>
      <c r="JD387" s="5"/>
      <c r="JE387" s="5"/>
      <c r="JF387" s="5"/>
      <c r="JG387" s="5"/>
      <c r="JH387" s="5"/>
      <c r="JI387" s="5"/>
      <c r="JJ387" s="5"/>
      <c r="JK387" s="5"/>
      <c r="JM387" s="19"/>
      <c r="JN387" s="1">
        <v>385</v>
      </c>
      <c r="JO387" s="5">
        <f>HLOOKUP(JM387,HC$2:JK387,2+JN386,0)-IF(KE387&gt;0,KE387,0)</f>
        <v>0</v>
      </c>
      <c r="JP387" s="5"/>
      <c r="JQ387" s="5"/>
      <c r="JR387" s="5"/>
      <c r="JS387" s="6"/>
      <c r="JT387" s="23"/>
      <c r="JU387" s="13"/>
      <c r="JV387" s="6"/>
      <c r="JW387" s="6"/>
      <c r="JX387" s="6"/>
      <c r="JY387" s="6"/>
      <c r="JZ387" s="10"/>
      <c r="KA387" s="10"/>
      <c r="KB387" s="10"/>
      <c r="KC387" s="10"/>
      <c r="KD387" s="5"/>
      <c r="KE387" s="6"/>
    </row>
    <row r="388" spans="6:291" x14ac:dyDescent="0.3">
      <c r="F388" s="17"/>
      <c r="G388" s="9"/>
      <c r="H388" s="3"/>
      <c r="I388" s="3"/>
      <c r="J388" s="3"/>
      <c r="K388" s="3"/>
      <c r="L388" s="3"/>
      <c r="M388" s="3"/>
      <c r="N388" s="3"/>
      <c r="O388" s="3"/>
      <c r="P388" s="4"/>
      <c r="Q388" s="5"/>
      <c r="R388" s="5"/>
      <c r="S388" s="5"/>
      <c r="T388" s="6"/>
      <c r="U388" s="5"/>
      <c r="V388" s="6"/>
      <c r="W388" s="7"/>
      <c r="X388" s="8"/>
      <c r="Y388" s="6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6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C388" s="6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  <c r="JC388" s="5"/>
      <c r="JD388" s="5"/>
      <c r="JE388" s="5"/>
      <c r="JF388" s="5"/>
      <c r="JG388" s="5"/>
      <c r="JH388" s="5"/>
      <c r="JI388" s="5"/>
      <c r="JJ388" s="5"/>
      <c r="JK388" s="5"/>
      <c r="JM388" s="19"/>
      <c r="JN388" s="1">
        <v>386</v>
      </c>
      <c r="JO388" s="5">
        <f>HLOOKUP(JM388,HC$2:JK388,2+JN387,0)-IF(KE388&gt;0,KE388,0)</f>
        <v>0</v>
      </c>
      <c r="JP388" s="5"/>
      <c r="JQ388" s="5"/>
      <c r="JR388" s="5"/>
      <c r="JS388" s="6"/>
      <c r="JT388" s="23"/>
      <c r="JU388" s="13"/>
      <c r="JV388" s="6"/>
      <c r="JW388" s="6"/>
      <c r="JX388" s="6"/>
      <c r="JY388" s="6"/>
      <c r="JZ388" s="10"/>
      <c r="KA388" s="10"/>
      <c r="KB388" s="10"/>
      <c r="KC388" s="10"/>
      <c r="KD388" s="5"/>
      <c r="KE388" s="6"/>
    </row>
    <row r="389" spans="6:291" x14ac:dyDescent="0.3">
      <c r="F389" s="17"/>
      <c r="G389" s="9"/>
      <c r="H389" s="3"/>
      <c r="I389" s="3"/>
      <c r="J389" s="3"/>
      <c r="K389" s="3"/>
      <c r="L389" s="3"/>
      <c r="M389" s="3"/>
      <c r="N389" s="3"/>
      <c r="O389" s="3"/>
      <c r="P389" s="4"/>
      <c r="Q389" s="5"/>
      <c r="R389" s="5"/>
      <c r="S389" s="5"/>
      <c r="T389" s="6"/>
      <c r="U389" s="5"/>
      <c r="V389" s="6"/>
      <c r="W389" s="7"/>
      <c r="X389" s="8"/>
      <c r="Y389" s="6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6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C389" s="6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  <c r="JC389" s="5"/>
      <c r="JD389" s="5"/>
      <c r="JE389" s="5"/>
      <c r="JF389" s="5"/>
      <c r="JG389" s="5"/>
      <c r="JH389" s="5"/>
      <c r="JI389" s="5"/>
      <c r="JJ389" s="5"/>
      <c r="JK389" s="5"/>
      <c r="JM389" s="19"/>
      <c r="JN389" s="1">
        <v>387</v>
      </c>
      <c r="JO389" s="5">
        <f>HLOOKUP(JM389,HC$2:JK389,2+JN388,0)-IF(KE389&gt;0,KE389,0)</f>
        <v>0</v>
      </c>
      <c r="JP389" s="5"/>
      <c r="JQ389" s="5"/>
      <c r="JR389" s="5"/>
      <c r="JS389" s="6"/>
      <c r="JT389" s="23"/>
      <c r="JU389" s="13"/>
      <c r="JV389" s="6"/>
      <c r="JW389" s="6"/>
      <c r="JX389" s="6"/>
      <c r="JY389" s="6"/>
      <c r="JZ389" s="10"/>
      <c r="KA389" s="10"/>
      <c r="KB389" s="10"/>
      <c r="KC389" s="10"/>
      <c r="KD389" s="5"/>
      <c r="KE389" s="6"/>
    </row>
    <row r="390" spans="6:291" x14ac:dyDescent="0.3">
      <c r="F390" s="17"/>
      <c r="G390" s="9"/>
      <c r="H390" s="3"/>
      <c r="I390" s="3"/>
      <c r="J390" s="3"/>
      <c r="K390" s="3"/>
      <c r="L390" s="3"/>
      <c r="M390" s="3"/>
      <c r="N390" s="3"/>
      <c r="O390" s="3"/>
      <c r="P390" s="4"/>
      <c r="Q390" s="5"/>
      <c r="R390" s="5"/>
      <c r="S390" s="5"/>
      <c r="T390" s="6"/>
      <c r="U390" s="5"/>
      <c r="V390" s="6"/>
      <c r="W390" s="7"/>
      <c r="X390" s="8"/>
      <c r="Y390" s="6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6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C390" s="6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  <c r="JC390" s="5"/>
      <c r="JD390" s="5"/>
      <c r="JE390" s="5"/>
      <c r="JF390" s="5"/>
      <c r="JG390" s="5"/>
      <c r="JH390" s="5"/>
      <c r="JI390" s="5"/>
      <c r="JJ390" s="5"/>
      <c r="JK390" s="5"/>
      <c r="JM390" s="19"/>
      <c r="JN390" s="1">
        <v>388</v>
      </c>
      <c r="JO390" s="5">
        <f>HLOOKUP(JM390,HC$2:JK390,2+JN389,0)-IF(KE390&gt;0,KE390,0)</f>
        <v>0</v>
      </c>
      <c r="JP390" s="5"/>
      <c r="JQ390" s="5"/>
      <c r="JR390" s="5"/>
      <c r="JS390" s="6"/>
      <c r="JT390" s="23"/>
      <c r="JU390" s="13"/>
      <c r="JV390" s="6"/>
      <c r="JW390" s="6"/>
      <c r="JX390" s="6"/>
      <c r="JY390" s="6"/>
      <c r="JZ390" s="10"/>
      <c r="KA390" s="10"/>
      <c r="KB390" s="10"/>
      <c r="KC390" s="10"/>
      <c r="KD390" s="5"/>
      <c r="KE390" s="6"/>
    </row>
    <row r="391" spans="6:291" x14ac:dyDescent="0.3">
      <c r="F391" s="17"/>
      <c r="G391" s="9"/>
      <c r="H391" s="3"/>
      <c r="I391" s="3"/>
      <c r="J391" s="3"/>
      <c r="K391" s="3"/>
      <c r="L391" s="3"/>
      <c r="M391" s="3"/>
      <c r="N391" s="3"/>
      <c r="O391" s="3"/>
      <c r="P391" s="4"/>
      <c r="Q391" s="5"/>
      <c r="R391" s="5"/>
      <c r="S391" s="5"/>
      <c r="T391" s="6"/>
      <c r="U391" s="5"/>
      <c r="V391" s="6"/>
      <c r="W391" s="7"/>
      <c r="X391" s="8"/>
      <c r="Y391" s="6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6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C391" s="6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  <c r="JC391" s="5"/>
      <c r="JD391" s="5"/>
      <c r="JE391" s="5"/>
      <c r="JF391" s="5"/>
      <c r="JG391" s="5"/>
      <c r="JH391" s="5"/>
      <c r="JI391" s="5"/>
      <c r="JJ391" s="5"/>
      <c r="JK391" s="5"/>
      <c r="JM391" s="19"/>
      <c r="JN391" s="1">
        <v>389</v>
      </c>
      <c r="JO391" s="5">
        <f>HLOOKUP(JM391,HC$2:JK391,2+JN390,0)-IF(KE391&gt;0,KE391,0)</f>
        <v>0</v>
      </c>
      <c r="JP391" s="5"/>
      <c r="JQ391" s="5"/>
      <c r="JR391" s="5"/>
      <c r="JS391" s="6"/>
      <c r="JT391" s="23"/>
      <c r="JU391" s="13"/>
      <c r="JV391" s="6"/>
      <c r="JW391" s="6"/>
      <c r="JX391" s="6"/>
      <c r="JY391" s="6"/>
      <c r="JZ391" s="10"/>
      <c r="KA391" s="10"/>
      <c r="KB391" s="10"/>
      <c r="KC391" s="10"/>
      <c r="KD391" s="5"/>
      <c r="KE391" s="6"/>
    </row>
    <row r="392" spans="6:291" x14ac:dyDescent="0.3">
      <c r="F392" s="17"/>
      <c r="G392" s="9"/>
      <c r="H392" s="3"/>
      <c r="I392" s="3"/>
      <c r="J392" s="3"/>
      <c r="K392" s="3"/>
      <c r="L392" s="3"/>
      <c r="M392" s="3"/>
      <c r="N392" s="3"/>
      <c r="O392" s="3"/>
      <c r="P392" s="4"/>
      <c r="Q392" s="5"/>
      <c r="R392" s="5"/>
      <c r="S392" s="5"/>
      <c r="T392" s="6"/>
      <c r="U392" s="5"/>
      <c r="V392" s="6"/>
      <c r="W392" s="7"/>
      <c r="X392" s="8"/>
      <c r="Y392" s="6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6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C392" s="6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  <c r="JC392" s="5"/>
      <c r="JD392" s="5"/>
      <c r="JE392" s="5"/>
      <c r="JF392" s="5"/>
      <c r="JG392" s="5"/>
      <c r="JH392" s="5"/>
      <c r="JI392" s="5"/>
      <c r="JJ392" s="5"/>
      <c r="JK392" s="5"/>
      <c r="JM392" s="19"/>
      <c r="JN392" s="1">
        <v>390</v>
      </c>
      <c r="JO392" s="5">
        <f>HLOOKUP(JM392,HC$2:JK392,2+JN391,0)-IF(KE392&gt;0,KE392,0)</f>
        <v>0</v>
      </c>
      <c r="JP392" s="5"/>
      <c r="JQ392" s="5"/>
      <c r="JR392" s="5"/>
      <c r="JS392" s="6"/>
      <c r="JT392" s="23"/>
      <c r="JU392" s="13"/>
      <c r="JV392" s="6"/>
      <c r="JW392" s="6"/>
      <c r="JX392" s="6"/>
      <c r="JY392" s="6"/>
      <c r="JZ392" s="10"/>
      <c r="KA392" s="10"/>
      <c r="KB392" s="10"/>
      <c r="KC392" s="10"/>
      <c r="KD392" s="5"/>
      <c r="KE392" s="6"/>
    </row>
    <row r="393" spans="6:291" x14ac:dyDescent="0.3">
      <c r="F393" s="17"/>
      <c r="G393" s="9"/>
      <c r="H393" s="3"/>
      <c r="I393" s="3"/>
      <c r="J393" s="3"/>
      <c r="K393" s="3"/>
      <c r="L393" s="3"/>
      <c r="M393" s="3"/>
      <c r="N393" s="3"/>
      <c r="O393" s="3"/>
      <c r="P393" s="4"/>
      <c r="Q393" s="5"/>
      <c r="R393" s="5"/>
      <c r="S393" s="5"/>
      <c r="T393" s="6"/>
      <c r="U393" s="5"/>
      <c r="V393" s="6"/>
      <c r="W393" s="7"/>
      <c r="X393" s="8"/>
      <c r="Y393" s="6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6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C393" s="6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  <c r="JC393" s="5"/>
      <c r="JD393" s="5"/>
      <c r="JE393" s="5"/>
      <c r="JF393" s="5"/>
      <c r="JG393" s="5"/>
      <c r="JH393" s="5"/>
      <c r="JI393" s="5"/>
      <c r="JJ393" s="5"/>
      <c r="JK393" s="5"/>
      <c r="JM393" s="19"/>
      <c r="JN393" s="1">
        <v>391</v>
      </c>
      <c r="JO393" s="5">
        <f>HLOOKUP(JM393,HC$2:JK393,2+JN392,0)-IF(KE393&gt;0,KE393,0)</f>
        <v>0</v>
      </c>
      <c r="JP393" s="5"/>
      <c r="JQ393" s="5"/>
      <c r="JR393" s="5"/>
      <c r="JS393" s="6"/>
      <c r="JT393" s="23"/>
      <c r="JU393" s="13"/>
      <c r="JV393" s="6"/>
      <c r="JW393" s="6"/>
      <c r="JX393" s="6"/>
      <c r="JY393" s="6"/>
      <c r="JZ393" s="10"/>
      <c r="KA393" s="10"/>
      <c r="KB393" s="10"/>
      <c r="KC393" s="10"/>
      <c r="KD393" s="5"/>
      <c r="KE393" s="6"/>
    </row>
    <row r="394" spans="6:291" x14ac:dyDescent="0.3">
      <c r="F394" s="17"/>
      <c r="G394" s="9"/>
      <c r="H394" s="3"/>
      <c r="I394" s="3"/>
      <c r="J394" s="3"/>
      <c r="K394" s="3"/>
      <c r="L394" s="3"/>
      <c r="M394" s="3"/>
      <c r="N394" s="3"/>
      <c r="O394" s="3"/>
      <c r="P394" s="4"/>
      <c r="Q394" s="5"/>
      <c r="R394" s="5"/>
      <c r="S394" s="5"/>
      <c r="T394" s="6"/>
      <c r="U394" s="5"/>
      <c r="V394" s="6"/>
      <c r="W394" s="7"/>
      <c r="X394" s="8"/>
      <c r="Y394" s="6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6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C394" s="6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  <c r="JC394" s="5"/>
      <c r="JD394" s="5"/>
      <c r="JE394" s="5"/>
      <c r="JF394" s="5"/>
      <c r="JG394" s="5"/>
      <c r="JH394" s="5"/>
      <c r="JI394" s="5"/>
      <c r="JJ394" s="5"/>
      <c r="JK394" s="5"/>
      <c r="JM394" s="19"/>
      <c r="JN394" s="1">
        <v>392</v>
      </c>
      <c r="JO394" s="5">
        <f>HLOOKUP(JM394,HC$2:JK394,2+JN393,0)-IF(KE394&gt;0,KE394,0)</f>
        <v>0</v>
      </c>
      <c r="JP394" s="5"/>
      <c r="JQ394" s="5"/>
      <c r="JR394" s="5"/>
      <c r="JS394" s="6"/>
      <c r="JT394" s="23"/>
      <c r="JU394" s="13"/>
      <c r="JV394" s="6"/>
      <c r="JW394" s="6"/>
      <c r="JX394" s="6"/>
      <c r="JY394" s="6"/>
      <c r="JZ394" s="10"/>
      <c r="KA394" s="10"/>
      <c r="KB394" s="10"/>
      <c r="KC394" s="10"/>
      <c r="KD394" s="5"/>
      <c r="KE394" s="6"/>
    </row>
    <row r="395" spans="6:291" x14ac:dyDescent="0.3">
      <c r="F395" s="17"/>
      <c r="G395" s="9"/>
      <c r="H395" s="3"/>
      <c r="I395" s="3"/>
      <c r="J395" s="3"/>
      <c r="K395" s="3"/>
      <c r="L395" s="3"/>
      <c r="M395" s="3"/>
      <c r="N395" s="3"/>
      <c r="O395" s="3"/>
      <c r="P395" s="4"/>
      <c r="Q395" s="5"/>
      <c r="R395" s="5"/>
      <c r="S395" s="5"/>
      <c r="T395" s="6"/>
      <c r="U395" s="5"/>
      <c r="V395" s="6"/>
      <c r="W395" s="7"/>
      <c r="X395" s="8"/>
      <c r="Y395" s="6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6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C395" s="6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  <c r="JC395" s="5"/>
      <c r="JD395" s="5"/>
      <c r="JE395" s="5"/>
      <c r="JF395" s="5"/>
      <c r="JG395" s="5"/>
      <c r="JH395" s="5"/>
      <c r="JI395" s="5"/>
      <c r="JJ395" s="5"/>
      <c r="JK395" s="5"/>
      <c r="JM395" s="19"/>
      <c r="JN395" s="1">
        <v>393</v>
      </c>
      <c r="JO395" s="5">
        <f>HLOOKUP(JM395,HC$2:JK395,2+JN394,0)-IF(KE395&gt;0,KE395,0)</f>
        <v>0</v>
      </c>
      <c r="JP395" s="5"/>
      <c r="JQ395" s="5"/>
      <c r="JR395" s="5"/>
      <c r="JS395" s="6"/>
      <c r="JT395" s="23"/>
      <c r="JU395" s="13"/>
      <c r="JV395" s="6"/>
      <c r="JW395" s="6"/>
      <c r="JX395" s="6"/>
      <c r="JY395" s="6"/>
      <c r="JZ395" s="10"/>
      <c r="KA395" s="10"/>
      <c r="KB395" s="10"/>
      <c r="KC395" s="10"/>
      <c r="KD395" s="5"/>
      <c r="KE395" s="6"/>
    </row>
    <row r="396" spans="6:291" x14ac:dyDescent="0.3">
      <c r="F396" s="17"/>
      <c r="G396" s="9"/>
      <c r="H396" s="3"/>
      <c r="I396" s="3"/>
      <c r="J396" s="3"/>
      <c r="K396" s="3"/>
      <c r="L396" s="3"/>
      <c r="M396" s="3"/>
      <c r="N396" s="3"/>
      <c r="O396" s="3"/>
      <c r="P396" s="4"/>
      <c r="Q396" s="5"/>
      <c r="R396" s="5"/>
      <c r="S396" s="5"/>
      <c r="T396" s="6"/>
      <c r="U396" s="5"/>
      <c r="V396" s="6"/>
      <c r="W396" s="7"/>
      <c r="X396" s="8"/>
      <c r="Y396" s="6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6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C396" s="6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  <c r="JC396" s="5"/>
      <c r="JD396" s="5"/>
      <c r="JE396" s="5"/>
      <c r="JF396" s="5"/>
      <c r="JG396" s="5"/>
      <c r="JH396" s="5"/>
      <c r="JI396" s="5"/>
      <c r="JJ396" s="5"/>
      <c r="JK396" s="5"/>
      <c r="JM396" s="19"/>
      <c r="JN396" s="1">
        <v>394</v>
      </c>
      <c r="JO396" s="5">
        <f>HLOOKUP(JM396,HC$2:JK396,2+JN395,0)-IF(KE396&gt;0,KE396,0)</f>
        <v>0</v>
      </c>
      <c r="JP396" s="5"/>
      <c r="JQ396" s="5"/>
      <c r="JR396" s="5"/>
      <c r="JS396" s="6"/>
      <c r="JT396" s="23"/>
      <c r="JU396" s="13"/>
      <c r="JV396" s="6"/>
      <c r="JW396" s="6"/>
      <c r="JX396" s="6"/>
      <c r="JY396" s="6"/>
      <c r="JZ396" s="10"/>
      <c r="KA396" s="10"/>
      <c r="KB396" s="10"/>
      <c r="KC396" s="10"/>
      <c r="KD396" s="5"/>
      <c r="KE396" s="6"/>
    </row>
    <row r="397" spans="6:291" x14ac:dyDescent="0.3">
      <c r="F397" s="17"/>
      <c r="G397" s="9"/>
      <c r="H397" s="3"/>
      <c r="I397" s="3"/>
      <c r="J397" s="3"/>
      <c r="K397" s="3"/>
      <c r="L397" s="3"/>
      <c r="M397" s="3"/>
      <c r="N397" s="3"/>
      <c r="O397" s="3"/>
      <c r="P397" s="4"/>
      <c r="Q397" s="5"/>
      <c r="R397" s="5"/>
      <c r="S397" s="5"/>
      <c r="T397" s="6"/>
      <c r="U397" s="5"/>
      <c r="V397" s="6"/>
      <c r="W397" s="7"/>
      <c r="X397" s="8"/>
      <c r="Y397" s="6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6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C397" s="6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  <c r="JC397" s="5"/>
      <c r="JD397" s="5"/>
      <c r="JE397" s="5"/>
      <c r="JF397" s="5"/>
      <c r="JG397" s="5"/>
      <c r="JH397" s="5"/>
      <c r="JI397" s="5"/>
      <c r="JJ397" s="5"/>
      <c r="JK397" s="5"/>
      <c r="JM397" s="19"/>
      <c r="JN397" s="1">
        <v>395</v>
      </c>
      <c r="JO397" s="5">
        <f>HLOOKUP(JM397,HC$2:JK397,2+JN396,0)-IF(KE397&gt;0,KE397,0)</f>
        <v>0</v>
      </c>
      <c r="JP397" s="5"/>
      <c r="JQ397" s="5"/>
      <c r="JR397" s="5"/>
      <c r="JS397" s="6"/>
      <c r="JT397" s="23"/>
      <c r="JU397" s="13"/>
      <c r="JV397" s="6"/>
      <c r="JW397" s="6"/>
      <c r="JX397" s="6"/>
      <c r="JY397" s="6"/>
      <c r="JZ397" s="10"/>
      <c r="KA397" s="10"/>
      <c r="KB397" s="10"/>
      <c r="KC397" s="10"/>
      <c r="KD397" s="5"/>
      <c r="KE397" s="6"/>
    </row>
    <row r="398" spans="6:291" x14ac:dyDescent="0.3">
      <c r="F398" s="17"/>
      <c r="G398" s="9"/>
      <c r="H398" s="3"/>
      <c r="I398" s="3"/>
      <c r="J398" s="3"/>
      <c r="K398" s="3"/>
      <c r="L398" s="3"/>
      <c r="M398" s="3"/>
      <c r="N398" s="3"/>
      <c r="O398" s="3"/>
      <c r="P398" s="4"/>
      <c r="Q398" s="5"/>
      <c r="R398" s="5"/>
      <c r="S398" s="5"/>
      <c r="T398" s="6"/>
      <c r="U398" s="5"/>
      <c r="V398" s="6"/>
      <c r="W398" s="7"/>
      <c r="X398" s="8"/>
      <c r="Y398" s="6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6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C398" s="6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  <c r="JC398" s="5"/>
      <c r="JD398" s="5"/>
      <c r="JE398" s="5"/>
      <c r="JF398" s="5"/>
      <c r="JG398" s="5"/>
      <c r="JH398" s="5"/>
      <c r="JI398" s="5"/>
      <c r="JJ398" s="5"/>
      <c r="JK398" s="5"/>
      <c r="JM398" s="19"/>
      <c r="JN398" s="1">
        <v>396</v>
      </c>
      <c r="JO398" s="5">
        <f>HLOOKUP(JM398,HC$2:JK398,2+JN397,0)-IF(KE398&gt;0,KE398,0)</f>
        <v>0</v>
      </c>
      <c r="JP398" s="5"/>
      <c r="JQ398" s="5"/>
      <c r="JR398" s="5"/>
      <c r="JS398" s="6"/>
      <c r="JT398" s="23"/>
      <c r="JU398" s="13"/>
      <c r="JV398" s="6"/>
      <c r="JW398" s="6"/>
      <c r="JX398" s="6"/>
      <c r="JY398" s="6"/>
      <c r="JZ398" s="10"/>
      <c r="KA398" s="10"/>
      <c r="KB398" s="10"/>
      <c r="KC398" s="10"/>
      <c r="KD398" s="5"/>
      <c r="KE398" s="6"/>
    </row>
    <row r="399" spans="6:291" x14ac:dyDescent="0.3">
      <c r="F399" s="17"/>
      <c r="G399" s="9"/>
      <c r="H399" s="3"/>
      <c r="I399" s="3"/>
      <c r="J399" s="3"/>
      <c r="K399" s="3"/>
      <c r="L399" s="3"/>
      <c r="M399" s="3"/>
      <c r="N399" s="3"/>
      <c r="O399" s="3"/>
      <c r="P399" s="4"/>
      <c r="Q399" s="5"/>
      <c r="R399" s="5"/>
      <c r="S399" s="5"/>
      <c r="T399" s="6"/>
      <c r="U399" s="5"/>
      <c r="V399" s="6"/>
      <c r="W399" s="7"/>
      <c r="X399" s="8"/>
      <c r="Y399" s="6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6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C399" s="6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  <c r="JC399" s="5"/>
      <c r="JD399" s="5"/>
      <c r="JE399" s="5"/>
      <c r="JF399" s="5"/>
      <c r="JG399" s="5"/>
      <c r="JH399" s="5"/>
      <c r="JI399" s="5"/>
      <c r="JJ399" s="5"/>
      <c r="JK399" s="5"/>
      <c r="JM399" s="19"/>
      <c r="JN399" s="1">
        <v>397</v>
      </c>
      <c r="JO399" s="5">
        <f>HLOOKUP(JM399,HC$2:JK399,2+JN398,0)-IF(KE399&gt;0,KE399,0)</f>
        <v>0</v>
      </c>
      <c r="JP399" s="5"/>
      <c r="JQ399" s="5"/>
      <c r="JR399" s="5"/>
      <c r="JS399" s="6"/>
      <c r="JT399" s="23"/>
      <c r="JU399" s="13"/>
      <c r="JV399" s="6"/>
      <c r="JW399" s="6"/>
      <c r="JX399" s="6"/>
      <c r="JY399" s="6"/>
      <c r="JZ399" s="10"/>
      <c r="KA399" s="10"/>
      <c r="KB399" s="10"/>
      <c r="KC399" s="10"/>
      <c r="KD399" s="5"/>
      <c r="KE399" s="6"/>
    </row>
    <row r="400" spans="6:291" x14ac:dyDescent="0.3">
      <c r="F400" s="17"/>
      <c r="G400" s="9"/>
      <c r="H400" s="3"/>
      <c r="I400" s="3"/>
      <c r="J400" s="3"/>
      <c r="K400" s="3"/>
      <c r="L400" s="3"/>
      <c r="M400" s="3"/>
      <c r="N400" s="3"/>
      <c r="O400" s="3"/>
      <c r="P400" s="4"/>
      <c r="Q400" s="5"/>
      <c r="R400" s="5"/>
      <c r="S400" s="5"/>
      <c r="T400" s="6"/>
      <c r="U400" s="5"/>
      <c r="V400" s="6"/>
      <c r="W400" s="7"/>
      <c r="X400" s="8"/>
      <c r="Y400" s="6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6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C400" s="6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  <c r="JC400" s="5"/>
      <c r="JD400" s="5"/>
      <c r="JE400" s="5"/>
      <c r="JF400" s="5"/>
      <c r="JG400" s="5"/>
      <c r="JH400" s="5"/>
      <c r="JI400" s="5"/>
      <c r="JJ400" s="5"/>
      <c r="JK400" s="5"/>
      <c r="JM400" s="19"/>
      <c r="JN400" s="1">
        <v>398</v>
      </c>
      <c r="JO400" s="5">
        <f>HLOOKUP(JM400,HC$2:JK400,2+JN399,0)-IF(KE400&gt;0,KE400,0)</f>
        <v>0</v>
      </c>
      <c r="JP400" s="5"/>
      <c r="JQ400" s="5"/>
      <c r="JR400" s="5"/>
      <c r="JS400" s="6"/>
      <c r="JT400" s="23"/>
      <c r="JU400" s="13"/>
      <c r="JV400" s="6"/>
      <c r="JW400" s="6"/>
      <c r="JX400" s="6"/>
      <c r="JY400" s="6"/>
      <c r="JZ400" s="10"/>
      <c r="KA400" s="10"/>
      <c r="KB400" s="10"/>
      <c r="KC400" s="10"/>
      <c r="KD400" s="5"/>
      <c r="KE400" s="6"/>
    </row>
    <row r="401" spans="6:291" x14ac:dyDescent="0.3">
      <c r="F401" s="17"/>
      <c r="G401" s="9"/>
      <c r="H401" s="3"/>
      <c r="I401" s="3"/>
      <c r="J401" s="3"/>
      <c r="K401" s="3"/>
      <c r="L401" s="3"/>
      <c r="M401" s="3"/>
      <c r="N401" s="3"/>
      <c r="O401" s="3"/>
      <c r="P401" s="4"/>
      <c r="Q401" s="5"/>
      <c r="R401" s="5"/>
      <c r="S401" s="5"/>
      <c r="T401" s="6"/>
      <c r="U401" s="5"/>
      <c r="V401" s="6"/>
      <c r="W401" s="7"/>
      <c r="X401" s="8"/>
      <c r="Y401" s="6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6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C401" s="6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  <c r="JC401" s="5"/>
      <c r="JD401" s="5"/>
      <c r="JE401" s="5"/>
      <c r="JF401" s="5"/>
      <c r="JG401" s="5"/>
      <c r="JH401" s="5"/>
      <c r="JI401" s="5"/>
      <c r="JJ401" s="5"/>
      <c r="JK401" s="5"/>
      <c r="JM401" s="19"/>
      <c r="JN401" s="1">
        <v>399</v>
      </c>
      <c r="JO401" s="5">
        <f>HLOOKUP(JM401,HC$2:JK401,2+JN400,0)-IF(KE401&gt;0,KE401,0)</f>
        <v>0</v>
      </c>
      <c r="JP401" s="5"/>
      <c r="JQ401" s="5"/>
      <c r="JR401" s="5"/>
      <c r="JS401" s="6"/>
      <c r="JT401" s="23"/>
      <c r="JU401" s="13"/>
      <c r="JV401" s="6"/>
      <c r="JW401" s="6"/>
      <c r="JX401" s="6"/>
      <c r="JY401" s="6"/>
      <c r="JZ401" s="10"/>
      <c r="KA401" s="10"/>
      <c r="KB401" s="10"/>
      <c r="KC401" s="10"/>
      <c r="KD401" s="5"/>
      <c r="KE401" s="6"/>
    </row>
    <row r="402" spans="6:291" x14ac:dyDescent="0.3">
      <c r="F402" s="17"/>
      <c r="G402" s="9"/>
      <c r="H402" s="3"/>
      <c r="I402" s="3"/>
      <c r="J402" s="3"/>
      <c r="K402" s="3"/>
      <c r="L402" s="3"/>
      <c r="M402" s="3"/>
      <c r="N402" s="3"/>
      <c r="O402" s="3"/>
      <c r="P402" s="4"/>
      <c r="Q402" s="5"/>
      <c r="R402" s="5"/>
      <c r="S402" s="5"/>
      <c r="T402" s="6"/>
      <c r="U402" s="5"/>
      <c r="V402" s="6"/>
      <c r="W402" s="7"/>
      <c r="X402" s="8"/>
      <c r="Y402" s="6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6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C402" s="6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  <c r="JC402" s="5"/>
      <c r="JD402" s="5"/>
      <c r="JE402" s="5"/>
      <c r="JF402" s="5"/>
      <c r="JG402" s="5"/>
      <c r="JH402" s="5"/>
      <c r="JI402" s="5"/>
      <c r="JJ402" s="5"/>
      <c r="JK402" s="5"/>
      <c r="JM402" s="19"/>
      <c r="JN402" s="1">
        <v>400</v>
      </c>
      <c r="JO402" s="5">
        <f>HLOOKUP(JM402,HC$2:JK402,2+JN401,0)-IF(KE402&gt;0,KE402,0)</f>
        <v>0</v>
      </c>
      <c r="JP402" s="5"/>
      <c r="JQ402" s="5"/>
      <c r="JR402" s="5"/>
      <c r="JS402" s="6"/>
      <c r="JT402" s="23"/>
      <c r="JU402" s="13"/>
      <c r="JV402" s="6"/>
      <c r="JW402" s="6"/>
      <c r="JX402" s="6"/>
      <c r="JY402" s="6"/>
      <c r="JZ402" s="10"/>
      <c r="KA402" s="10"/>
      <c r="KB402" s="10"/>
      <c r="KC402" s="10"/>
      <c r="KD402" s="5"/>
      <c r="KE402" s="6"/>
    </row>
    <row r="403" spans="6:291" x14ac:dyDescent="0.3">
      <c r="F403" s="17"/>
      <c r="G403" s="9"/>
      <c r="H403" s="3"/>
      <c r="I403" s="3"/>
      <c r="J403" s="3"/>
      <c r="K403" s="3"/>
      <c r="L403" s="3"/>
      <c r="M403" s="3"/>
      <c r="N403" s="3"/>
      <c r="O403" s="3"/>
      <c r="P403" s="4"/>
      <c r="Q403" s="5"/>
      <c r="R403" s="5"/>
      <c r="S403" s="5"/>
      <c r="T403" s="6"/>
      <c r="U403" s="5"/>
      <c r="V403" s="6"/>
      <c r="W403" s="7"/>
      <c r="X403" s="8"/>
      <c r="Y403" s="6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6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C403" s="6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  <c r="JC403" s="5"/>
      <c r="JD403" s="5"/>
      <c r="JE403" s="5"/>
      <c r="JF403" s="5"/>
      <c r="JG403" s="5"/>
      <c r="JH403" s="5"/>
      <c r="JI403" s="5"/>
      <c r="JJ403" s="5"/>
      <c r="JK403" s="5"/>
      <c r="JM403" s="19"/>
      <c r="JN403" s="1">
        <v>401</v>
      </c>
      <c r="JO403" s="5">
        <f>HLOOKUP(JM403,HC$2:JK403,2+JN402,0)-IF(KE403&gt;0,KE403,0)</f>
        <v>0</v>
      </c>
      <c r="JP403" s="5"/>
      <c r="JQ403" s="5"/>
      <c r="JR403" s="5"/>
      <c r="JS403" s="6"/>
      <c r="JT403" s="23"/>
      <c r="JU403" s="13"/>
      <c r="JV403" s="6"/>
      <c r="JW403" s="6"/>
      <c r="JX403" s="6"/>
      <c r="JY403" s="6"/>
      <c r="JZ403" s="10"/>
      <c r="KA403" s="10"/>
      <c r="KB403" s="10"/>
      <c r="KC403" s="10"/>
      <c r="KD403" s="5"/>
      <c r="KE403" s="6"/>
    </row>
    <row r="404" spans="6:291" x14ac:dyDescent="0.3">
      <c r="F404" s="17"/>
      <c r="G404" s="9"/>
      <c r="H404" s="3"/>
      <c r="I404" s="3"/>
      <c r="J404" s="3"/>
      <c r="K404" s="3"/>
      <c r="L404" s="3"/>
      <c r="M404" s="3"/>
      <c r="N404" s="3"/>
      <c r="O404" s="3"/>
      <c r="P404" s="4"/>
      <c r="Q404" s="5"/>
      <c r="R404" s="5"/>
      <c r="S404" s="5"/>
      <c r="T404" s="6"/>
      <c r="U404" s="5"/>
      <c r="V404" s="6"/>
      <c r="W404" s="7"/>
      <c r="X404" s="8"/>
      <c r="Y404" s="6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6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C404" s="6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  <c r="JC404" s="5"/>
      <c r="JD404" s="5"/>
      <c r="JE404" s="5"/>
      <c r="JF404" s="5"/>
      <c r="JG404" s="5"/>
      <c r="JH404" s="5"/>
      <c r="JI404" s="5"/>
      <c r="JJ404" s="5"/>
      <c r="JK404" s="5"/>
      <c r="JM404" s="19"/>
      <c r="JN404" s="1">
        <v>402</v>
      </c>
      <c r="JO404" s="5">
        <f>HLOOKUP(JM404,HC$2:JK404,2+JN403,0)-IF(KE404&gt;0,KE404,0)</f>
        <v>0</v>
      </c>
      <c r="JP404" s="5"/>
      <c r="JQ404" s="5"/>
      <c r="JR404" s="5"/>
      <c r="JS404" s="6"/>
      <c r="JT404" s="23"/>
      <c r="JU404" s="13"/>
      <c r="JV404" s="6"/>
      <c r="JW404" s="6"/>
      <c r="JX404" s="6"/>
      <c r="JY404" s="6"/>
      <c r="JZ404" s="10"/>
      <c r="KA404" s="10"/>
      <c r="KB404" s="10"/>
      <c r="KC404" s="10"/>
      <c r="KD404" s="5"/>
      <c r="KE404" s="6"/>
    </row>
    <row r="405" spans="6:291" x14ac:dyDescent="0.3">
      <c r="F405" s="17"/>
      <c r="G405" s="9"/>
      <c r="H405" s="3"/>
      <c r="I405" s="3"/>
      <c r="J405" s="3"/>
      <c r="K405" s="3"/>
      <c r="L405" s="3"/>
      <c r="M405" s="3"/>
      <c r="N405" s="3"/>
      <c r="O405" s="3"/>
      <c r="P405" s="4"/>
      <c r="Q405" s="5"/>
      <c r="R405" s="5"/>
      <c r="S405" s="5"/>
      <c r="T405" s="6"/>
      <c r="U405" s="5"/>
      <c r="V405" s="6"/>
      <c r="W405" s="7"/>
      <c r="X405" s="8"/>
      <c r="Y405" s="6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6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C405" s="6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  <c r="JC405" s="5"/>
      <c r="JD405" s="5"/>
      <c r="JE405" s="5"/>
      <c r="JF405" s="5"/>
      <c r="JG405" s="5"/>
      <c r="JH405" s="5"/>
      <c r="JI405" s="5"/>
      <c r="JJ405" s="5"/>
      <c r="JK405" s="5"/>
      <c r="JM405" s="19"/>
      <c r="JN405" s="1">
        <v>403</v>
      </c>
      <c r="JO405" s="5">
        <f>HLOOKUP(JM405,HC$2:JK405,2+JN404,0)-IF(KE405&gt;0,KE405,0)</f>
        <v>0</v>
      </c>
      <c r="JP405" s="5"/>
      <c r="JQ405" s="5"/>
      <c r="JR405" s="5"/>
      <c r="JS405" s="6"/>
      <c r="JT405" s="23"/>
      <c r="JU405" s="13"/>
      <c r="JV405" s="6"/>
      <c r="JW405" s="6"/>
      <c r="JX405" s="6"/>
      <c r="JY405" s="6"/>
      <c r="JZ405" s="10"/>
      <c r="KA405" s="10"/>
      <c r="KB405" s="10"/>
      <c r="KC405" s="10"/>
      <c r="KD405" s="5"/>
      <c r="KE405" s="6"/>
    </row>
    <row r="406" spans="6:291" x14ac:dyDescent="0.3">
      <c r="F406" s="17"/>
      <c r="G406" s="9"/>
      <c r="H406" s="3"/>
      <c r="I406" s="3"/>
      <c r="J406" s="3"/>
      <c r="K406" s="3"/>
      <c r="L406" s="3"/>
      <c r="M406" s="3"/>
      <c r="N406" s="3"/>
      <c r="O406" s="3"/>
      <c r="P406" s="4"/>
      <c r="Q406" s="5"/>
      <c r="R406" s="5"/>
      <c r="S406" s="5"/>
      <c r="T406" s="6"/>
      <c r="U406" s="5"/>
      <c r="V406" s="6"/>
      <c r="W406" s="7"/>
      <c r="X406" s="8"/>
      <c r="Y406" s="6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6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C406" s="6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  <c r="JC406" s="5"/>
      <c r="JD406" s="5"/>
      <c r="JE406" s="5"/>
      <c r="JF406" s="5"/>
      <c r="JG406" s="5"/>
      <c r="JH406" s="5"/>
      <c r="JI406" s="5"/>
      <c r="JJ406" s="5"/>
      <c r="JK406" s="5"/>
      <c r="JM406" s="19"/>
      <c r="JN406" s="1">
        <v>404</v>
      </c>
      <c r="JO406" s="5">
        <f>HLOOKUP(JM406,HC$2:JK406,2+JN405,0)-IF(KE406&gt;0,KE406,0)</f>
        <v>0</v>
      </c>
      <c r="JP406" s="5"/>
      <c r="JQ406" s="5"/>
      <c r="JR406" s="5"/>
      <c r="JS406" s="6"/>
      <c r="JT406" s="23"/>
      <c r="JU406" s="13"/>
      <c r="JV406" s="6"/>
      <c r="JW406" s="6"/>
      <c r="JX406" s="6"/>
      <c r="JY406" s="6"/>
      <c r="JZ406" s="10"/>
      <c r="KA406" s="10"/>
      <c r="KB406" s="10"/>
      <c r="KC406" s="10"/>
      <c r="KD406" s="5"/>
      <c r="KE406" s="6"/>
    </row>
    <row r="407" spans="6:291" x14ac:dyDescent="0.3">
      <c r="F407" s="17"/>
      <c r="G407" s="9"/>
      <c r="H407" s="3"/>
      <c r="I407" s="3"/>
      <c r="J407" s="3"/>
      <c r="K407" s="3"/>
      <c r="L407" s="3"/>
      <c r="M407" s="3"/>
      <c r="N407" s="3"/>
      <c r="O407" s="3"/>
      <c r="P407" s="4"/>
      <c r="Q407" s="5"/>
      <c r="R407" s="5"/>
      <c r="S407" s="5"/>
      <c r="T407" s="6"/>
      <c r="U407" s="5"/>
      <c r="V407" s="6"/>
      <c r="W407" s="7"/>
      <c r="X407" s="8"/>
      <c r="Y407" s="6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6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C407" s="6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  <c r="JC407" s="5"/>
      <c r="JD407" s="5"/>
      <c r="JE407" s="5"/>
      <c r="JF407" s="5"/>
      <c r="JG407" s="5"/>
      <c r="JH407" s="5"/>
      <c r="JI407" s="5"/>
      <c r="JJ407" s="5"/>
      <c r="JK407" s="5"/>
      <c r="JM407" s="19"/>
      <c r="JN407" s="1">
        <v>405</v>
      </c>
      <c r="JO407" s="5">
        <f>HLOOKUP(JM407,HC$2:JK407,2+JN406,0)-IF(KE407&gt;0,KE407,0)</f>
        <v>0</v>
      </c>
      <c r="JP407" s="5"/>
      <c r="JQ407" s="5"/>
      <c r="JR407" s="5"/>
      <c r="JS407" s="6"/>
      <c r="JT407" s="23"/>
      <c r="JU407" s="13"/>
      <c r="JV407" s="6"/>
      <c r="JW407" s="6"/>
      <c r="JX407" s="6"/>
      <c r="JY407" s="6"/>
      <c r="JZ407" s="10"/>
      <c r="KA407" s="10"/>
      <c r="KB407" s="10"/>
      <c r="KC407" s="10"/>
      <c r="KD407" s="5"/>
      <c r="KE407" s="6"/>
    </row>
    <row r="408" spans="6:291" x14ac:dyDescent="0.3">
      <c r="F408" s="17"/>
      <c r="G408" s="9"/>
      <c r="H408" s="3"/>
      <c r="I408" s="3"/>
      <c r="J408" s="3"/>
      <c r="K408" s="3"/>
      <c r="L408" s="3"/>
      <c r="M408" s="3"/>
      <c r="N408" s="3"/>
      <c r="O408" s="3"/>
      <c r="P408" s="4"/>
      <c r="Q408" s="5"/>
      <c r="R408" s="5"/>
      <c r="S408" s="5"/>
      <c r="T408" s="6"/>
      <c r="U408" s="5"/>
      <c r="V408" s="6"/>
      <c r="W408" s="7"/>
      <c r="X408" s="8"/>
      <c r="Y408" s="6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6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C408" s="6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  <c r="JC408" s="5"/>
      <c r="JD408" s="5"/>
      <c r="JE408" s="5"/>
      <c r="JF408" s="5"/>
      <c r="JG408" s="5"/>
      <c r="JH408" s="5"/>
      <c r="JI408" s="5"/>
      <c r="JJ408" s="5"/>
      <c r="JK408" s="5"/>
      <c r="JM408" s="19"/>
      <c r="JN408" s="1">
        <v>406</v>
      </c>
      <c r="JO408" s="5">
        <f>HLOOKUP(JM408,HC$2:JK408,2+JN407,0)-IF(KE408&gt;0,KE408,0)</f>
        <v>0</v>
      </c>
      <c r="JP408" s="5"/>
      <c r="JQ408" s="5"/>
      <c r="JR408" s="5"/>
      <c r="JS408" s="6"/>
      <c r="JT408" s="23"/>
      <c r="JU408" s="13"/>
      <c r="JV408" s="6"/>
      <c r="JW408" s="6"/>
      <c r="JX408" s="6"/>
      <c r="JY408" s="6"/>
      <c r="JZ408" s="10"/>
      <c r="KA408" s="10"/>
      <c r="KB408" s="10"/>
      <c r="KC408" s="10"/>
      <c r="KD408" s="5"/>
      <c r="KE408" s="6"/>
    </row>
    <row r="409" spans="6:291" x14ac:dyDescent="0.3">
      <c r="F409" s="17"/>
      <c r="G409" s="9"/>
      <c r="H409" s="3"/>
      <c r="I409" s="3"/>
      <c r="J409" s="3"/>
      <c r="K409" s="3"/>
      <c r="L409" s="3"/>
      <c r="M409" s="3"/>
      <c r="N409" s="3"/>
      <c r="O409" s="3"/>
      <c r="P409" s="4"/>
      <c r="Q409" s="5"/>
      <c r="R409" s="5"/>
      <c r="S409" s="5"/>
      <c r="T409" s="6"/>
      <c r="U409" s="5"/>
      <c r="V409" s="6"/>
      <c r="W409" s="7"/>
      <c r="X409" s="8"/>
      <c r="Y409" s="6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6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C409" s="6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  <c r="JC409" s="5"/>
      <c r="JD409" s="5"/>
      <c r="JE409" s="5"/>
      <c r="JF409" s="5"/>
      <c r="JG409" s="5"/>
      <c r="JH409" s="5"/>
      <c r="JI409" s="5"/>
      <c r="JJ409" s="5"/>
      <c r="JK409" s="5"/>
      <c r="JM409" s="19"/>
      <c r="JN409" s="1">
        <v>407</v>
      </c>
      <c r="JO409" s="5">
        <f>HLOOKUP(JM409,HC$2:JK409,2+JN408,0)-IF(KE409&gt;0,KE409,0)</f>
        <v>0</v>
      </c>
      <c r="JP409" s="5"/>
      <c r="JQ409" s="5"/>
      <c r="JR409" s="5"/>
      <c r="JS409" s="6"/>
      <c r="JT409" s="23"/>
      <c r="JU409" s="13"/>
      <c r="JV409" s="6"/>
      <c r="JW409" s="6"/>
      <c r="JX409" s="6"/>
      <c r="JY409" s="6"/>
      <c r="JZ409" s="10"/>
      <c r="KA409" s="10"/>
      <c r="KB409" s="10"/>
      <c r="KC409" s="10"/>
      <c r="KD409" s="5"/>
      <c r="KE409" s="6"/>
    </row>
    <row r="410" spans="6:291" x14ac:dyDescent="0.3">
      <c r="F410" s="17"/>
      <c r="G410" s="9"/>
      <c r="H410" s="3"/>
      <c r="I410" s="3"/>
      <c r="J410" s="3"/>
      <c r="K410" s="3"/>
      <c r="L410" s="3"/>
      <c r="M410" s="3"/>
      <c r="N410" s="3"/>
      <c r="O410" s="3"/>
      <c r="P410" s="4"/>
      <c r="Q410" s="5"/>
      <c r="R410" s="5"/>
      <c r="S410" s="5"/>
      <c r="T410" s="6"/>
      <c r="U410" s="5"/>
      <c r="V410" s="6"/>
      <c r="W410" s="7"/>
      <c r="X410" s="8"/>
      <c r="Y410" s="6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6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C410" s="6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  <c r="JC410" s="5"/>
      <c r="JD410" s="5"/>
      <c r="JE410" s="5"/>
      <c r="JF410" s="5"/>
      <c r="JG410" s="5"/>
      <c r="JH410" s="5"/>
      <c r="JI410" s="5"/>
      <c r="JJ410" s="5"/>
      <c r="JK410" s="5"/>
      <c r="JM410" s="19"/>
      <c r="JN410" s="1">
        <v>408</v>
      </c>
      <c r="JO410" s="5">
        <f>HLOOKUP(JM410,HC$2:JK410,2+JN409,0)-IF(KE410&gt;0,KE410,0)</f>
        <v>0</v>
      </c>
      <c r="JP410" s="5"/>
      <c r="JQ410" s="5"/>
      <c r="JR410" s="5"/>
      <c r="JS410" s="6"/>
      <c r="JT410" s="23"/>
      <c r="JU410" s="13"/>
      <c r="JV410" s="6"/>
      <c r="JW410" s="6"/>
      <c r="JX410" s="6"/>
      <c r="JY410" s="6"/>
      <c r="JZ410" s="10"/>
      <c r="KA410" s="10"/>
      <c r="KB410" s="10"/>
      <c r="KC410" s="10"/>
      <c r="KD410" s="5"/>
      <c r="KE410" s="6"/>
    </row>
    <row r="411" spans="6:291" x14ac:dyDescent="0.3">
      <c r="F411" s="17"/>
      <c r="G411" s="9"/>
      <c r="H411" s="3"/>
      <c r="I411" s="3"/>
      <c r="J411" s="3"/>
      <c r="K411" s="3"/>
      <c r="L411" s="3"/>
      <c r="M411" s="3"/>
      <c r="N411" s="3"/>
      <c r="O411" s="3"/>
      <c r="P411" s="4"/>
      <c r="Q411" s="5"/>
      <c r="R411" s="5"/>
      <c r="S411" s="5"/>
      <c r="T411" s="6"/>
      <c r="U411" s="5"/>
      <c r="V411" s="6"/>
      <c r="W411" s="7"/>
      <c r="X411" s="8"/>
      <c r="Y411" s="6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6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C411" s="6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  <c r="JC411" s="5"/>
      <c r="JD411" s="5"/>
      <c r="JE411" s="5"/>
      <c r="JF411" s="5"/>
      <c r="JG411" s="5"/>
      <c r="JH411" s="5"/>
      <c r="JI411" s="5"/>
      <c r="JJ411" s="5"/>
      <c r="JK411" s="5"/>
      <c r="JM411" s="19"/>
      <c r="JN411" s="1">
        <v>409</v>
      </c>
      <c r="JO411" s="5">
        <f>HLOOKUP(JM411,HC$2:JK411,2+JN410,0)-IF(KE411&gt;0,KE411,0)</f>
        <v>0</v>
      </c>
      <c r="JP411" s="5"/>
      <c r="JQ411" s="5"/>
      <c r="JR411" s="5"/>
      <c r="JS411" s="6"/>
      <c r="JT411" s="23"/>
      <c r="JU411" s="13"/>
      <c r="JV411" s="6"/>
      <c r="JW411" s="6"/>
      <c r="JX411" s="6"/>
      <c r="JY411" s="6"/>
      <c r="JZ411" s="10"/>
      <c r="KA411" s="10"/>
      <c r="KB411" s="10"/>
      <c r="KC411" s="10"/>
      <c r="KD411" s="5"/>
      <c r="KE411" s="6"/>
    </row>
    <row r="412" spans="6:291" x14ac:dyDescent="0.3">
      <c r="F412" s="17"/>
      <c r="G412" s="9"/>
      <c r="H412" s="3"/>
      <c r="I412" s="3"/>
      <c r="J412" s="3"/>
      <c r="K412" s="3"/>
      <c r="L412" s="3"/>
      <c r="M412" s="3"/>
      <c r="N412" s="3"/>
      <c r="O412" s="3"/>
      <c r="P412" s="4"/>
      <c r="Q412" s="5"/>
      <c r="R412" s="5"/>
      <c r="S412" s="5"/>
      <c r="T412" s="6"/>
      <c r="U412" s="5"/>
      <c r="V412" s="6"/>
      <c r="W412" s="7"/>
      <c r="X412" s="8"/>
      <c r="Y412" s="6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6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C412" s="6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  <c r="JC412" s="5"/>
      <c r="JD412" s="5"/>
      <c r="JE412" s="5"/>
      <c r="JF412" s="5"/>
      <c r="JG412" s="5"/>
      <c r="JH412" s="5"/>
      <c r="JI412" s="5"/>
      <c r="JJ412" s="5"/>
      <c r="JK412" s="5"/>
      <c r="JM412" s="19"/>
      <c r="JN412" s="1">
        <v>410</v>
      </c>
      <c r="JO412" s="5">
        <f>HLOOKUP(JM412,HC$2:JK412,2+JN411,0)-IF(KE412&gt;0,KE412,0)</f>
        <v>0</v>
      </c>
      <c r="JP412" s="5"/>
      <c r="JQ412" s="5"/>
      <c r="JR412" s="5"/>
      <c r="JS412" s="6"/>
      <c r="JT412" s="23"/>
      <c r="JU412" s="13"/>
      <c r="JV412" s="6"/>
      <c r="JW412" s="6"/>
      <c r="JX412" s="6"/>
      <c r="JY412" s="6"/>
      <c r="JZ412" s="10"/>
      <c r="KA412" s="10"/>
      <c r="KB412" s="10"/>
      <c r="KC412" s="10"/>
      <c r="KD412" s="5"/>
      <c r="KE412" s="6"/>
    </row>
    <row r="413" spans="6:291" x14ac:dyDescent="0.3">
      <c r="F413" s="17"/>
      <c r="G413" s="9"/>
      <c r="H413" s="3"/>
      <c r="I413" s="3"/>
      <c r="J413" s="3"/>
      <c r="K413" s="3"/>
      <c r="L413" s="3"/>
      <c r="M413" s="3"/>
      <c r="N413" s="3"/>
      <c r="O413" s="3"/>
      <c r="P413" s="4"/>
      <c r="Q413" s="5"/>
      <c r="R413" s="5"/>
      <c r="S413" s="5"/>
      <c r="T413" s="6"/>
      <c r="U413" s="5"/>
      <c r="V413" s="6"/>
      <c r="W413" s="7"/>
      <c r="X413" s="8"/>
      <c r="Y413" s="6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6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C413" s="6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  <c r="JC413" s="5"/>
      <c r="JD413" s="5"/>
      <c r="JE413" s="5"/>
      <c r="JF413" s="5"/>
      <c r="JG413" s="5"/>
      <c r="JH413" s="5"/>
      <c r="JI413" s="5"/>
      <c r="JJ413" s="5"/>
      <c r="JK413" s="5"/>
      <c r="JM413" s="19"/>
      <c r="JN413" s="1">
        <v>411</v>
      </c>
      <c r="JO413" s="5">
        <f>HLOOKUP(JM413,HC$2:JK413,2+JN412,0)-IF(KE413&gt;0,KE413,0)</f>
        <v>0</v>
      </c>
      <c r="JP413" s="5"/>
      <c r="JQ413" s="5"/>
      <c r="JR413" s="5"/>
      <c r="JS413" s="6"/>
      <c r="JT413" s="23"/>
      <c r="JU413" s="13"/>
      <c r="JV413" s="6"/>
      <c r="JW413" s="6"/>
      <c r="JX413" s="6"/>
      <c r="JY413" s="6"/>
      <c r="JZ413" s="10"/>
      <c r="KA413" s="10"/>
      <c r="KB413" s="10"/>
      <c r="KC413" s="10"/>
      <c r="KD413" s="5"/>
      <c r="KE413" s="6"/>
    </row>
    <row r="414" spans="6:291" x14ac:dyDescent="0.3">
      <c r="F414" s="17"/>
      <c r="G414" s="9"/>
      <c r="H414" s="3"/>
      <c r="I414" s="3"/>
      <c r="J414" s="3"/>
      <c r="K414" s="3"/>
      <c r="L414" s="3"/>
      <c r="M414" s="3"/>
      <c r="N414" s="3"/>
      <c r="O414" s="3"/>
      <c r="P414" s="4"/>
      <c r="Q414" s="5"/>
      <c r="R414" s="5"/>
      <c r="S414" s="5"/>
      <c r="T414" s="6"/>
      <c r="U414" s="5"/>
      <c r="V414" s="6"/>
      <c r="W414" s="7"/>
      <c r="X414" s="8"/>
      <c r="Y414" s="6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6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C414" s="6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  <c r="JC414" s="5"/>
      <c r="JD414" s="5"/>
      <c r="JE414" s="5"/>
      <c r="JF414" s="5"/>
      <c r="JG414" s="5"/>
      <c r="JH414" s="5"/>
      <c r="JI414" s="5"/>
      <c r="JJ414" s="5"/>
      <c r="JK414" s="5"/>
      <c r="JM414" s="19"/>
      <c r="JN414" s="1">
        <v>412</v>
      </c>
      <c r="JO414" s="5">
        <f>HLOOKUP(JM414,HC$2:JK414,2+JN413,0)-IF(KE414&gt;0,KE414,0)</f>
        <v>0</v>
      </c>
      <c r="JP414" s="5"/>
      <c r="JQ414" s="5"/>
      <c r="JR414" s="5"/>
      <c r="JS414" s="6"/>
      <c r="JT414" s="23"/>
      <c r="JU414" s="13"/>
      <c r="JV414" s="6"/>
      <c r="JW414" s="6"/>
      <c r="JX414" s="6"/>
      <c r="JY414" s="6"/>
      <c r="JZ414" s="10"/>
      <c r="KA414" s="10"/>
      <c r="KB414" s="10"/>
      <c r="KC414" s="10"/>
      <c r="KD414" s="5"/>
      <c r="KE414" s="6"/>
    </row>
    <row r="415" spans="6:291" x14ac:dyDescent="0.3">
      <c r="F415" s="17"/>
      <c r="G415" s="9"/>
      <c r="H415" s="3"/>
      <c r="I415" s="3"/>
      <c r="J415" s="3"/>
      <c r="K415" s="3"/>
      <c r="L415" s="3"/>
      <c r="M415" s="3"/>
      <c r="N415" s="3"/>
      <c r="O415" s="3"/>
      <c r="P415" s="4"/>
      <c r="Q415" s="5"/>
      <c r="R415" s="5"/>
      <c r="S415" s="5"/>
      <c r="T415" s="6"/>
      <c r="U415" s="5"/>
      <c r="V415" s="6"/>
      <c r="W415" s="7"/>
      <c r="X415" s="8"/>
      <c r="Y415" s="6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6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C415" s="6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  <c r="JC415" s="5"/>
      <c r="JD415" s="5"/>
      <c r="JE415" s="5"/>
      <c r="JF415" s="5"/>
      <c r="JG415" s="5"/>
      <c r="JH415" s="5"/>
      <c r="JI415" s="5"/>
      <c r="JJ415" s="5"/>
      <c r="JK415" s="5"/>
      <c r="JM415" s="19"/>
      <c r="JN415" s="1">
        <v>413</v>
      </c>
      <c r="JO415" s="5">
        <f>HLOOKUP(JM415,HC$2:JK415,2+JN414,0)-IF(KE415&gt;0,KE415,0)</f>
        <v>0</v>
      </c>
      <c r="JP415" s="5"/>
      <c r="JQ415" s="5"/>
      <c r="JR415" s="5"/>
      <c r="JS415" s="6"/>
      <c r="JT415" s="23"/>
      <c r="JU415" s="13"/>
      <c r="JV415" s="6"/>
      <c r="JW415" s="6"/>
      <c r="JX415" s="6"/>
      <c r="JY415" s="6"/>
      <c r="JZ415" s="10"/>
      <c r="KA415" s="10"/>
      <c r="KB415" s="10"/>
      <c r="KC415" s="10"/>
      <c r="KD415" s="5"/>
      <c r="KE415" s="6"/>
    </row>
    <row r="416" spans="6:291" x14ac:dyDescent="0.3">
      <c r="F416" s="17"/>
      <c r="G416" s="9"/>
      <c r="H416" s="3"/>
      <c r="I416" s="3"/>
      <c r="J416" s="3"/>
      <c r="K416" s="3"/>
      <c r="L416" s="3"/>
      <c r="M416" s="3"/>
      <c r="N416" s="3"/>
      <c r="O416" s="3"/>
      <c r="P416" s="4"/>
      <c r="Q416" s="5"/>
      <c r="R416" s="5"/>
      <c r="S416" s="5"/>
      <c r="T416" s="6"/>
      <c r="U416" s="5"/>
      <c r="V416" s="6"/>
      <c r="W416" s="7"/>
      <c r="X416" s="8"/>
      <c r="Y416" s="6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6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C416" s="6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  <c r="JC416" s="5"/>
      <c r="JD416" s="5"/>
      <c r="JE416" s="5"/>
      <c r="JF416" s="5"/>
      <c r="JG416" s="5"/>
      <c r="JH416" s="5"/>
      <c r="JI416" s="5"/>
      <c r="JJ416" s="5"/>
      <c r="JK416" s="5"/>
      <c r="JM416" s="19"/>
      <c r="JN416" s="1">
        <v>414</v>
      </c>
      <c r="JO416" s="5">
        <f>HLOOKUP(JM416,HC$2:JK416,2+JN415,0)-IF(KE416&gt;0,KE416,0)</f>
        <v>0</v>
      </c>
      <c r="JP416" s="5"/>
      <c r="JQ416" s="5"/>
      <c r="JR416" s="5"/>
      <c r="JS416" s="6"/>
      <c r="JT416" s="23"/>
      <c r="JU416" s="13"/>
      <c r="JV416" s="6"/>
      <c r="JW416" s="6"/>
      <c r="JX416" s="6"/>
      <c r="JY416" s="6"/>
      <c r="JZ416" s="10"/>
      <c r="KA416" s="10"/>
      <c r="KB416" s="10"/>
      <c r="KC416" s="10"/>
      <c r="KD416" s="5"/>
      <c r="KE416" s="6"/>
    </row>
    <row r="417" spans="6:291" x14ac:dyDescent="0.3">
      <c r="F417" s="17"/>
      <c r="G417" s="9"/>
      <c r="H417" s="3"/>
      <c r="I417" s="3"/>
      <c r="J417" s="3"/>
      <c r="K417" s="3"/>
      <c r="L417" s="3"/>
      <c r="M417" s="3"/>
      <c r="N417" s="3"/>
      <c r="O417" s="3"/>
      <c r="P417" s="4"/>
      <c r="Q417" s="5"/>
      <c r="R417" s="5"/>
      <c r="S417" s="5"/>
      <c r="T417" s="6"/>
      <c r="U417" s="5"/>
      <c r="V417" s="6"/>
      <c r="W417" s="7"/>
      <c r="X417" s="8"/>
      <c r="Y417" s="6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6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C417" s="6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  <c r="JC417" s="5"/>
      <c r="JD417" s="5"/>
      <c r="JE417" s="5"/>
      <c r="JF417" s="5"/>
      <c r="JG417" s="5"/>
      <c r="JH417" s="5"/>
      <c r="JI417" s="5"/>
      <c r="JJ417" s="5"/>
      <c r="JK417" s="5"/>
      <c r="JM417" s="19"/>
      <c r="JN417" s="1">
        <v>415</v>
      </c>
      <c r="JO417" s="5">
        <f>HLOOKUP(JM417,HC$2:JK417,2+JN416,0)-IF(KE417&gt;0,KE417,0)</f>
        <v>0</v>
      </c>
      <c r="JP417" s="5"/>
      <c r="JQ417" s="5"/>
      <c r="JR417" s="5"/>
      <c r="JS417" s="6"/>
      <c r="JT417" s="23"/>
      <c r="JU417" s="13"/>
      <c r="JV417" s="6"/>
      <c r="JW417" s="6"/>
      <c r="JX417" s="6"/>
      <c r="JY417" s="6"/>
      <c r="JZ417" s="10"/>
      <c r="KA417" s="10"/>
      <c r="KB417" s="10"/>
      <c r="KC417" s="10"/>
      <c r="KD417" s="5"/>
      <c r="KE417" s="6"/>
    </row>
    <row r="418" spans="6:291" x14ac:dyDescent="0.3">
      <c r="F418" s="17"/>
      <c r="G418" s="9"/>
      <c r="H418" s="3"/>
      <c r="I418" s="3"/>
      <c r="J418" s="3"/>
      <c r="K418" s="3"/>
      <c r="L418" s="3"/>
      <c r="M418" s="3"/>
      <c r="N418" s="3"/>
      <c r="O418" s="3"/>
      <c r="P418" s="4"/>
      <c r="Q418" s="5"/>
      <c r="R418" s="5"/>
      <c r="S418" s="5"/>
      <c r="T418" s="6"/>
      <c r="U418" s="5"/>
      <c r="V418" s="6"/>
      <c r="W418" s="7"/>
      <c r="X418" s="8"/>
      <c r="Y418" s="6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6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C418" s="6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  <c r="JC418" s="5"/>
      <c r="JD418" s="5"/>
      <c r="JE418" s="5"/>
      <c r="JF418" s="5"/>
      <c r="JG418" s="5"/>
      <c r="JH418" s="5"/>
      <c r="JI418" s="5"/>
      <c r="JJ418" s="5"/>
      <c r="JK418" s="5"/>
      <c r="JM418" s="19"/>
      <c r="JN418" s="1">
        <v>416</v>
      </c>
      <c r="JO418" s="5">
        <f>HLOOKUP(JM418,HC$2:JK418,2+JN417,0)-IF(KE418&gt;0,KE418,0)</f>
        <v>0</v>
      </c>
      <c r="JP418" s="5"/>
      <c r="JQ418" s="5"/>
      <c r="JR418" s="5"/>
      <c r="JS418" s="6"/>
      <c r="JT418" s="23"/>
      <c r="JU418" s="13"/>
      <c r="JV418" s="6"/>
      <c r="JW418" s="6"/>
      <c r="JX418" s="6"/>
      <c r="JY418" s="6"/>
      <c r="JZ418" s="10"/>
      <c r="KA418" s="10"/>
      <c r="KB418" s="10"/>
      <c r="KC418" s="10"/>
      <c r="KD418" s="5"/>
      <c r="KE418" s="6"/>
    </row>
    <row r="419" spans="6:291" x14ac:dyDescent="0.3">
      <c r="F419" s="17"/>
      <c r="G419" s="9"/>
      <c r="H419" s="3"/>
      <c r="I419" s="3"/>
      <c r="J419" s="3"/>
      <c r="K419" s="3"/>
      <c r="L419" s="3"/>
      <c r="M419" s="3"/>
      <c r="N419" s="3"/>
      <c r="O419" s="3"/>
      <c r="P419" s="4"/>
      <c r="Q419" s="5"/>
      <c r="R419" s="5"/>
      <c r="S419" s="5"/>
      <c r="T419" s="6"/>
      <c r="U419" s="5"/>
      <c r="V419" s="6"/>
      <c r="W419" s="7"/>
      <c r="X419" s="8"/>
      <c r="Y419" s="6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6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C419" s="6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  <c r="JC419" s="5"/>
      <c r="JD419" s="5"/>
      <c r="JE419" s="5"/>
      <c r="JF419" s="5"/>
      <c r="JG419" s="5"/>
      <c r="JH419" s="5"/>
      <c r="JI419" s="5"/>
      <c r="JJ419" s="5"/>
      <c r="JK419" s="5"/>
      <c r="JM419" s="19"/>
      <c r="JN419" s="1">
        <v>417</v>
      </c>
      <c r="JO419" s="5">
        <f>HLOOKUP(JM419,HC$2:JK419,2+JN418,0)-IF(KE419&gt;0,KE419,0)</f>
        <v>0</v>
      </c>
      <c r="JP419" s="5"/>
      <c r="JQ419" s="5"/>
      <c r="JR419" s="5"/>
      <c r="JS419" s="6"/>
      <c r="JT419" s="23"/>
      <c r="JU419" s="13"/>
      <c r="JV419" s="6"/>
      <c r="JW419" s="6"/>
      <c r="JX419" s="6"/>
      <c r="JY419" s="6"/>
      <c r="JZ419" s="10"/>
      <c r="KA419" s="10"/>
      <c r="KB419" s="10"/>
      <c r="KC419" s="10"/>
      <c r="KD419" s="5"/>
      <c r="KE419" s="6"/>
    </row>
    <row r="420" spans="6:291" x14ac:dyDescent="0.3">
      <c r="F420" s="17"/>
      <c r="G420" s="9"/>
      <c r="H420" s="3"/>
      <c r="I420" s="3"/>
      <c r="J420" s="3"/>
      <c r="K420" s="3"/>
      <c r="L420" s="3"/>
      <c r="M420" s="3"/>
      <c r="N420" s="3"/>
      <c r="O420" s="3"/>
      <c r="P420" s="4"/>
      <c r="Q420" s="5"/>
      <c r="R420" s="5"/>
      <c r="S420" s="5"/>
      <c r="T420" s="6"/>
      <c r="U420" s="5"/>
      <c r="V420" s="6"/>
      <c r="W420" s="7"/>
      <c r="X420" s="8"/>
      <c r="Y420" s="6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6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C420" s="6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  <c r="JC420" s="5"/>
      <c r="JD420" s="5"/>
      <c r="JE420" s="5"/>
      <c r="JF420" s="5"/>
      <c r="JG420" s="5"/>
      <c r="JH420" s="5"/>
      <c r="JI420" s="5"/>
      <c r="JJ420" s="5"/>
      <c r="JK420" s="5"/>
      <c r="JM420" s="19"/>
      <c r="JN420" s="1">
        <v>418</v>
      </c>
      <c r="JO420" s="5">
        <f>HLOOKUP(JM420,HC$2:JK420,2+JN419,0)-IF(KE420&gt;0,KE420,0)</f>
        <v>0</v>
      </c>
      <c r="JP420" s="5"/>
      <c r="JQ420" s="5"/>
      <c r="JR420" s="5"/>
      <c r="JS420" s="6"/>
      <c r="JT420" s="23"/>
      <c r="JU420" s="13"/>
      <c r="JV420" s="6"/>
      <c r="JW420" s="6"/>
      <c r="JX420" s="6"/>
      <c r="JY420" s="6"/>
      <c r="JZ420" s="10"/>
      <c r="KA420" s="10"/>
      <c r="KB420" s="10"/>
      <c r="KC420" s="10"/>
      <c r="KD420" s="5"/>
      <c r="KE420" s="6"/>
    </row>
    <row r="421" spans="6:291" x14ac:dyDescent="0.3">
      <c r="F421" s="17"/>
      <c r="G421" s="9"/>
      <c r="H421" s="3"/>
      <c r="I421" s="3"/>
      <c r="J421" s="3"/>
      <c r="K421" s="3"/>
      <c r="L421" s="3"/>
      <c r="M421" s="3"/>
      <c r="N421" s="3"/>
      <c r="O421" s="3"/>
      <c r="P421" s="4"/>
      <c r="Q421" s="5"/>
      <c r="R421" s="5"/>
      <c r="S421" s="5"/>
      <c r="T421" s="6"/>
      <c r="U421" s="5"/>
      <c r="V421" s="6"/>
      <c r="W421" s="7"/>
      <c r="X421" s="8"/>
      <c r="Y421" s="6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6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C421" s="6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  <c r="JC421" s="5"/>
      <c r="JD421" s="5"/>
      <c r="JE421" s="5"/>
      <c r="JF421" s="5"/>
      <c r="JG421" s="5"/>
      <c r="JH421" s="5"/>
      <c r="JI421" s="5"/>
      <c r="JJ421" s="5"/>
      <c r="JK421" s="5"/>
      <c r="JM421" s="19"/>
      <c r="JN421" s="1">
        <v>419</v>
      </c>
      <c r="JO421" s="5">
        <f>HLOOKUP(JM421,HC$2:JK421,2+JN420,0)-IF(KE421&gt;0,KE421,0)</f>
        <v>0</v>
      </c>
      <c r="JP421" s="5"/>
      <c r="JQ421" s="5"/>
      <c r="JR421" s="5"/>
      <c r="JS421" s="6"/>
      <c r="JT421" s="23"/>
      <c r="JU421" s="13"/>
      <c r="JV421" s="6"/>
      <c r="JW421" s="6"/>
      <c r="JX421" s="6"/>
      <c r="JY421" s="6"/>
      <c r="JZ421" s="10"/>
      <c r="KA421" s="10"/>
      <c r="KB421" s="10"/>
      <c r="KC421" s="10"/>
      <c r="KD421" s="5"/>
      <c r="KE421" s="6"/>
    </row>
    <row r="422" spans="6:291" x14ac:dyDescent="0.3">
      <c r="F422" s="17"/>
      <c r="G422" s="9"/>
      <c r="H422" s="3"/>
      <c r="I422" s="3"/>
      <c r="J422" s="3"/>
      <c r="K422" s="3"/>
      <c r="L422" s="3"/>
      <c r="M422" s="3"/>
      <c r="N422" s="3"/>
      <c r="O422" s="3"/>
      <c r="P422" s="4"/>
      <c r="Q422" s="5"/>
      <c r="R422" s="5"/>
      <c r="S422" s="5"/>
      <c r="T422" s="6"/>
      <c r="U422" s="5"/>
      <c r="V422" s="6"/>
      <c r="W422" s="7"/>
      <c r="X422" s="8"/>
      <c r="Y422" s="6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6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C422" s="6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  <c r="JC422" s="5"/>
      <c r="JD422" s="5"/>
      <c r="JE422" s="5"/>
      <c r="JF422" s="5"/>
      <c r="JG422" s="5"/>
      <c r="JH422" s="5"/>
      <c r="JI422" s="5"/>
      <c r="JJ422" s="5"/>
      <c r="JK422" s="5"/>
      <c r="JM422" s="19"/>
      <c r="JN422" s="1">
        <v>420</v>
      </c>
      <c r="JO422" s="5">
        <f>HLOOKUP(JM422,HC$2:JK422,2+JN421,0)-IF(KE422&gt;0,KE422,0)</f>
        <v>0</v>
      </c>
      <c r="JP422" s="5"/>
      <c r="JQ422" s="5"/>
      <c r="JR422" s="5"/>
      <c r="JS422" s="6"/>
      <c r="JT422" s="23"/>
      <c r="JU422" s="13"/>
      <c r="JV422" s="6"/>
      <c r="JW422" s="6"/>
      <c r="JX422" s="6"/>
      <c r="JY422" s="6"/>
      <c r="JZ422" s="10"/>
      <c r="KA422" s="10"/>
      <c r="KB422" s="10"/>
      <c r="KC422" s="10"/>
      <c r="KD422" s="5"/>
      <c r="KE422" s="6"/>
    </row>
    <row r="423" spans="6:291" x14ac:dyDescent="0.3">
      <c r="F423" s="17"/>
      <c r="G423" s="9"/>
      <c r="H423" s="3"/>
      <c r="I423" s="3"/>
      <c r="J423" s="3"/>
      <c r="K423" s="3"/>
      <c r="L423" s="3"/>
      <c r="M423" s="3"/>
      <c r="N423" s="3"/>
      <c r="O423" s="3"/>
      <c r="P423" s="4"/>
      <c r="Q423" s="5"/>
      <c r="R423" s="5"/>
      <c r="S423" s="5"/>
      <c r="T423" s="6"/>
      <c r="U423" s="5"/>
      <c r="V423" s="6"/>
      <c r="W423" s="7"/>
      <c r="X423" s="8"/>
      <c r="Y423" s="6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6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C423" s="6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  <c r="JC423" s="5"/>
      <c r="JD423" s="5"/>
      <c r="JE423" s="5"/>
      <c r="JF423" s="5"/>
      <c r="JG423" s="5"/>
      <c r="JH423" s="5"/>
      <c r="JI423" s="5"/>
      <c r="JJ423" s="5"/>
      <c r="JK423" s="5"/>
      <c r="JM423" s="19"/>
      <c r="JN423" s="1">
        <v>421</v>
      </c>
      <c r="JO423" s="5">
        <f>HLOOKUP(JM423,HC$2:JK423,2+JN422,0)-IF(KE423&gt;0,KE423,0)</f>
        <v>0</v>
      </c>
      <c r="JP423" s="5"/>
      <c r="JQ423" s="5"/>
      <c r="JR423" s="5"/>
      <c r="JS423" s="6"/>
      <c r="JT423" s="23"/>
      <c r="JU423" s="13"/>
      <c r="JV423" s="6"/>
      <c r="JW423" s="6"/>
      <c r="JX423" s="6"/>
      <c r="JY423" s="6"/>
      <c r="JZ423" s="10"/>
      <c r="KA423" s="10"/>
      <c r="KB423" s="10"/>
      <c r="KC423" s="10"/>
      <c r="KD423" s="5"/>
      <c r="KE423" s="6"/>
    </row>
    <row r="424" spans="6:291" x14ac:dyDescent="0.3">
      <c r="F424" s="17"/>
      <c r="G424" s="9"/>
      <c r="H424" s="3"/>
      <c r="I424" s="3"/>
      <c r="J424" s="3"/>
      <c r="K424" s="3"/>
      <c r="L424" s="3"/>
      <c r="M424" s="3"/>
      <c r="N424" s="3"/>
      <c r="O424" s="3"/>
      <c r="P424" s="4"/>
      <c r="Q424" s="5"/>
      <c r="R424" s="5"/>
      <c r="S424" s="5"/>
      <c r="T424" s="6"/>
      <c r="U424" s="5"/>
      <c r="V424" s="6"/>
      <c r="W424" s="7"/>
      <c r="X424" s="8"/>
      <c r="Y424" s="6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6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C424" s="6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  <c r="JC424" s="5"/>
      <c r="JD424" s="5"/>
      <c r="JE424" s="5"/>
      <c r="JF424" s="5"/>
      <c r="JG424" s="5"/>
      <c r="JH424" s="5"/>
      <c r="JI424" s="5"/>
      <c r="JJ424" s="5"/>
      <c r="JK424" s="5"/>
      <c r="JM424" s="19"/>
      <c r="JN424" s="1">
        <v>422</v>
      </c>
      <c r="JO424" s="5">
        <f>HLOOKUP(JM424,HC$2:JK424,2+JN423,0)-IF(KE424&gt;0,KE424,0)</f>
        <v>0</v>
      </c>
      <c r="JP424" s="5"/>
      <c r="JQ424" s="5"/>
      <c r="JR424" s="5"/>
      <c r="JS424" s="6"/>
      <c r="JT424" s="23"/>
      <c r="JU424" s="13"/>
      <c r="JV424" s="6"/>
      <c r="JW424" s="6"/>
      <c r="JX424" s="6"/>
      <c r="JY424" s="6"/>
      <c r="JZ424" s="10"/>
      <c r="KA424" s="10"/>
      <c r="KB424" s="10"/>
      <c r="KC424" s="10"/>
      <c r="KD424" s="5"/>
      <c r="KE424" s="6"/>
    </row>
    <row r="425" spans="6:291" x14ac:dyDescent="0.3">
      <c r="F425" s="17"/>
      <c r="G425" s="9"/>
      <c r="H425" s="3"/>
      <c r="I425" s="3"/>
      <c r="J425" s="3"/>
      <c r="K425" s="3"/>
      <c r="L425" s="3"/>
      <c r="M425" s="3"/>
      <c r="N425" s="3"/>
      <c r="O425" s="3"/>
      <c r="P425" s="4"/>
      <c r="Q425" s="5"/>
      <c r="R425" s="5"/>
      <c r="S425" s="5"/>
      <c r="T425" s="6"/>
      <c r="U425" s="5"/>
      <c r="V425" s="6"/>
      <c r="W425" s="7"/>
      <c r="X425" s="8"/>
      <c r="Y425" s="6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6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C425" s="6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  <c r="JC425" s="5"/>
      <c r="JD425" s="5"/>
      <c r="JE425" s="5"/>
      <c r="JF425" s="5"/>
      <c r="JG425" s="5"/>
      <c r="JH425" s="5"/>
      <c r="JI425" s="5"/>
      <c r="JJ425" s="5"/>
      <c r="JK425" s="5"/>
      <c r="JM425" s="19"/>
      <c r="JN425" s="1">
        <v>423</v>
      </c>
      <c r="JO425" s="5">
        <f>HLOOKUP(JM425,HC$2:JK425,2+JN424,0)-IF(KE425&gt;0,KE425,0)</f>
        <v>0</v>
      </c>
      <c r="JP425" s="5"/>
      <c r="JQ425" s="5"/>
      <c r="JR425" s="5"/>
      <c r="JS425" s="6"/>
      <c r="JT425" s="23"/>
      <c r="JU425" s="13"/>
      <c r="JV425" s="6"/>
      <c r="JW425" s="6"/>
      <c r="JX425" s="6"/>
      <c r="JY425" s="6"/>
      <c r="JZ425" s="10"/>
      <c r="KA425" s="10"/>
      <c r="KB425" s="10"/>
      <c r="KC425" s="10"/>
      <c r="KD425" s="5"/>
      <c r="KE425" s="6"/>
    </row>
    <row r="426" spans="6:291" x14ac:dyDescent="0.3">
      <c r="F426" s="17"/>
      <c r="G426" s="9"/>
      <c r="H426" s="3"/>
      <c r="I426" s="3"/>
      <c r="J426" s="3"/>
      <c r="K426" s="3"/>
      <c r="L426" s="3"/>
      <c r="M426" s="3"/>
      <c r="N426" s="3"/>
      <c r="O426" s="3"/>
      <c r="P426" s="4"/>
      <c r="Q426" s="5"/>
      <c r="R426" s="5"/>
      <c r="S426" s="5"/>
      <c r="T426" s="6"/>
      <c r="U426" s="5"/>
      <c r="V426" s="6"/>
      <c r="W426" s="7"/>
      <c r="X426" s="8"/>
      <c r="Y426" s="6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6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C426" s="6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  <c r="JC426" s="5"/>
      <c r="JD426" s="5"/>
      <c r="JE426" s="5"/>
      <c r="JF426" s="5"/>
      <c r="JG426" s="5"/>
      <c r="JH426" s="5"/>
      <c r="JI426" s="5"/>
      <c r="JJ426" s="5"/>
      <c r="JK426" s="5"/>
      <c r="JM426" s="19"/>
      <c r="JN426" s="1">
        <v>424</v>
      </c>
      <c r="JO426" s="5">
        <f>HLOOKUP(JM426,HC$2:JK426,2+JN425,0)-IF(KE426&gt;0,KE426,0)</f>
        <v>0</v>
      </c>
      <c r="JP426" s="5"/>
      <c r="JQ426" s="5"/>
      <c r="JR426" s="5"/>
      <c r="JS426" s="6"/>
      <c r="JT426" s="23"/>
      <c r="JU426" s="13"/>
      <c r="JV426" s="6"/>
      <c r="JW426" s="6"/>
      <c r="JX426" s="6"/>
      <c r="JY426" s="6"/>
      <c r="JZ426" s="10"/>
      <c r="KA426" s="10"/>
      <c r="KB426" s="10"/>
      <c r="KC426" s="10"/>
      <c r="KD426" s="5"/>
      <c r="KE426" s="6"/>
    </row>
    <row r="427" spans="6:291" x14ac:dyDescent="0.3">
      <c r="F427" s="17"/>
      <c r="G427" s="9"/>
      <c r="H427" s="3"/>
      <c r="I427" s="3"/>
      <c r="J427" s="3"/>
      <c r="K427" s="3"/>
      <c r="L427" s="3"/>
      <c r="M427" s="3"/>
      <c r="N427" s="3"/>
      <c r="O427" s="3"/>
      <c r="P427" s="4"/>
      <c r="Q427" s="5"/>
      <c r="R427" s="5"/>
      <c r="S427" s="5"/>
      <c r="T427" s="6"/>
      <c r="U427" s="5"/>
      <c r="V427" s="6"/>
      <c r="W427" s="7"/>
      <c r="X427" s="8"/>
      <c r="Y427" s="6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6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C427" s="6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  <c r="JC427" s="5"/>
      <c r="JD427" s="5"/>
      <c r="JE427" s="5"/>
      <c r="JF427" s="5"/>
      <c r="JG427" s="5"/>
      <c r="JH427" s="5"/>
      <c r="JI427" s="5"/>
      <c r="JJ427" s="5"/>
      <c r="JK427" s="5"/>
      <c r="JM427" s="19"/>
      <c r="JN427" s="1">
        <v>425</v>
      </c>
      <c r="JO427" s="5">
        <f>HLOOKUP(JM427,HC$2:JK427,2+JN426,0)-IF(KE427&gt;0,KE427,0)</f>
        <v>0</v>
      </c>
      <c r="JP427" s="5"/>
      <c r="JQ427" s="5"/>
      <c r="JR427" s="5"/>
      <c r="JS427" s="6"/>
      <c r="JT427" s="23"/>
      <c r="JU427" s="13"/>
      <c r="JV427" s="6"/>
      <c r="JW427" s="6"/>
      <c r="JX427" s="6"/>
      <c r="JY427" s="6"/>
      <c r="JZ427" s="10"/>
      <c r="KA427" s="10"/>
      <c r="KB427" s="10"/>
      <c r="KC427" s="10"/>
      <c r="KD427" s="5"/>
      <c r="KE427" s="6"/>
    </row>
    <row r="428" spans="6:291" x14ac:dyDescent="0.3">
      <c r="F428" s="17"/>
      <c r="G428" s="9"/>
      <c r="H428" s="3"/>
      <c r="I428" s="3"/>
      <c r="J428" s="3"/>
      <c r="K428" s="3"/>
      <c r="L428" s="3"/>
      <c r="M428" s="3"/>
      <c r="N428" s="3"/>
      <c r="O428" s="3"/>
      <c r="P428" s="4"/>
      <c r="Q428" s="5"/>
      <c r="R428" s="5"/>
      <c r="S428" s="5"/>
      <c r="T428" s="6"/>
      <c r="U428" s="5"/>
      <c r="V428" s="6"/>
      <c r="W428" s="7"/>
      <c r="X428" s="8"/>
      <c r="Y428" s="6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6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C428" s="6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  <c r="JC428" s="5"/>
      <c r="JD428" s="5"/>
      <c r="JE428" s="5"/>
      <c r="JF428" s="5"/>
      <c r="JG428" s="5"/>
      <c r="JH428" s="5"/>
      <c r="JI428" s="5"/>
      <c r="JJ428" s="5"/>
      <c r="JK428" s="5"/>
      <c r="JM428" s="19"/>
      <c r="JN428" s="1">
        <v>426</v>
      </c>
      <c r="JO428" s="5">
        <f>HLOOKUP(JM428,HC$2:JK428,2+JN427,0)-IF(KE428&gt;0,KE428,0)</f>
        <v>0</v>
      </c>
      <c r="JP428" s="5"/>
      <c r="JQ428" s="5"/>
      <c r="JR428" s="5"/>
      <c r="JS428" s="6"/>
      <c r="JT428" s="23"/>
      <c r="JU428" s="13"/>
      <c r="JV428" s="6"/>
      <c r="JW428" s="6"/>
      <c r="JX428" s="6"/>
      <c r="JY428" s="6"/>
      <c r="JZ428" s="10"/>
      <c r="KA428" s="10"/>
      <c r="KB428" s="10"/>
      <c r="KC428" s="10"/>
      <c r="KD428" s="5"/>
      <c r="KE428" s="6"/>
    </row>
    <row r="429" spans="6:291" x14ac:dyDescent="0.3">
      <c r="F429" s="17"/>
      <c r="G429" s="9"/>
      <c r="H429" s="3"/>
      <c r="I429" s="3"/>
      <c r="J429" s="3"/>
      <c r="K429" s="3"/>
      <c r="L429" s="3"/>
      <c r="M429" s="3"/>
      <c r="N429" s="3"/>
      <c r="O429" s="3"/>
      <c r="P429" s="4"/>
      <c r="Q429" s="5"/>
      <c r="R429" s="5"/>
      <c r="S429" s="5"/>
      <c r="T429" s="6"/>
      <c r="U429" s="5"/>
      <c r="V429" s="6"/>
      <c r="W429" s="7"/>
      <c r="X429" s="8"/>
      <c r="Y429" s="6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6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C429" s="6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  <c r="JC429" s="5"/>
      <c r="JD429" s="5"/>
      <c r="JE429" s="5"/>
      <c r="JF429" s="5"/>
      <c r="JG429" s="5"/>
      <c r="JH429" s="5"/>
      <c r="JI429" s="5"/>
      <c r="JJ429" s="5"/>
      <c r="JK429" s="5"/>
      <c r="JM429" s="19"/>
      <c r="JN429" s="1">
        <v>427</v>
      </c>
      <c r="JO429" s="5">
        <f>HLOOKUP(JM429,HC$2:JK429,2+JN428,0)-IF(KE429&gt;0,KE429,0)</f>
        <v>0</v>
      </c>
      <c r="JP429" s="5"/>
      <c r="JQ429" s="5"/>
      <c r="JR429" s="5"/>
      <c r="JS429" s="6"/>
      <c r="JT429" s="23"/>
      <c r="JU429" s="13"/>
      <c r="JV429" s="6"/>
      <c r="JW429" s="6"/>
      <c r="JX429" s="6"/>
      <c r="JY429" s="6"/>
      <c r="JZ429" s="10"/>
      <c r="KA429" s="10"/>
      <c r="KB429" s="10"/>
      <c r="KC429" s="10"/>
      <c r="KD429" s="5"/>
      <c r="KE429" s="6"/>
    </row>
    <row r="430" spans="6:291" x14ac:dyDescent="0.3">
      <c r="F430" s="17"/>
      <c r="G430" s="9"/>
      <c r="H430" s="3"/>
      <c r="I430" s="3"/>
      <c r="J430" s="3"/>
      <c r="K430" s="3"/>
      <c r="L430" s="3"/>
      <c r="M430" s="3"/>
      <c r="N430" s="3"/>
      <c r="O430" s="3"/>
      <c r="P430" s="4"/>
      <c r="Q430" s="5"/>
      <c r="R430" s="5"/>
      <c r="S430" s="5"/>
      <c r="T430" s="6"/>
      <c r="U430" s="5"/>
      <c r="V430" s="6"/>
      <c r="W430" s="7"/>
      <c r="X430" s="8"/>
      <c r="Y430" s="6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6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C430" s="6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  <c r="JC430" s="5"/>
      <c r="JD430" s="5"/>
      <c r="JE430" s="5"/>
      <c r="JF430" s="5"/>
      <c r="JG430" s="5"/>
      <c r="JH430" s="5"/>
      <c r="JI430" s="5"/>
      <c r="JJ430" s="5"/>
      <c r="JK430" s="5"/>
      <c r="JM430" s="19"/>
      <c r="JN430" s="1">
        <v>428</v>
      </c>
      <c r="JO430" s="5">
        <f>HLOOKUP(JM430,HC$2:JK430,2+JN429,0)-IF(KE430&gt;0,KE430,0)</f>
        <v>0</v>
      </c>
      <c r="JP430" s="5"/>
      <c r="JQ430" s="5"/>
      <c r="JR430" s="5"/>
      <c r="JS430" s="6"/>
      <c r="JT430" s="23"/>
      <c r="JU430" s="13"/>
      <c r="JV430" s="6"/>
      <c r="JW430" s="6"/>
      <c r="JX430" s="6"/>
      <c r="JY430" s="6"/>
      <c r="JZ430" s="10"/>
      <c r="KA430" s="10"/>
      <c r="KB430" s="10"/>
      <c r="KC430" s="10"/>
      <c r="KD430" s="5"/>
      <c r="KE430" s="6"/>
    </row>
    <row r="431" spans="6:291" x14ac:dyDescent="0.3">
      <c r="F431" s="17"/>
      <c r="G431" s="9"/>
      <c r="H431" s="3"/>
      <c r="I431" s="3"/>
      <c r="J431" s="3"/>
      <c r="K431" s="3"/>
      <c r="L431" s="3"/>
      <c r="M431" s="3"/>
      <c r="N431" s="3"/>
      <c r="O431" s="3"/>
      <c r="P431" s="4"/>
      <c r="Q431" s="5"/>
      <c r="R431" s="5"/>
      <c r="S431" s="5"/>
      <c r="T431" s="6"/>
      <c r="U431" s="5"/>
      <c r="V431" s="6"/>
      <c r="W431" s="7"/>
      <c r="X431" s="8"/>
      <c r="Y431" s="6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6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C431" s="6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  <c r="JC431" s="5"/>
      <c r="JD431" s="5"/>
      <c r="JE431" s="5"/>
      <c r="JF431" s="5"/>
      <c r="JG431" s="5"/>
      <c r="JH431" s="5"/>
      <c r="JI431" s="5"/>
      <c r="JJ431" s="5"/>
      <c r="JK431" s="5"/>
      <c r="JM431" s="19"/>
      <c r="JN431" s="1">
        <v>429</v>
      </c>
      <c r="JO431" s="5">
        <f>HLOOKUP(JM431,HC$2:JK431,2+JN430,0)-IF(KE431&gt;0,KE431,0)</f>
        <v>0</v>
      </c>
      <c r="JP431" s="5"/>
      <c r="JQ431" s="5"/>
      <c r="JR431" s="5"/>
      <c r="JS431" s="6"/>
      <c r="JT431" s="23"/>
      <c r="JU431" s="13"/>
      <c r="JV431" s="6"/>
      <c r="JW431" s="6"/>
      <c r="JX431" s="6"/>
      <c r="JY431" s="6"/>
      <c r="JZ431" s="10"/>
      <c r="KA431" s="10"/>
      <c r="KB431" s="10"/>
      <c r="KC431" s="10"/>
      <c r="KD431" s="5"/>
      <c r="KE431" s="6"/>
    </row>
    <row r="432" spans="6:291" x14ac:dyDescent="0.3">
      <c r="F432" s="17"/>
      <c r="G432" s="9"/>
      <c r="H432" s="3"/>
      <c r="I432" s="3"/>
      <c r="J432" s="3"/>
      <c r="K432" s="3"/>
      <c r="L432" s="3"/>
      <c r="M432" s="3"/>
      <c r="N432" s="3"/>
      <c r="O432" s="3"/>
      <c r="P432" s="4"/>
      <c r="Q432" s="5"/>
      <c r="R432" s="5"/>
      <c r="S432" s="5"/>
      <c r="T432" s="6"/>
      <c r="U432" s="5"/>
      <c r="V432" s="6"/>
      <c r="W432" s="7"/>
      <c r="X432" s="8"/>
      <c r="Y432" s="6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6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C432" s="6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  <c r="JC432" s="5"/>
      <c r="JD432" s="5"/>
      <c r="JE432" s="5"/>
      <c r="JF432" s="5"/>
      <c r="JG432" s="5"/>
      <c r="JH432" s="5"/>
      <c r="JI432" s="5"/>
      <c r="JJ432" s="5"/>
      <c r="JK432" s="5"/>
      <c r="JM432" s="19"/>
      <c r="JN432" s="1">
        <v>430</v>
      </c>
      <c r="JO432" s="5">
        <f>HLOOKUP(JM432,HC$2:JK432,2+JN431,0)-IF(KE432&gt;0,KE432,0)</f>
        <v>0</v>
      </c>
      <c r="JP432" s="5"/>
      <c r="JQ432" s="5"/>
      <c r="JR432" s="5"/>
      <c r="JS432" s="6"/>
      <c r="JT432" s="23"/>
      <c r="JU432" s="13"/>
      <c r="JV432" s="6"/>
      <c r="JW432" s="6"/>
      <c r="JX432" s="6"/>
      <c r="JY432" s="6"/>
      <c r="JZ432" s="10"/>
      <c r="KA432" s="10"/>
      <c r="KB432" s="10"/>
      <c r="KC432" s="10"/>
      <c r="KD432" s="5"/>
      <c r="KE432" s="6"/>
    </row>
    <row r="433" spans="6:291" x14ac:dyDescent="0.3">
      <c r="F433" s="17"/>
      <c r="G433" s="9"/>
      <c r="H433" s="3"/>
      <c r="I433" s="3"/>
      <c r="J433" s="3"/>
      <c r="K433" s="3"/>
      <c r="L433" s="3"/>
      <c r="M433" s="3"/>
      <c r="N433" s="3"/>
      <c r="O433" s="3"/>
      <c r="P433" s="4"/>
      <c r="Q433" s="5"/>
      <c r="R433" s="5"/>
      <c r="S433" s="5"/>
      <c r="T433" s="6"/>
      <c r="U433" s="5"/>
      <c r="V433" s="6"/>
      <c r="W433" s="7"/>
      <c r="X433" s="8"/>
      <c r="Y433" s="6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6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C433" s="6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  <c r="JC433" s="5"/>
      <c r="JD433" s="5"/>
      <c r="JE433" s="5"/>
      <c r="JF433" s="5"/>
      <c r="JG433" s="5"/>
      <c r="JH433" s="5"/>
      <c r="JI433" s="5"/>
      <c r="JJ433" s="5"/>
      <c r="JK433" s="5"/>
      <c r="JM433" s="19"/>
      <c r="JN433" s="1">
        <v>431</v>
      </c>
      <c r="JO433" s="5">
        <f>HLOOKUP(JM433,HC$2:JK433,2+JN432,0)-IF(KE433&gt;0,KE433,0)</f>
        <v>0</v>
      </c>
      <c r="JP433" s="5"/>
      <c r="JQ433" s="5"/>
      <c r="JR433" s="5"/>
      <c r="JS433" s="6"/>
      <c r="JT433" s="23"/>
      <c r="JU433" s="13"/>
      <c r="JV433" s="6"/>
      <c r="JW433" s="6"/>
      <c r="JX433" s="6"/>
      <c r="JY433" s="6"/>
      <c r="JZ433" s="10"/>
      <c r="KA433" s="10"/>
      <c r="KB433" s="10"/>
      <c r="KC433" s="10"/>
      <c r="KD433" s="5"/>
      <c r="KE433" s="6"/>
    </row>
    <row r="434" spans="6:291" x14ac:dyDescent="0.3">
      <c r="F434" s="17"/>
      <c r="G434" s="9"/>
      <c r="H434" s="3"/>
      <c r="I434" s="3"/>
      <c r="J434" s="3"/>
      <c r="K434" s="3"/>
      <c r="L434" s="3"/>
      <c r="M434" s="3"/>
      <c r="N434" s="3"/>
      <c r="O434" s="3"/>
      <c r="P434" s="4"/>
      <c r="Q434" s="5"/>
      <c r="R434" s="5"/>
      <c r="S434" s="5"/>
      <c r="T434" s="6"/>
      <c r="U434" s="5"/>
      <c r="V434" s="6"/>
      <c r="W434" s="7"/>
      <c r="X434" s="8"/>
      <c r="Y434" s="6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6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C434" s="6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  <c r="JC434" s="5"/>
      <c r="JD434" s="5"/>
      <c r="JE434" s="5"/>
      <c r="JF434" s="5"/>
      <c r="JG434" s="5"/>
      <c r="JH434" s="5"/>
      <c r="JI434" s="5"/>
      <c r="JJ434" s="5"/>
      <c r="JK434" s="5"/>
      <c r="JM434" s="19"/>
      <c r="JN434" s="1">
        <v>432</v>
      </c>
      <c r="JO434" s="5">
        <f>HLOOKUP(JM434,HC$2:JK434,2+JN433,0)-IF(KE434&gt;0,KE434,0)</f>
        <v>0</v>
      </c>
      <c r="JP434" s="5"/>
      <c r="JQ434" s="5"/>
      <c r="JR434" s="5"/>
      <c r="JS434" s="6"/>
      <c r="JT434" s="23"/>
      <c r="JU434" s="13"/>
      <c r="JV434" s="6"/>
      <c r="JW434" s="6"/>
      <c r="JX434" s="6"/>
      <c r="JY434" s="6"/>
      <c r="JZ434" s="10"/>
      <c r="KA434" s="10"/>
      <c r="KB434" s="10"/>
      <c r="KC434" s="10"/>
      <c r="KD434" s="5"/>
      <c r="KE434" s="6"/>
    </row>
    <row r="435" spans="6:291" x14ac:dyDescent="0.3">
      <c r="F435" s="17"/>
      <c r="G435" s="9"/>
      <c r="H435" s="3"/>
      <c r="I435" s="3"/>
      <c r="J435" s="3"/>
      <c r="K435" s="3"/>
      <c r="L435" s="3"/>
      <c r="M435" s="3"/>
      <c r="N435" s="3"/>
      <c r="O435" s="3"/>
      <c r="P435" s="4"/>
      <c r="Q435" s="5"/>
      <c r="R435" s="5"/>
      <c r="S435" s="5"/>
      <c r="T435" s="6"/>
      <c r="U435" s="5"/>
      <c r="V435" s="6"/>
      <c r="W435" s="7"/>
      <c r="X435" s="8"/>
      <c r="Y435" s="6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6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C435" s="6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  <c r="JC435" s="5"/>
      <c r="JD435" s="5"/>
      <c r="JE435" s="5"/>
      <c r="JF435" s="5"/>
      <c r="JG435" s="5"/>
      <c r="JH435" s="5"/>
      <c r="JI435" s="5"/>
      <c r="JJ435" s="5"/>
      <c r="JK435" s="5"/>
      <c r="JM435" s="19"/>
      <c r="JN435" s="1">
        <v>433</v>
      </c>
      <c r="JO435" s="5">
        <f>HLOOKUP(JM435,HC$2:JK435,2+JN434,0)-IF(KE435&gt;0,KE435,0)</f>
        <v>0</v>
      </c>
      <c r="JP435" s="5"/>
      <c r="JQ435" s="5"/>
      <c r="JR435" s="5"/>
      <c r="JS435" s="6"/>
      <c r="JT435" s="23"/>
      <c r="JU435" s="13"/>
      <c r="JV435" s="6"/>
      <c r="JW435" s="6"/>
      <c r="JX435" s="6"/>
      <c r="JY435" s="6"/>
      <c r="JZ435" s="10"/>
      <c r="KA435" s="10"/>
      <c r="KB435" s="10"/>
      <c r="KC435" s="10"/>
      <c r="KD435" s="5"/>
      <c r="KE435" s="6"/>
    </row>
    <row r="436" spans="6:291" x14ac:dyDescent="0.3">
      <c r="F436" s="17"/>
      <c r="G436" s="9"/>
      <c r="H436" s="3"/>
      <c r="I436" s="3"/>
      <c r="J436" s="3"/>
      <c r="K436" s="3"/>
      <c r="L436" s="3"/>
      <c r="M436" s="3"/>
      <c r="N436" s="3"/>
      <c r="O436" s="3"/>
      <c r="P436" s="4"/>
      <c r="Q436" s="5"/>
      <c r="R436" s="5"/>
      <c r="S436" s="5"/>
      <c r="T436" s="6"/>
      <c r="U436" s="5"/>
      <c r="V436" s="6"/>
      <c r="W436" s="7"/>
      <c r="X436" s="8"/>
      <c r="Y436" s="6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6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C436" s="6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  <c r="JC436" s="5"/>
      <c r="JD436" s="5"/>
      <c r="JE436" s="5"/>
      <c r="JF436" s="5"/>
      <c r="JG436" s="5"/>
      <c r="JH436" s="5"/>
      <c r="JI436" s="5"/>
      <c r="JJ436" s="5"/>
      <c r="JK436" s="5"/>
      <c r="JM436" s="19"/>
      <c r="JN436" s="1">
        <v>434</v>
      </c>
      <c r="JO436" s="5">
        <f>HLOOKUP(JM436,HC$2:JK436,2+JN435,0)-IF(KE436&gt;0,KE436,0)</f>
        <v>0</v>
      </c>
      <c r="JP436" s="5"/>
      <c r="JQ436" s="5"/>
      <c r="JR436" s="5"/>
      <c r="JS436" s="6"/>
      <c r="JT436" s="23"/>
      <c r="JU436" s="13"/>
      <c r="JV436" s="6"/>
      <c r="JW436" s="6"/>
      <c r="JX436" s="6"/>
      <c r="JY436" s="6"/>
      <c r="JZ436" s="10"/>
      <c r="KA436" s="10"/>
      <c r="KB436" s="10"/>
      <c r="KC436" s="10"/>
      <c r="KD436" s="5"/>
      <c r="KE436" s="6"/>
    </row>
    <row r="437" spans="6:291" x14ac:dyDescent="0.3">
      <c r="F437" s="17"/>
      <c r="G437" s="9"/>
      <c r="H437" s="3"/>
      <c r="I437" s="3"/>
      <c r="J437" s="3"/>
      <c r="K437" s="3"/>
      <c r="L437" s="3"/>
      <c r="M437" s="3"/>
      <c r="N437" s="3"/>
      <c r="O437" s="3"/>
      <c r="P437" s="4"/>
      <c r="Q437" s="5"/>
      <c r="R437" s="5"/>
      <c r="S437" s="5"/>
      <c r="T437" s="6"/>
      <c r="U437" s="5"/>
      <c r="V437" s="6"/>
      <c r="W437" s="7"/>
      <c r="X437" s="8"/>
      <c r="Y437" s="6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6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C437" s="6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  <c r="JC437" s="5"/>
      <c r="JD437" s="5"/>
      <c r="JE437" s="5"/>
      <c r="JF437" s="5"/>
      <c r="JG437" s="5"/>
      <c r="JH437" s="5"/>
      <c r="JI437" s="5"/>
      <c r="JJ437" s="5"/>
      <c r="JK437" s="5"/>
      <c r="JM437" s="19"/>
      <c r="JN437" s="1">
        <v>435</v>
      </c>
      <c r="JO437" s="5">
        <f>HLOOKUP(JM437,HC$2:JK437,2+JN436,0)-IF(KE437&gt;0,KE437,0)</f>
        <v>0</v>
      </c>
      <c r="JP437" s="5"/>
      <c r="JQ437" s="5"/>
      <c r="JR437" s="5"/>
      <c r="JS437" s="6"/>
      <c r="JT437" s="23"/>
      <c r="JU437" s="13"/>
      <c r="JV437" s="6"/>
      <c r="JW437" s="6"/>
      <c r="JX437" s="6"/>
      <c r="JY437" s="6"/>
      <c r="JZ437" s="10"/>
      <c r="KA437" s="10"/>
      <c r="KB437" s="10"/>
      <c r="KC437" s="10"/>
      <c r="KD437" s="5"/>
      <c r="KE437" s="6"/>
    </row>
    <row r="438" spans="6:291" x14ac:dyDescent="0.3">
      <c r="F438" s="17"/>
      <c r="G438" s="9"/>
      <c r="H438" s="3"/>
      <c r="I438" s="3"/>
      <c r="J438" s="3"/>
      <c r="K438" s="3"/>
      <c r="L438" s="3"/>
      <c r="M438" s="3"/>
      <c r="N438" s="3"/>
      <c r="O438" s="3"/>
      <c r="P438" s="4"/>
      <c r="Q438" s="5"/>
      <c r="R438" s="5"/>
      <c r="S438" s="5"/>
      <c r="T438" s="6"/>
      <c r="U438" s="5"/>
      <c r="V438" s="6"/>
      <c r="W438" s="7"/>
      <c r="X438" s="8"/>
      <c r="Y438" s="6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6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C438" s="6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  <c r="JC438" s="5"/>
      <c r="JD438" s="5"/>
      <c r="JE438" s="5"/>
      <c r="JF438" s="5"/>
      <c r="JG438" s="5"/>
      <c r="JH438" s="5"/>
      <c r="JI438" s="5"/>
      <c r="JJ438" s="5"/>
      <c r="JK438" s="5"/>
      <c r="JM438" s="19"/>
      <c r="JN438" s="1">
        <v>436</v>
      </c>
      <c r="JO438" s="5">
        <f>HLOOKUP(JM438,HC$2:JK438,2+JN437,0)-IF(KE438&gt;0,KE438,0)</f>
        <v>0</v>
      </c>
      <c r="JP438" s="5"/>
      <c r="JQ438" s="5"/>
      <c r="JR438" s="5"/>
      <c r="JS438" s="6"/>
      <c r="JT438" s="23"/>
      <c r="JU438" s="13"/>
      <c r="JV438" s="6"/>
      <c r="JW438" s="6"/>
      <c r="JX438" s="6"/>
      <c r="JY438" s="6"/>
      <c r="JZ438" s="10"/>
      <c r="KA438" s="10"/>
      <c r="KB438" s="10"/>
      <c r="KC438" s="10"/>
      <c r="KD438" s="5"/>
      <c r="KE438" s="6"/>
    </row>
    <row r="439" spans="6:291" x14ac:dyDescent="0.3">
      <c r="F439" s="17"/>
      <c r="G439" s="9"/>
      <c r="H439" s="3"/>
      <c r="I439" s="3"/>
      <c r="J439" s="3"/>
      <c r="K439" s="3"/>
      <c r="L439" s="3"/>
      <c r="M439" s="3"/>
      <c r="N439" s="3"/>
      <c r="O439" s="3"/>
      <c r="P439" s="4"/>
      <c r="Q439" s="5"/>
      <c r="R439" s="5"/>
      <c r="S439" s="5"/>
      <c r="T439" s="6"/>
      <c r="U439" s="5"/>
      <c r="V439" s="6"/>
      <c r="W439" s="7"/>
      <c r="X439" s="8"/>
      <c r="Y439" s="6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6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C439" s="6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  <c r="JC439" s="5"/>
      <c r="JD439" s="5"/>
      <c r="JE439" s="5"/>
      <c r="JF439" s="5"/>
      <c r="JG439" s="5"/>
      <c r="JH439" s="5"/>
      <c r="JI439" s="5"/>
      <c r="JJ439" s="5"/>
      <c r="JK439" s="5"/>
      <c r="JM439" s="19"/>
      <c r="JN439" s="1">
        <v>437</v>
      </c>
      <c r="JO439" s="5">
        <f>HLOOKUP(JM439,HC$2:JK439,2+JN438,0)-IF(KE439&gt;0,KE439,0)</f>
        <v>0</v>
      </c>
      <c r="JP439" s="5"/>
      <c r="JQ439" s="5"/>
      <c r="JR439" s="5"/>
      <c r="JS439" s="6"/>
      <c r="JT439" s="23"/>
      <c r="JU439" s="13"/>
      <c r="JV439" s="6"/>
      <c r="JW439" s="6"/>
      <c r="JX439" s="6"/>
      <c r="JY439" s="6"/>
      <c r="JZ439" s="10"/>
      <c r="KA439" s="10"/>
      <c r="KB439" s="10"/>
      <c r="KC439" s="10"/>
      <c r="KD439" s="5"/>
      <c r="KE439" s="6"/>
    </row>
    <row r="440" spans="6:291" x14ac:dyDescent="0.3">
      <c r="F440" s="17"/>
      <c r="G440" s="9"/>
      <c r="H440" s="3"/>
      <c r="I440" s="3"/>
      <c r="J440" s="3"/>
      <c r="K440" s="3"/>
      <c r="L440" s="3"/>
      <c r="M440" s="3"/>
      <c r="N440" s="3"/>
      <c r="O440" s="3"/>
      <c r="P440" s="4"/>
      <c r="Q440" s="5"/>
      <c r="R440" s="5"/>
      <c r="S440" s="5"/>
      <c r="T440" s="6"/>
      <c r="U440" s="5"/>
      <c r="V440" s="6"/>
      <c r="W440" s="7"/>
      <c r="X440" s="8"/>
      <c r="Y440" s="6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6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C440" s="6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  <c r="JC440" s="5"/>
      <c r="JD440" s="5"/>
      <c r="JE440" s="5"/>
      <c r="JF440" s="5"/>
      <c r="JG440" s="5"/>
      <c r="JH440" s="5"/>
      <c r="JI440" s="5"/>
      <c r="JJ440" s="5"/>
      <c r="JK440" s="5"/>
      <c r="JM440" s="19"/>
      <c r="JN440" s="1">
        <v>438</v>
      </c>
      <c r="JO440" s="5">
        <f>HLOOKUP(JM440,HC$2:JK440,2+JN439,0)-IF(KE440&gt;0,KE440,0)</f>
        <v>0</v>
      </c>
      <c r="JP440" s="5"/>
      <c r="JQ440" s="5"/>
      <c r="JR440" s="5"/>
      <c r="JS440" s="6"/>
      <c r="JT440" s="23"/>
      <c r="JU440" s="13"/>
      <c r="JV440" s="6"/>
      <c r="JW440" s="6"/>
      <c r="JX440" s="6"/>
      <c r="JY440" s="6"/>
      <c r="JZ440" s="10"/>
      <c r="KA440" s="10"/>
      <c r="KB440" s="10"/>
      <c r="KC440" s="10"/>
      <c r="KD440" s="5"/>
      <c r="KE440" s="6"/>
    </row>
    <row r="441" spans="6:291" x14ac:dyDescent="0.3">
      <c r="F441" s="17"/>
      <c r="G441" s="9"/>
      <c r="H441" s="3"/>
      <c r="I441" s="3"/>
      <c r="J441" s="3"/>
      <c r="K441" s="3"/>
      <c r="L441" s="3"/>
      <c r="M441" s="3"/>
      <c r="N441" s="3"/>
      <c r="O441" s="3"/>
      <c r="P441" s="4"/>
      <c r="Q441" s="5"/>
      <c r="R441" s="5"/>
      <c r="S441" s="5"/>
      <c r="T441" s="6"/>
      <c r="U441" s="5"/>
      <c r="V441" s="6"/>
      <c r="W441" s="7"/>
      <c r="X441" s="8"/>
      <c r="Y441" s="6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6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C441" s="6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  <c r="JC441" s="5"/>
      <c r="JD441" s="5"/>
      <c r="JE441" s="5"/>
      <c r="JF441" s="5"/>
      <c r="JG441" s="5"/>
      <c r="JH441" s="5"/>
      <c r="JI441" s="5"/>
      <c r="JJ441" s="5"/>
      <c r="JK441" s="5"/>
      <c r="JM441" s="19"/>
      <c r="JN441" s="1">
        <v>439</v>
      </c>
      <c r="JO441" s="5">
        <f>HLOOKUP(JM441,HC$2:JK441,2+JN440,0)-IF(KE441&gt;0,KE441,0)</f>
        <v>0</v>
      </c>
      <c r="JP441" s="5"/>
      <c r="JQ441" s="5"/>
      <c r="JR441" s="5"/>
      <c r="JS441" s="6"/>
      <c r="JT441" s="23"/>
      <c r="JU441" s="13"/>
      <c r="JV441" s="6"/>
      <c r="JW441" s="6"/>
      <c r="JX441" s="6"/>
      <c r="JY441" s="6"/>
      <c r="JZ441" s="10"/>
      <c r="KA441" s="10"/>
      <c r="KB441" s="10"/>
      <c r="KC441" s="10"/>
      <c r="KD441" s="5"/>
      <c r="KE441" s="6"/>
    </row>
    <row r="442" spans="6:291" x14ac:dyDescent="0.3">
      <c r="F442" s="17"/>
      <c r="G442" s="9"/>
      <c r="H442" s="3"/>
      <c r="I442" s="3"/>
      <c r="J442" s="3"/>
      <c r="K442" s="3"/>
      <c r="L442" s="3"/>
      <c r="M442" s="3"/>
      <c r="N442" s="3"/>
      <c r="O442" s="3"/>
      <c r="P442" s="4"/>
      <c r="Q442" s="5"/>
      <c r="R442" s="5"/>
      <c r="S442" s="5"/>
      <c r="T442" s="6"/>
      <c r="U442" s="5"/>
      <c r="V442" s="6"/>
      <c r="W442" s="7"/>
      <c r="X442" s="8"/>
      <c r="Y442" s="6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6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C442" s="6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  <c r="JC442" s="5"/>
      <c r="JD442" s="5"/>
      <c r="JE442" s="5"/>
      <c r="JF442" s="5"/>
      <c r="JG442" s="5"/>
      <c r="JH442" s="5"/>
      <c r="JI442" s="5"/>
      <c r="JJ442" s="5"/>
      <c r="JK442" s="5"/>
      <c r="JM442" s="19"/>
      <c r="JN442" s="1">
        <v>440</v>
      </c>
      <c r="JO442" s="5">
        <f>HLOOKUP(JM442,HC$2:JK442,2+JN441,0)-IF(KE442&gt;0,KE442,0)</f>
        <v>0</v>
      </c>
      <c r="JP442" s="5"/>
      <c r="JQ442" s="5"/>
      <c r="JR442" s="5"/>
      <c r="JS442" s="6"/>
      <c r="JT442" s="23"/>
      <c r="JU442" s="13"/>
      <c r="JV442" s="6"/>
      <c r="JW442" s="6"/>
      <c r="JX442" s="6"/>
      <c r="JY442" s="6"/>
      <c r="JZ442" s="10"/>
      <c r="KA442" s="10"/>
      <c r="KB442" s="10"/>
      <c r="KC442" s="10"/>
      <c r="KD442" s="5"/>
      <c r="KE442" s="6"/>
    </row>
    <row r="443" spans="6:291" x14ac:dyDescent="0.3">
      <c r="F443" s="17"/>
      <c r="G443" s="9"/>
      <c r="H443" s="3"/>
      <c r="I443" s="3"/>
      <c r="J443" s="3"/>
      <c r="K443" s="3"/>
      <c r="L443" s="3"/>
      <c r="M443" s="3"/>
      <c r="N443" s="3"/>
      <c r="O443" s="3"/>
      <c r="P443" s="4"/>
      <c r="Q443" s="5"/>
      <c r="R443" s="5"/>
      <c r="S443" s="5"/>
      <c r="T443" s="6"/>
      <c r="U443" s="5"/>
      <c r="V443" s="6"/>
      <c r="W443" s="7"/>
      <c r="X443" s="8"/>
      <c r="Y443" s="6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6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C443" s="6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  <c r="JC443" s="5"/>
      <c r="JD443" s="5"/>
      <c r="JE443" s="5"/>
      <c r="JF443" s="5"/>
      <c r="JG443" s="5"/>
      <c r="JH443" s="5"/>
      <c r="JI443" s="5"/>
      <c r="JJ443" s="5"/>
      <c r="JK443" s="5"/>
      <c r="JM443" s="19"/>
      <c r="JN443" s="1">
        <v>441</v>
      </c>
      <c r="JO443" s="5">
        <f>HLOOKUP(JM443,HC$2:JK443,2+JN442,0)-IF(KE443&gt;0,KE443,0)</f>
        <v>0</v>
      </c>
      <c r="JP443" s="5"/>
      <c r="JQ443" s="5"/>
      <c r="JR443" s="5"/>
      <c r="JS443" s="6"/>
      <c r="JT443" s="23"/>
      <c r="JU443" s="13"/>
      <c r="JV443" s="6"/>
      <c r="JW443" s="6"/>
      <c r="JX443" s="6"/>
      <c r="JY443" s="6"/>
      <c r="JZ443" s="10"/>
      <c r="KA443" s="10"/>
      <c r="KB443" s="10"/>
      <c r="KC443" s="10"/>
      <c r="KD443" s="5"/>
      <c r="KE443" s="6"/>
    </row>
    <row r="444" spans="6:291" x14ac:dyDescent="0.3">
      <c r="F444" s="17"/>
      <c r="G444" s="9"/>
      <c r="H444" s="3"/>
      <c r="I444" s="3"/>
      <c r="J444" s="3"/>
      <c r="K444" s="3"/>
      <c r="L444" s="3"/>
      <c r="M444" s="3"/>
      <c r="N444" s="3"/>
      <c r="O444" s="3"/>
      <c r="P444" s="4"/>
      <c r="Q444" s="5"/>
      <c r="R444" s="5"/>
      <c r="S444" s="5"/>
      <c r="T444" s="6"/>
      <c r="U444" s="5"/>
      <c r="V444" s="6"/>
      <c r="W444" s="7"/>
      <c r="X444" s="8"/>
      <c r="Y444" s="6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6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C444" s="6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  <c r="JC444" s="5"/>
      <c r="JD444" s="5"/>
      <c r="JE444" s="5"/>
      <c r="JF444" s="5"/>
      <c r="JG444" s="5"/>
      <c r="JH444" s="5"/>
      <c r="JI444" s="5"/>
      <c r="JJ444" s="5"/>
      <c r="JK444" s="5"/>
      <c r="JM444" s="19"/>
      <c r="JN444" s="1">
        <v>442</v>
      </c>
      <c r="JO444" s="5">
        <f>HLOOKUP(JM444,HC$2:JK444,2+JN443,0)-IF(KE444&gt;0,KE444,0)</f>
        <v>0</v>
      </c>
      <c r="JP444" s="5"/>
      <c r="JQ444" s="5"/>
      <c r="JR444" s="5"/>
      <c r="JS444" s="6"/>
      <c r="JT444" s="23"/>
      <c r="JU444" s="13"/>
      <c r="JV444" s="6"/>
      <c r="JW444" s="6"/>
      <c r="JX444" s="6"/>
      <c r="JY444" s="6"/>
      <c r="JZ444" s="10"/>
      <c r="KA444" s="10"/>
      <c r="KB444" s="10"/>
      <c r="KC444" s="10"/>
      <c r="KD444" s="5"/>
      <c r="KE444" s="6"/>
    </row>
    <row r="445" spans="6:291" x14ac:dyDescent="0.3">
      <c r="JN445" s="1">
        <v>443</v>
      </c>
      <c r="JO445" s="5">
        <f>HLOOKUP(JM445,HC$2:JK445,2+JN444,0)-IF(KE445&gt;0,KE445,0)</f>
        <v>0</v>
      </c>
      <c r="JP445" s="5"/>
      <c r="JQ445" s="5"/>
      <c r="JR445" s="5"/>
      <c r="JS445" s="6"/>
      <c r="JT445" s="23"/>
      <c r="JU445" s="13"/>
      <c r="JV445" s="6"/>
      <c r="JW445" s="6"/>
      <c r="JX445" s="6"/>
      <c r="JY445" s="6"/>
      <c r="JZ445" s="10"/>
      <c r="KA445" s="10"/>
      <c r="KB445" s="10"/>
      <c r="KC445" s="10"/>
      <c r="KD445" s="5"/>
      <c r="KE445" s="6"/>
    </row>
    <row r="446" spans="6:291" x14ac:dyDescent="0.3">
      <c r="JN446" s="1">
        <v>444</v>
      </c>
      <c r="JO446" s="5">
        <f>HLOOKUP(JM446,HC$2:JK446,2+JN445,0)-IF(KE446&gt;0,KE446,0)</f>
        <v>0</v>
      </c>
      <c r="JP446" s="5"/>
      <c r="JQ446" s="5"/>
      <c r="JR446" s="5"/>
      <c r="JS446" s="6"/>
      <c r="JT446" s="23"/>
      <c r="JU446" s="13"/>
      <c r="JV446" s="6"/>
      <c r="JW446" s="6"/>
      <c r="JX446" s="6"/>
      <c r="JY446" s="6"/>
      <c r="JZ446" s="10"/>
      <c r="KA446" s="10"/>
      <c r="KB446" s="10"/>
      <c r="KC446" s="10"/>
      <c r="KD446" s="5"/>
      <c r="KE446" s="6"/>
    </row>
    <row r="447" spans="6:291" x14ac:dyDescent="0.3">
      <c r="JN447" s="1">
        <v>445</v>
      </c>
      <c r="JO447" s="5">
        <f>HLOOKUP(JM447,HC$2:JK447,2+JN446,0)-IF(KE447&gt;0,KE447,0)</f>
        <v>0</v>
      </c>
      <c r="JP447" s="5"/>
      <c r="JQ447" s="5"/>
      <c r="JR447" s="5"/>
      <c r="JS447" s="6"/>
      <c r="JT447" s="23"/>
      <c r="JU447" s="13"/>
      <c r="JV447" s="6"/>
      <c r="JW447" s="6"/>
      <c r="JX447" s="6"/>
      <c r="JY447" s="6"/>
      <c r="JZ447" s="10"/>
      <c r="KA447" s="10"/>
      <c r="KB447" s="10"/>
      <c r="KC447" s="10"/>
      <c r="KD447" s="5"/>
      <c r="KE447" s="6"/>
    </row>
    <row r="448" spans="6:291" x14ac:dyDescent="0.3">
      <c r="JN448" s="1">
        <v>446</v>
      </c>
      <c r="JO448" s="5">
        <f>HLOOKUP(JM448,HC$2:JK448,2+JN447,0)-IF(KE448&gt;0,KE448,0)</f>
        <v>0</v>
      </c>
      <c r="JP448" s="5"/>
      <c r="JQ448" s="5"/>
      <c r="JR448" s="5"/>
      <c r="JS448" s="6"/>
      <c r="JT448" s="23"/>
      <c r="JU448" s="13"/>
      <c r="JV448" s="6"/>
      <c r="JW448" s="6"/>
      <c r="JX448" s="6"/>
      <c r="JY448" s="6"/>
      <c r="JZ448" s="10"/>
      <c r="KA448" s="10"/>
      <c r="KB448" s="10"/>
      <c r="KC448" s="10"/>
      <c r="KD448" s="5"/>
      <c r="KE448" s="6"/>
    </row>
    <row r="449" spans="274:291" x14ac:dyDescent="0.3">
      <c r="JN449" s="1">
        <v>447</v>
      </c>
      <c r="JO449" s="5">
        <f>HLOOKUP(JM449,HC$2:JK449,2+JN448,0)-IF(KE449&gt;0,KE449,0)</f>
        <v>0</v>
      </c>
      <c r="JP449" s="5"/>
      <c r="JQ449" s="5"/>
      <c r="JR449" s="5"/>
      <c r="JS449" s="6"/>
      <c r="JT449" s="23"/>
      <c r="JU449" s="13"/>
      <c r="JV449" s="6"/>
      <c r="JW449" s="6"/>
      <c r="JX449" s="6"/>
      <c r="JY449" s="6"/>
      <c r="JZ449" s="10"/>
      <c r="KA449" s="10"/>
      <c r="KB449" s="10"/>
      <c r="KC449" s="10"/>
      <c r="KD449" s="5"/>
      <c r="KE449" s="6"/>
    </row>
    <row r="450" spans="274:291" x14ac:dyDescent="0.3">
      <c r="JN450" s="1">
        <v>448</v>
      </c>
      <c r="JO450" s="5">
        <f>HLOOKUP(JM450,HC$2:JK450,2+JN449,0)-IF(KE450&gt;0,KE450,0)</f>
        <v>0</v>
      </c>
      <c r="JP450" s="5"/>
      <c r="JQ450" s="5"/>
      <c r="JR450" s="5"/>
      <c r="JS450" s="6"/>
      <c r="JT450" s="23"/>
      <c r="JU450" s="13"/>
      <c r="JV450" s="6"/>
      <c r="JW450" s="6"/>
      <c r="JX450" s="6"/>
      <c r="JY450" s="6"/>
      <c r="JZ450" s="10"/>
      <c r="KA450" s="10"/>
      <c r="KB450" s="10"/>
      <c r="KC450" s="10"/>
      <c r="KD450" s="5"/>
      <c r="KE450" s="6"/>
    </row>
    <row r="451" spans="274:291" x14ac:dyDescent="0.3">
      <c r="JN451" s="1">
        <v>449</v>
      </c>
      <c r="JO451" s="5">
        <f>HLOOKUP(JM451,HC$2:JK451,2+JN450,0)-IF(KE451&gt;0,KE451,0)</f>
        <v>0</v>
      </c>
      <c r="JP451" s="5"/>
      <c r="JQ451" s="5"/>
      <c r="JR451" s="5"/>
      <c r="JS451" s="6"/>
      <c r="JT451" s="23"/>
      <c r="JU451" s="13"/>
      <c r="JV451" s="6"/>
      <c r="JW451" s="6"/>
      <c r="JX451" s="6"/>
      <c r="JY451" s="6"/>
      <c r="JZ451" s="10"/>
      <c r="KA451" s="10"/>
      <c r="KB451" s="10"/>
      <c r="KC451" s="10"/>
      <c r="KD451" s="5"/>
      <c r="KE451" s="6"/>
    </row>
    <row r="452" spans="274:291" x14ac:dyDescent="0.3">
      <c r="JN452" s="1">
        <v>450</v>
      </c>
      <c r="JO452" s="5">
        <f>HLOOKUP(JM452,HC$2:JK452,2+JN451,0)-IF(KE452&gt;0,KE452,0)</f>
        <v>0</v>
      </c>
      <c r="JP452" s="5"/>
      <c r="JQ452" s="5"/>
      <c r="JR452" s="5"/>
      <c r="JS452" s="6"/>
      <c r="JT452" s="23"/>
      <c r="JU452" s="13"/>
      <c r="JV452" s="6"/>
      <c r="JW452" s="6"/>
      <c r="JX452" s="6"/>
      <c r="JY452" s="6"/>
      <c r="JZ452" s="10"/>
      <c r="KA452" s="10"/>
      <c r="KB452" s="10"/>
      <c r="KC452" s="10"/>
      <c r="KD452" s="5"/>
      <c r="KE452" s="6"/>
    </row>
    <row r="453" spans="274:291" x14ac:dyDescent="0.3">
      <c r="JN453" s="1">
        <v>451</v>
      </c>
      <c r="JO453" s="5">
        <f>HLOOKUP(JM453,HC$2:JK453,2+JN452,0)-IF(KE453&gt;0,KE453,0)</f>
        <v>0</v>
      </c>
      <c r="JP453" s="5"/>
      <c r="JQ453" s="5"/>
      <c r="JR453" s="5"/>
      <c r="JS453" s="6"/>
      <c r="JT453" s="23"/>
      <c r="JU453" s="13"/>
      <c r="JV453" s="6"/>
      <c r="JW453" s="6"/>
      <c r="JX453" s="6"/>
      <c r="JY453" s="6"/>
      <c r="JZ453" s="10"/>
      <c r="KA453" s="10"/>
      <c r="KB453" s="10"/>
      <c r="KC453" s="10"/>
      <c r="KD453" s="5"/>
      <c r="KE453" s="6"/>
    </row>
    <row r="454" spans="274:291" x14ac:dyDescent="0.3">
      <c r="JN454" s="1">
        <v>452</v>
      </c>
      <c r="JO454" s="5">
        <f>HLOOKUP(JM454,HC$2:JK454,2+JN453,0)-IF(KE454&gt;0,KE454,0)</f>
        <v>0</v>
      </c>
      <c r="JP454" s="5"/>
      <c r="JQ454" s="5"/>
      <c r="JR454" s="5"/>
      <c r="JS454" s="6"/>
      <c r="JT454" s="23"/>
      <c r="JU454" s="13"/>
      <c r="JV454" s="6"/>
      <c r="JW454" s="6"/>
      <c r="JX454" s="6"/>
      <c r="JY454" s="6"/>
      <c r="JZ454" s="10"/>
      <c r="KA454" s="10"/>
      <c r="KB454" s="10"/>
      <c r="KC454" s="10"/>
      <c r="KD454" s="5"/>
      <c r="KE454" s="6"/>
    </row>
    <row r="455" spans="274:291" x14ac:dyDescent="0.3">
      <c r="JN455" s="1">
        <v>453</v>
      </c>
      <c r="JO455" s="5">
        <f>HLOOKUP(JM455,HC$2:JK455,2+JN454,0)-IF(KE455&gt;0,KE455,0)</f>
        <v>0</v>
      </c>
      <c r="JP455" s="5"/>
      <c r="JQ455" s="5"/>
      <c r="JR455" s="5"/>
      <c r="JS455" s="6"/>
      <c r="JT455" s="23"/>
      <c r="JU455" s="13"/>
      <c r="JV455" s="6"/>
      <c r="JW455" s="6"/>
      <c r="JX455" s="6"/>
      <c r="JY455" s="6"/>
      <c r="JZ455" s="10"/>
      <c r="KA455" s="10"/>
      <c r="KB455" s="10"/>
      <c r="KC455" s="10"/>
      <c r="KD455" s="5"/>
      <c r="KE455" s="6"/>
    </row>
    <row r="456" spans="274:291" x14ac:dyDescent="0.3">
      <c r="JN456" s="1">
        <v>454</v>
      </c>
      <c r="JO456" s="5">
        <f>HLOOKUP(JM456,HC$2:JK456,2+JN455,0)-IF(KE456&gt;0,KE456,0)</f>
        <v>0</v>
      </c>
      <c r="JP456" s="5"/>
      <c r="JQ456" s="5"/>
      <c r="JR456" s="5"/>
      <c r="JS456" s="6"/>
      <c r="JT456" s="23"/>
      <c r="JU456" s="13"/>
      <c r="JV456" s="6"/>
      <c r="JW456" s="6"/>
      <c r="JX456" s="6"/>
      <c r="JY456" s="6"/>
      <c r="JZ456" s="10"/>
      <c r="KA456" s="10"/>
      <c r="KB456" s="10"/>
      <c r="KC456" s="10"/>
      <c r="KD456" s="5"/>
      <c r="KE456" s="6"/>
    </row>
    <row r="457" spans="274:291" x14ac:dyDescent="0.3">
      <c r="JN457" s="1">
        <v>455</v>
      </c>
      <c r="JO457" s="5">
        <f>HLOOKUP(JM457,HC$2:JK457,2+JN456,0)-IF(KE457&gt;0,KE457,0)</f>
        <v>0</v>
      </c>
      <c r="JP457" s="5"/>
      <c r="JQ457" s="5"/>
      <c r="JR457" s="5"/>
      <c r="JS457" s="6"/>
      <c r="JT457" s="23"/>
      <c r="JU457" s="13"/>
      <c r="JV457" s="6"/>
      <c r="JW457" s="6"/>
      <c r="JX457" s="6"/>
      <c r="JY457" s="6"/>
      <c r="JZ457" s="10"/>
      <c r="KA457" s="10"/>
      <c r="KB457" s="10"/>
      <c r="KC457" s="10"/>
      <c r="KD457" s="5"/>
      <c r="KE457" s="6"/>
    </row>
    <row r="458" spans="274:291" x14ac:dyDescent="0.3">
      <c r="JN458" s="1">
        <v>456</v>
      </c>
      <c r="JO458" s="5">
        <f>HLOOKUP(JM458,HC$2:JK458,2+JN457,0)-IF(KE458&gt;0,KE458,0)</f>
        <v>0</v>
      </c>
      <c r="JP458" s="5"/>
      <c r="JQ458" s="5"/>
      <c r="JR458" s="5"/>
      <c r="JS458" s="6"/>
      <c r="JT458" s="23"/>
      <c r="JU458" s="13"/>
      <c r="JV458" s="6"/>
      <c r="JW458" s="6"/>
      <c r="JX458" s="6"/>
      <c r="JY458" s="6"/>
      <c r="JZ458" s="10"/>
      <c r="KA458" s="10"/>
      <c r="KB458" s="10"/>
      <c r="KC458" s="10"/>
      <c r="KD458" s="5"/>
      <c r="KE458" s="6"/>
    </row>
    <row r="459" spans="274:291" x14ac:dyDescent="0.3">
      <c r="JN459" s="1">
        <v>457</v>
      </c>
      <c r="JO459" s="5">
        <f>HLOOKUP(JM459,HC$2:JK459,2+JN458,0)-IF(KE459&gt;0,KE459,0)</f>
        <v>0</v>
      </c>
      <c r="JP459" s="5"/>
      <c r="JQ459" s="5"/>
      <c r="JR459" s="5"/>
      <c r="JS459" s="6"/>
      <c r="JT459" s="23"/>
      <c r="JU459" s="13"/>
      <c r="JV459" s="6"/>
      <c r="JW459" s="6"/>
      <c r="JX459" s="6"/>
      <c r="JY459" s="6"/>
      <c r="JZ459" s="10"/>
      <c r="KA459" s="10"/>
      <c r="KB459" s="10"/>
      <c r="KC459" s="10"/>
      <c r="KD459" s="5"/>
      <c r="KE459" s="6"/>
    </row>
    <row r="460" spans="274:291" x14ac:dyDescent="0.3">
      <c r="JN460" s="1">
        <v>458</v>
      </c>
      <c r="JO460" s="5">
        <f>HLOOKUP(JM460,HC$2:JK460,2+JN459,0)-IF(KE460&gt;0,KE460,0)</f>
        <v>0</v>
      </c>
      <c r="JP460" s="5"/>
      <c r="JQ460" s="5"/>
      <c r="JR460" s="5"/>
      <c r="JS460" s="6"/>
      <c r="JT460" s="23"/>
      <c r="JU460" s="13"/>
      <c r="JV460" s="6"/>
      <c r="JW460" s="6"/>
      <c r="JX460" s="6"/>
      <c r="JY460" s="6"/>
      <c r="JZ460" s="10"/>
      <c r="KA460" s="10"/>
      <c r="KB460" s="10"/>
      <c r="KC460" s="10"/>
      <c r="KD460" s="5"/>
      <c r="KE460" s="6"/>
    </row>
    <row r="461" spans="274:291" x14ac:dyDescent="0.3">
      <c r="JN461" s="1">
        <v>459</v>
      </c>
      <c r="JO461" s="5">
        <f>HLOOKUP(JM461,HC$2:JK461,2+JN460,0)-IF(KE461&gt;0,KE461,0)</f>
        <v>0</v>
      </c>
      <c r="JP461" s="5"/>
      <c r="JQ461" s="5"/>
      <c r="JR461" s="5"/>
      <c r="JS461" s="6"/>
      <c r="JT461" s="23"/>
      <c r="JU461" s="13"/>
      <c r="JV461" s="6"/>
      <c r="JW461" s="6"/>
      <c r="JX461" s="6"/>
      <c r="JY461" s="6"/>
      <c r="JZ461" s="10"/>
      <c r="KA461" s="10"/>
      <c r="KB461" s="10"/>
      <c r="KC461" s="10"/>
      <c r="KD461" s="5"/>
      <c r="KE461" s="6"/>
    </row>
    <row r="462" spans="274:291" x14ac:dyDescent="0.3">
      <c r="JN462" s="1">
        <v>460</v>
      </c>
      <c r="JO462" s="5">
        <f>HLOOKUP(JM462,HC$2:JK462,2+JN461,0)-IF(KE462&gt;0,KE462,0)</f>
        <v>0</v>
      </c>
      <c r="JP462" s="5"/>
      <c r="JQ462" s="5"/>
      <c r="JR462" s="5"/>
      <c r="JS462" s="6"/>
      <c r="JT462" s="23"/>
      <c r="JU462" s="13"/>
      <c r="JV462" s="6"/>
      <c r="JW462" s="6"/>
      <c r="JX462" s="6"/>
      <c r="JY462" s="6"/>
      <c r="JZ462" s="10"/>
      <c r="KA462" s="10"/>
      <c r="KB462" s="10"/>
      <c r="KC462" s="10"/>
      <c r="KD462" s="5"/>
      <c r="KE462" s="6"/>
    </row>
    <row r="463" spans="274:291" x14ac:dyDescent="0.3">
      <c r="JN463" s="1">
        <v>461</v>
      </c>
      <c r="JO463" s="5">
        <f>HLOOKUP(JM463,HC$2:JK463,2+JN462,0)-IF(KE463&gt;0,KE463,0)</f>
        <v>0</v>
      </c>
      <c r="JP463" s="5"/>
      <c r="JQ463" s="5"/>
      <c r="JR463" s="5"/>
      <c r="JS463" s="6"/>
      <c r="JT463" s="23"/>
      <c r="JU463" s="13"/>
      <c r="JV463" s="6"/>
      <c r="JW463" s="6"/>
      <c r="JX463" s="6"/>
      <c r="JY463" s="6"/>
      <c r="JZ463" s="10"/>
      <c r="KA463" s="10"/>
      <c r="KB463" s="10"/>
      <c r="KC463" s="10"/>
      <c r="KD463" s="5"/>
      <c r="KE463" s="6"/>
    </row>
    <row r="464" spans="274:291" x14ac:dyDescent="0.3">
      <c r="JN464" s="1">
        <v>462</v>
      </c>
      <c r="JO464" s="5">
        <f>HLOOKUP(JM464,HC$2:JK464,2+JN463,0)-IF(KE464&gt;0,KE464,0)</f>
        <v>0</v>
      </c>
      <c r="JP464" s="5"/>
      <c r="JQ464" s="5"/>
      <c r="JR464" s="5"/>
      <c r="JS464" s="6"/>
      <c r="JT464" s="23"/>
      <c r="JU464" s="13"/>
      <c r="JV464" s="6"/>
      <c r="JW464" s="6"/>
      <c r="JX464" s="6"/>
      <c r="JY464" s="6"/>
      <c r="JZ464" s="10"/>
      <c r="KA464" s="10"/>
      <c r="KB464" s="10"/>
      <c r="KC464" s="10"/>
      <c r="KD464" s="5"/>
      <c r="KE464" s="6"/>
    </row>
    <row r="465" spans="274:291" x14ac:dyDescent="0.3">
      <c r="JN465" s="1">
        <v>463</v>
      </c>
      <c r="JO465" s="5">
        <f>HLOOKUP(JM465,HC$2:JK465,2+JN464,0)-IF(KE465&gt;0,KE465,0)</f>
        <v>0</v>
      </c>
      <c r="JP465" s="5"/>
      <c r="JQ465" s="5"/>
      <c r="JR465" s="5"/>
      <c r="JS465" s="6"/>
      <c r="JT465" s="23"/>
      <c r="JU465" s="13"/>
      <c r="JV465" s="6"/>
      <c r="JW465" s="6"/>
      <c r="JX465" s="6"/>
      <c r="JY465" s="6"/>
      <c r="JZ465" s="10"/>
      <c r="KA465" s="10"/>
      <c r="KB465" s="10"/>
      <c r="KC465" s="10"/>
      <c r="KD465" s="5"/>
      <c r="KE465" s="6"/>
    </row>
    <row r="466" spans="274:291" x14ac:dyDescent="0.3">
      <c r="JN466" s="1">
        <v>464</v>
      </c>
      <c r="JO466" s="5">
        <f>HLOOKUP(JM466,HC$2:JK466,2+JN465,0)-IF(KE466&gt;0,KE466,0)</f>
        <v>0</v>
      </c>
      <c r="JP466" s="5"/>
      <c r="JQ466" s="5"/>
      <c r="JR466" s="5"/>
      <c r="JS466" s="6"/>
      <c r="JT466" s="23"/>
      <c r="JU466" s="13"/>
      <c r="JV466" s="6"/>
      <c r="JW466" s="6"/>
      <c r="JX466" s="6"/>
      <c r="JY466" s="6"/>
      <c r="JZ466" s="10"/>
      <c r="KA466" s="10"/>
      <c r="KB466" s="10"/>
      <c r="KC466" s="10"/>
      <c r="KD466" s="5"/>
      <c r="KE466" s="6"/>
    </row>
    <row r="467" spans="274:291" x14ac:dyDescent="0.3">
      <c r="JN467" s="1">
        <v>465</v>
      </c>
      <c r="JO467" s="5">
        <f>HLOOKUP(JM467,HC$2:JK467,2+JN466,0)-IF(KE467&gt;0,KE467,0)</f>
        <v>0</v>
      </c>
      <c r="JP467" s="5"/>
      <c r="JQ467" s="5"/>
      <c r="JR467" s="5"/>
      <c r="JS467" s="6"/>
      <c r="JT467" s="23"/>
      <c r="JU467" s="13"/>
      <c r="JV467" s="6"/>
      <c r="JW467" s="6"/>
      <c r="JX467" s="6"/>
      <c r="JY467" s="6"/>
      <c r="JZ467" s="10"/>
      <c r="KA467" s="10"/>
      <c r="KB467" s="10"/>
      <c r="KC467" s="10"/>
      <c r="KD467" s="5"/>
      <c r="KE467" s="6"/>
    </row>
    <row r="468" spans="274:291" x14ac:dyDescent="0.3">
      <c r="JN468" s="1">
        <v>466</v>
      </c>
      <c r="JO468" s="5">
        <f>HLOOKUP(JM468,HC$2:JK468,2+JN467,0)-IF(KE468&gt;0,KE468,0)</f>
        <v>0</v>
      </c>
      <c r="JP468" s="5"/>
      <c r="JQ468" s="5"/>
      <c r="JR468" s="5"/>
      <c r="JS468" s="6"/>
      <c r="JT468" s="23"/>
      <c r="JU468" s="13"/>
      <c r="JV468" s="6"/>
      <c r="JW468" s="6"/>
      <c r="JX468" s="6"/>
      <c r="JY468" s="6"/>
      <c r="JZ468" s="10"/>
      <c r="KA468" s="10"/>
      <c r="KB468" s="10"/>
      <c r="KC468" s="10"/>
      <c r="KD468" s="5"/>
      <c r="KE468" s="6"/>
    </row>
    <row r="469" spans="274:291" x14ac:dyDescent="0.3">
      <c r="JN469" s="1">
        <v>467</v>
      </c>
      <c r="JO469" s="5">
        <f>HLOOKUP(JM469,HC$2:JK469,2+JN468,0)-IF(KE469&gt;0,KE469,0)</f>
        <v>0</v>
      </c>
      <c r="JP469" s="5"/>
      <c r="JQ469" s="5"/>
      <c r="JR469" s="5"/>
      <c r="JS469" s="6"/>
      <c r="JT469" s="23"/>
      <c r="JU469" s="13"/>
      <c r="JV469" s="6"/>
      <c r="JW469" s="6"/>
      <c r="JX469" s="6"/>
      <c r="JY469" s="6"/>
      <c r="JZ469" s="10"/>
      <c r="KA469" s="10"/>
      <c r="KB469" s="10"/>
      <c r="KC469" s="10"/>
      <c r="KD469" s="5"/>
      <c r="KE469" s="6"/>
    </row>
    <row r="470" spans="274:291" x14ac:dyDescent="0.3">
      <c r="JN470" s="1">
        <v>468</v>
      </c>
      <c r="JO470" s="5">
        <f>HLOOKUP(JM470,HC$2:JK470,2+JN469,0)-IF(KE470&gt;0,KE470,0)</f>
        <v>0</v>
      </c>
      <c r="JP470" s="5"/>
      <c r="JQ470" s="5"/>
      <c r="JR470" s="5"/>
      <c r="JS470" s="6"/>
      <c r="JT470" s="23"/>
      <c r="JU470" s="13"/>
      <c r="JV470" s="6"/>
      <c r="JW470" s="6"/>
      <c r="JX470" s="6"/>
      <c r="JY470" s="6"/>
      <c r="JZ470" s="10"/>
      <c r="KA470" s="10"/>
      <c r="KB470" s="10"/>
      <c r="KC470" s="10"/>
      <c r="KD470" s="5"/>
      <c r="KE470" s="6"/>
    </row>
    <row r="471" spans="274:291" x14ac:dyDescent="0.3">
      <c r="JN471" s="1">
        <v>469</v>
      </c>
      <c r="JO471" s="5">
        <f>HLOOKUP(JM471,HC$2:JK471,2+JN470,0)-IF(KE471&gt;0,KE471,0)</f>
        <v>0</v>
      </c>
      <c r="JP471" s="5"/>
      <c r="JQ471" s="5"/>
      <c r="JR471" s="5"/>
      <c r="JS471" s="6"/>
      <c r="JT471" s="23"/>
      <c r="JU471" s="13"/>
      <c r="JV471" s="6"/>
      <c r="JW471" s="6"/>
      <c r="JX471" s="6"/>
      <c r="JY471" s="6"/>
      <c r="JZ471" s="10"/>
      <c r="KA471" s="10"/>
      <c r="KB471" s="10"/>
      <c r="KC471" s="10"/>
      <c r="KD471" s="5"/>
      <c r="KE471" s="6"/>
    </row>
    <row r="472" spans="274:291" x14ac:dyDescent="0.3">
      <c r="JN472" s="1">
        <v>470</v>
      </c>
      <c r="JO472" s="5">
        <f>HLOOKUP(JM472,HC$2:JK472,2+JN471,0)-IF(KE472&gt;0,KE472,0)</f>
        <v>0</v>
      </c>
      <c r="JP472" s="5"/>
      <c r="JQ472" s="5"/>
      <c r="JR472" s="5"/>
      <c r="JS472" s="6"/>
      <c r="JT472" s="23"/>
      <c r="JU472" s="13"/>
      <c r="JV472" s="6"/>
      <c r="JW472" s="6"/>
      <c r="JX472" s="6"/>
      <c r="JY472" s="6"/>
      <c r="JZ472" s="10"/>
      <c r="KA472" s="10"/>
      <c r="KB472" s="10"/>
      <c r="KC472" s="10"/>
      <c r="KD472" s="5"/>
      <c r="KE472" s="6"/>
    </row>
    <row r="473" spans="274:291" x14ac:dyDescent="0.3">
      <c r="JN473" s="1">
        <v>471</v>
      </c>
      <c r="JO473" s="5">
        <f>HLOOKUP(JM473,HC$2:JK473,2+JN472,0)-IF(KE473&gt;0,KE473,0)</f>
        <v>0</v>
      </c>
      <c r="JP473" s="5"/>
      <c r="JQ473" s="5"/>
      <c r="JR473" s="5"/>
      <c r="JS473" s="6"/>
      <c r="JT473" s="23"/>
      <c r="JU473" s="13"/>
      <c r="JV473" s="6"/>
      <c r="JW473" s="6"/>
      <c r="JX473" s="6"/>
      <c r="JY473" s="6"/>
      <c r="JZ473" s="10"/>
      <c r="KA473" s="10"/>
      <c r="KB473" s="10"/>
      <c r="KC473" s="10"/>
      <c r="KD473" s="5"/>
      <c r="KE473" s="6"/>
    </row>
    <row r="474" spans="274:291" x14ac:dyDescent="0.3">
      <c r="JN474" s="1">
        <v>472</v>
      </c>
      <c r="JO474" s="5">
        <f>HLOOKUP(JM474,HC$2:JK474,2+JN473,0)-IF(KE474&gt;0,KE474,0)</f>
        <v>0</v>
      </c>
      <c r="JP474" s="5"/>
      <c r="JQ474" s="5"/>
      <c r="JR474" s="5"/>
      <c r="JS474" s="6"/>
      <c r="JT474" s="23"/>
      <c r="JU474" s="13"/>
      <c r="JV474" s="6"/>
      <c r="JW474" s="6"/>
      <c r="JX474" s="6"/>
      <c r="JY474" s="6"/>
      <c r="JZ474" s="10"/>
      <c r="KA474" s="10"/>
      <c r="KB474" s="10"/>
      <c r="KC474" s="10"/>
      <c r="KD474" s="5"/>
      <c r="KE474" s="6"/>
    </row>
    <row r="475" spans="274:291" x14ac:dyDescent="0.3">
      <c r="JN475" s="1">
        <v>473</v>
      </c>
      <c r="JO475" s="5">
        <f>HLOOKUP(JM475,HC$2:JK475,2+JN474,0)-IF(KE475&gt;0,KE475,0)</f>
        <v>0</v>
      </c>
      <c r="JP475" s="5"/>
      <c r="JQ475" s="5"/>
      <c r="JR475" s="5"/>
      <c r="JS475" s="6"/>
      <c r="JT475" s="23"/>
      <c r="JU475" s="13"/>
      <c r="JV475" s="6"/>
      <c r="JW475" s="6"/>
      <c r="JX475" s="6"/>
      <c r="JY475" s="6"/>
      <c r="JZ475" s="10"/>
      <c r="KA475" s="10"/>
      <c r="KB475" s="10"/>
      <c r="KC475" s="10"/>
      <c r="KD475" s="5"/>
      <c r="KE475" s="6"/>
    </row>
    <row r="476" spans="274:291" x14ac:dyDescent="0.3">
      <c r="JN476" s="1">
        <v>474</v>
      </c>
      <c r="JO476" s="5">
        <f>HLOOKUP(JM476,HC$2:JK476,2+JN475,0)-IF(KE476&gt;0,KE476,0)</f>
        <v>0</v>
      </c>
      <c r="JP476" s="5"/>
      <c r="JQ476" s="5"/>
      <c r="JR476" s="5"/>
      <c r="JS476" s="6"/>
      <c r="JT476" s="23"/>
      <c r="JU476" s="13"/>
      <c r="JV476" s="6"/>
      <c r="JW476" s="6"/>
      <c r="JX476" s="6"/>
      <c r="JY476" s="6"/>
      <c r="JZ476" s="10"/>
      <c r="KA476" s="10"/>
      <c r="KB476" s="10"/>
      <c r="KC476" s="10"/>
      <c r="KD476" s="5"/>
      <c r="KE476" s="6"/>
    </row>
    <row r="477" spans="274:291" x14ac:dyDescent="0.3">
      <c r="JN477" s="1">
        <v>475</v>
      </c>
      <c r="JO477" s="5">
        <f>HLOOKUP(JM477,HC$2:JK477,2+JN476,0)-IF(KE477&gt;0,KE477,0)</f>
        <v>0</v>
      </c>
      <c r="JP477" s="5"/>
      <c r="JQ477" s="5"/>
      <c r="JR477" s="5"/>
      <c r="JS477" s="6"/>
      <c r="JT477" s="23"/>
      <c r="JU477" s="13"/>
      <c r="JV477" s="6"/>
      <c r="JW477" s="6"/>
      <c r="JX477" s="6"/>
      <c r="JY477" s="6"/>
      <c r="JZ477" s="10"/>
      <c r="KA477" s="10"/>
      <c r="KB477" s="10"/>
      <c r="KC477" s="10"/>
      <c r="KD477" s="5"/>
      <c r="KE477" s="6"/>
    </row>
    <row r="478" spans="274:291" x14ac:dyDescent="0.3">
      <c r="JN478" s="1">
        <v>476</v>
      </c>
      <c r="JO478" s="5">
        <f>HLOOKUP(JM478,HC$2:JK478,2+JN477,0)-IF(KE478&gt;0,KE478,0)</f>
        <v>0</v>
      </c>
      <c r="JP478" s="5"/>
      <c r="JQ478" s="5"/>
      <c r="JR478" s="5"/>
      <c r="JS478" s="6"/>
      <c r="JT478" s="23"/>
      <c r="JU478" s="13"/>
      <c r="JV478" s="6"/>
      <c r="JW478" s="6"/>
      <c r="JX478" s="6"/>
      <c r="JY478" s="6"/>
      <c r="JZ478" s="10"/>
      <c r="KA478" s="10"/>
      <c r="KB478" s="10"/>
      <c r="KC478" s="10"/>
      <c r="KD478" s="5"/>
      <c r="KE478" s="6"/>
    </row>
    <row r="479" spans="274:291" x14ac:dyDescent="0.3">
      <c r="JN479" s="1">
        <v>477</v>
      </c>
      <c r="JO479" s="5">
        <f>HLOOKUP(JM479,HC$2:JK479,2+JN478,0)-IF(KE479&gt;0,KE479,0)</f>
        <v>0</v>
      </c>
      <c r="JP479" s="5"/>
      <c r="JQ479" s="5"/>
      <c r="JR479" s="5"/>
      <c r="JS479" s="6"/>
      <c r="JT479" s="23"/>
      <c r="JU479" s="13"/>
      <c r="JV479" s="6"/>
      <c r="JW479" s="6"/>
      <c r="JX479" s="6"/>
      <c r="JY479" s="6"/>
      <c r="JZ479" s="10"/>
      <c r="KA479" s="10"/>
      <c r="KB479" s="10"/>
      <c r="KC479" s="10"/>
      <c r="KD479" s="5"/>
      <c r="KE479" s="6"/>
    </row>
    <row r="480" spans="274:291" x14ac:dyDescent="0.3">
      <c r="JN480" s="1">
        <v>478</v>
      </c>
      <c r="JO480" s="5">
        <f>HLOOKUP(JM480,HC$2:JK480,2+JN479,0)-IF(KE480&gt;0,KE480,0)</f>
        <v>0</v>
      </c>
      <c r="JP480" s="5"/>
      <c r="JQ480" s="5"/>
      <c r="JR480" s="5"/>
      <c r="JS480" s="6"/>
      <c r="JT480" s="23"/>
      <c r="JU480" s="13"/>
      <c r="JV480" s="6"/>
      <c r="JW480" s="6"/>
      <c r="JX480" s="6"/>
      <c r="JY480" s="6"/>
      <c r="JZ480" s="10"/>
      <c r="KA480" s="10"/>
      <c r="KB480" s="10"/>
      <c r="KC480" s="10"/>
      <c r="KD480" s="5"/>
      <c r="KE480" s="6"/>
    </row>
    <row r="481" spans="274:291" x14ac:dyDescent="0.3">
      <c r="JN481" s="1">
        <v>479</v>
      </c>
      <c r="JO481" s="5">
        <f>HLOOKUP(JM481,HC$2:JK481,2+JN480,0)-IF(KE481&gt;0,KE481,0)</f>
        <v>0</v>
      </c>
      <c r="JP481" s="5"/>
      <c r="JQ481" s="5"/>
      <c r="JR481" s="5"/>
      <c r="JS481" s="6"/>
      <c r="JT481" s="23"/>
      <c r="JU481" s="13"/>
      <c r="JV481" s="6"/>
      <c r="JW481" s="6"/>
      <c r="JX481" s="6"/>
      <c r="JY481" s="6"/>
      <c r="JZ481" s="10"/>
      <c r="KA481" s="10"/>
      <c r="KB481" s="10"/>
      <c r="KC481" s="10"/>
      <c r="KD481" s="5"/>
      <c r="KE481" s="6"/>
    </row>
    <row r="482" spans="274:291" x14ac:dyDescent="0.3">
      <c r="JN482" s="1">
        <v>480</v>
      </c>
      <c r="JO482" s="5">
        <f>HLOOKUP(JM482,HC$2:JK482,2+JN481,0)-IF(KE482&gt;0,KE482,0)</f>
        <v>0</v>
      </c>
      <c r="JP482" s="5"/>
      <c r="JQ482" s="5"/>
      <c r="JR482" s="5"/>
      <c r="JS482" s="6"/>
      <c r="JT482" s="23"/>
      <c r="JU482" s="13"/>
      <c r="JV482" s="6"/>
      <c r="JW482" s="6"/>
      <c r="JX482" s="6"/>
      <c r="JY482" s="6"/>
      <c r="JZ482" s="10"/>
      <c r="KA482" s="10"/>
      <c r="KB482" s="10"/>
      <c r="KC482" s="10"/>
      <c r="KD482" s="5"/>
      <c r="KE482" s="6"/>
    </row>
    <row r="483" spans="274:291" x14ac:dyDescent="0.3">
      <c r="JN483" s="1">
        <v>481</v>
      </c>
      <c r="JO483" s="5">
        <f>HLOOKUP(JM483,HC$2:JK483,2+JN482,0)-IF(KE483&gt;0,KE483,0)</f>
        <v>0</v>
      </c>
      <c r="JP483" s="5"/>
      <c r="JQ483" s="5"/>
      <c r="JR483" s="5"/>
      <c r="JS483" s="6"/>
      <c r="JT483" s="23"/>
      <c r="JU483" s="13"/>
      <c r="JV483" s="6"/>
      <c r="JW483" s="6"/>
      <c r="JX483" s="6"/>
      <c r="JY483" s="6"/>
      <c r="JZ483" s="10"/>
      <c r="KA483" s="10"/>
      <c r="KB483" s="10"/>
      <c r="KC483" s="10"/>
      <c r="KD483" s="5"/>
      <c r="KE483" s="6"/>
    </row>
    <row r="484" spans="274:291" x14ac:dyDescent="0.3">
      <c r="JN484" s="1">
        <v>482</v>
      </c>
      <c r="JO484" s="5">
        <f>HLOOKUP(JM484,HC$2:JK484,2+JN483,0)-IF(KE484&gt;0,KE484,0)</f>
        <v>0</v>
      </c>
      <c r="JP484" s="5"/>
      <c r="JQ484" s="5"/>
      <c r="JR484" s="5"/>
      <c r="JS484" s="6"/>
      <c r="JT484" s="23"/>
      <c r="JU484" s="13"/>
      <c r="JV484" s="6"/>
      <c r="JW484" s="6"/>
      <c r="JX484" s="6"/>
      <c r="JY484" s="6"/>
      <c r="JZ484" s="10"/>
      <c r="KA484" s="10"/>
      <c r="KB484" s="10"/>
      <c r="KC484" s="10"/>
      <c r="KD484" s="5"/>
      <c r="KE484" s="6"/>
    </row>
    <row r="485" spans="274:291" x14ac:dyDescent="0.3">
      <c r="JN485" s="1">
        <v>483</v>
      </c>
      <c r="JO485" s="5">
        <f>HLOOKUP(JM485,HC$2:JK485,2+JN484,0)-IF(KE485&gt;0,KE485,0)</f>
        <v>0</v>
      </c>
      <c r="JP485" s="5"/>
      <c r="JQ485" s="5"/>
      <c r="JR485" s="5"/>
      <c r="JS485" s="6"/>
      <c r="JT485" s="23"/>
      <c r="JU485" s="13"/>
      <c r="JV485" s="6"/>
      <c r="JW485" s="6"/>
      <c r="JX485" s="6"/>
      <c r="JY485" s="6"/>
      <c r="JZ485" s="10"/>
      <c r="KA485" s="10"/>
      <c r="KB485" s="10"/>
      <c r="KC485" s="10"/>
      <c r="KD485" s="5"/>
      <c r="KE485" s="6"/>
    </row>
    <row r="486" spans="274:291" x14ac:dyDescent="0.3">
      <c r="JN486" s="1">
        <v>484</v>
      </c>
      <c r="JO486" s="5">
        <f>HLOOKUP(JM486,HC$2:JK486,2+JN485,0)-IF(KE486&gt;0,KE486,0)</f>
        <v>0</v>
      </c>
      <c r="JP486" s="5"/>
      <c r="JQ486" s="5"/>
      <c r="JR486" s="5"/>
      <c r="JS486" s="6"/>
      <c r="JT486" s="23"/>
      <c r="JU486" s="13"/>
      <c r="JV486" s="6"/>
      <c r="JW486" s="6"/>
      <c r="JX486" s="6"/>
      <c r="JY486" s="6"/>
      <c r="JZ486" s="10"/>
      <c r="KA486" s="10"/>
      <c r="KB486" s="10"/>
      <c r="KC486" s="10"/>
      <c r="KD486" s="5"/>
      <c r="KE486" s="6"/>
    </row>
    <row r="487" spans="274:291" x14ac:dyDescent="0.3">
      <c r="JN487" s="1">
        <v>485</v>
      </c>
      <c r="JO487" s="5">
        <f>HLOOKUP(JM487,HC$2:JK487,2+JN486,0)-IF(KE487&gt;0,KE487,0)</f>
        <v>0</v>
      </c>
      <c r="JP487" s="5"/>
      <c r="JQ487" s="5"/>
      <c r="JR487" s="5"/>
      <c r="JS487" s="6"/>
      <c r="JT487" s="23"/>
      <c r="JU487" s="13"/>
      <c r="JV487" s="6"/>
      <c r="JW487" s="6"/>
      <c r="JX487" s="6"/>
      <c r="JY487" s="6"/>
      <c r="JZ487" s="10"/>
      <c r="KA487" s="10"/>
      <c r="KB487" s="10"/>
      <c r="KC487" s="10"/>
      <c r="KD487" s="5"/>
      <c r="KE487" s="6"/>
    </row>
    <row r="488" spans="274:291" x14ac:dyDescent="0.3">
      <c r="JN488" s="1">
        <v>486</v>
      </c>
      <c r="JO488" s="5">
        <f>HLOOKUP(JM488,HC$2:JK488,2+JN487,0)-IF(KE488&gt;0,KE488,0)</f>
        <v>0</v>
      </c>
      <c r="JP488" s="5"/>
      <c r="JQ488" s="5"/>
      <c r="JR488" s="5"/>
      <c r="JS488" s="6"/>
      <c r="JT488" s="23"/>
      <c r="JU488" s="13"/>
      <c r="JV488" s="6"/>
      <c r="JW488" s="6"/>
      <c r="JX488" s="6"/>
      <c r="JY488" s="6"/>
      <c r="JZ488" s="10"/>
      <c r="KA488" s="10"/>
      <c r="KB488" s="10"/>
      <c r="KC488" s="10"/>
      <c r="KD488" s="5"/>
      <c r="KE488" s="6"/>
    </row>
    <row r="489" spans="274:291" x14ac:dyDescent="0.3">
      <c r="JN489" s="1">
        <v>487</v>
      </c>
      <c r="JO489" s="5">
        <f>HLOOKUP(JM489,HC$2:JK489,2+JN488,0)-IF(KE489&gt;0,KE489,0)</f>
        <v>0</v>
      </c>
      <c r="JP489" s="5"/>
      <c r="JQ489" s="5"/>
      <c r="JR489" s="5"/>
      <c r="JS489" s="6"/>
      <c r="JT489" s="23"/>
      <c r="JU489" s="13"/>
      <c r="JV489" s="6"/>
      <c r="JW489" s="6"/>
      <c r="JX489" s="6"/>
      <c r="JY489" s="6"/>
      <c r="JZ489" s="10"/>
      <c r="KA489" s="10"/>
      <c r="KB489" s="10"/>
      <c r="KC489" s="10"/>
      <c r="KD489" s="5"/>
      <c r="KE489" s="6"/>
    </row>
    <row r="490" spans="274:291" x14ac:dyDescent="0.3">
      <c r="JN490" s="1">
        <v>488</v>
      </c>
      <c r="JO490" s="5">
        <f>HLOOKUP(JM490,HC$2:JK490,2+JN489,0)-IF(KE490&gt;0,KE490,0)</f>
        <v>0</v>
      </c>
      <c r="JP490" s="5"/>
      <c r="JQ490" s="5"/>
      <c r="JR490" s="5"/>
      <c r="JS490" s="6"/>
      <c r="JT490" s="23"/>
      <c r="JU490" s="13"/>
      <c r="JV490" s="6"/>
      <c r="JW490" s="6"/>
      <c r="JX490" s="6"/>
      <c r="JY490" s="6"/>
      <c r="JZ490" s="10"/>
      <c r="KA490" s="10"/>
      <c r="KB490" s="10"/>
      <c r="KC490" s="10"/>
      <c r="KD490" s="5"/>
      <c r="KE490" s="6"/>
    </row>
    <row r="491" spans="274:291" x14ac:dyDescent="0.3">
      <c r="JN491" s="1">
        <v>489</v>
      </c>
      <c r="JO491" s="5">
        <f>HLOOKUP(JM491,HC$2:JK491,2+JN490,0)-IF(KE491&gt;0,KE491,0)</f>
        <v>0</v>
      </c>
      <c r="JP491" s="5"/>
      <c r="JQ491" s="5"/>
      <c r="JR491" s="5"/>
      <c r="JS491" s="6"/>
      <c r="JT491" s="23"/>
      <c r="JU491" s="13"/>
      <c r="JV491" s="6"/>
      <c r="JW491" s="6"/>
      <c r="JX491" s="6"/>
      <c r="JY491" s="6"/>
      <c r="JZ491" s="10"/>
      <c r="KA491" s="10"/>
      <c r="KB491" s="10"/>
      <c r="KC491" s="10"/>
      <c r="KD491" s="5"/>
      <c r="KE491" s="6"/>
    </row>
    <row r="492" spans="274:291" x14ac:dyDescent="0.3">
      <c r="JN492" s="1">
        <v>490</v>
      </c>
      <c r="JO492" s="5">
        <f>HLOOKUP(JM492,HC$2:JK492,2+JN491,0)-IF(KE492&gt;0,KE492,0)</f>
        <v>0</v>
      </c>
      <c r="JP492" s="5"/>
      <c r="JQ492" s="5"/>
      <c r="JR492" s="5"/>
      <c r="JS492" s="6"/>
      <c r="JT492" s="23"/>
      <c r="JU492" s="13"/>
      <c r="JV492" s="6"/>
      <c r="JW492" s="6"/>
      <c r="JX492" s="6"/>
      <c r="JY492" s="6"/>
      <c r="JZ492" s="10"/>
      <c r="KA492" s="10"/>
      <c r="KB492" s="10"/>
      <c r="KC492" s="10"/>
      <c r="KD492" s="5"/>
      <c r="KE492" s="6"/>
    </row>
    <row r="493" spans="274:291" x14ac:dyDescent="0.3">
      <c r="JN493" s="1">
        <v>491</v>
      </c>
      <c r="JO493" s="5">
        <f>HLOOKUP(JM493,HC$2:JK493,2+JN492,0)-IF(KE493&gt;0,KE493,0)</f>
        <v>0</v>
      </c>
      <c r="JP493" s="5"/>
      <c r="JQ493" s="5"/>
      <c r="JR493" s="5"/>
      <c r="JS493" s="6"/>
      <c r="JT493" s="23"/>
      <c r="JU493" s="13"/>
      <c r="JV493" s="6"/>
      <c r="JW493" s="6"/>
      <c r="JX493" s="6"/>
      <c r="JY493" s="6"/>
      <c r="JZ493" s="10"/>
      <c r="KA493" s="10"/>
      <c r="KB493" s="10"/>
      <c r="KC493" s="10"/>
      <c r="KD493" s="5"/>
      <c r="KE493" s="6"/>
    </row>
    <row r="494" spans="274:291" x14ac:dyDescent="0.3">
      <c r="JN494" s="1">
        <v>492</v>
      </c>
      <c r="JO494" s="5">
        <f>HLOOKUP(JM494,HC$2:JK494,2+JN493,0)-IF(KE494&gt;0,KE494,0)</f>
        <v>0</v>
      </c>
      <c r="JP494" s="5"/>
      <c r="JQ494" s="5"/>
      <c r="JR494" s="5"/>
      <c r="JS494" s="6"/>
      <c r="JT494" s="23"/>
      <c r="JU494" s="13"/>
      <c r="JV494" s="6"/>
      <c r="JW494" s="6"/>
      <c r="JX494" s="6"/>
      <c r="JY494" s="6"/>
      <c r="JZ494" s="10"/>
      <c r="KA494" s="10"/>
      <c r="KB494" s="10"/>
      <c r="KC494" s="10"/>
      <c r="KD494" s="5"/>
      <c r="KE494" s="6"/>
    </row>
    <row r="495" spans="274:291" x14ac:dyDescent="0.3">
      <c r="JN495" s="1">
        <v>493</v>
      </c>
      <c r="JO495" s="5">
        <f>HLOOKUP(JM495,HC$2:JK495,2+JN494,0)-IF(KE495&gt;0,KE495,0)</f>
        <v>0</v>
      </c>
      <c r="JP495" s="5"/>
      <c r="JQ495" s="5"/>
      <c r="JR495" s="5"/>
      <c r="JS495" s="6"/>
      <c r="JT495" s="23"/>
      <c r="JU495" s="13"/>
      <c r="JV495" s="6"/>
      <c r="JW495" s="6"/>
      <c r="JX495" s="6"/>
      <c r="JY495" s="6"/>
      <c r="JZ495" s="10"/>
      <c r="KA495" s="10"/>
      <c r="KB495" s="10"/>
      <c r="KC495" s="10"/>
      <c r="KD495" s="5"/>
      <c r="KE495" s="6"/>
    </row>
    <row r="496" spans="274:291" x14ac:dyDescent="0.3">
      <c r="JN496" s="1">
        <v>494</v>
      </c>
      <c r="JO496" s="5">
        <f>HLOOKUP(JM496,HC$2:JK496,2+JN495,0)-IF(KE496&gt;0,KE496,0)</f>
        <v>0</v>
      </c>
      <c r="JP496" s="5"/>
      <c r="JQ496" s="5"/>
      <c r="JR496" s="5"/>
      <c r="JS496" s="6"/>
      <c r="JT496" s="23"/>
      <c r="JU496" s="13"/>
      <c r="JV496" s="6"/>
      <c r="JW496" s="6"/>
      <c r="JX496" s="6"/>
      <c r="JY496" s="6"/>
      <c r="JZ496" s="10"/>
      <c r="KA496" s="10"/>
      <c r="KB496" s="10"/>
      <c r="KC496" s="10"/>
      <c r="KD496" s="5"/>
      <c r="KE496" s="6"/>
    </row>
    <row r="497" spans="274:291" x14ac:dyDescent="0.3">
      <c r="JN497" s="1">
        <v>495</v>
      </c>
      <c r="JO497" s="5">
        <f>HLOOKUP(JM497,HC$2:JK497,2+JN496,0)-IF(KE497&gt;0,KE497,0)</f>
        <v>0</v>
      </c>
      <c r="JP497" s="5"/>
      <c r="JQ497" s="5"/>
      <c r="JR497" s="5"/>
      <c r="JS497" s="6"/>
      <c r="JT497" s="23"/>
      <c r="JU497" s="13"/>
      <c r="JV497" s="6"/>
      <c r="JW497" s="6"/>
      <c r="JX497" s="6"/>
      <c r="JY497" s="6"/>
      <c r="JZ497" s="10"/>
      <c r="KA497" s="10"/>
      <c r="KB497" s="10"/>
      <c r="KC497" s="10"/>
      <c r="KD497" s="5"/>
      <c r="KE497" s="6"/>
    </row>
    <row r="498" spans="274:291" x14ac:dyDescent="0.3">
      <c r="JN498" s="1">
        <v>496</v>
      </c>
      <c r="JO498" s="5">
        <f>HLOOKUP(JM498,HC$2:JK498,2+JN497,0)-IF(KE498&gt;0,KE498,0)</f>
        <v>0</v>
      </c>
      <c r="JP498" s="5"/>
      <c r="JQ498" s="5"/>
      <c r="JR498" s="5"/>
      <c r="JS498" s="6"/>
      <c r="JT498" s="23"/>
      <c r="JU498" s="13"/>
      <c r="JV498" s="6"/>
      <c r="JW498" s="6"/>
      <c r="JX498" s="6"/>
      <c r="JY498" s="6"/>
      <c r="JZ498" s="10"/>
      <c r="KA498" s="10"/>
      <c r="KB498" s="10"/>
      <c r="KC498" s="10"/>
      <c r="KD498" s="5"/>
      <c r="KE498" s="6"/>
    </row>
    <row r="499" spans="274:291" x14ac:dyDescent="0.3">
      <c r="JN499" s="1">
        <v>497</v>
      </c>
      <c r="JO499" s="5">
        <f>HLOOKUP(JM499,HC$2:JK499,2+JN498,0)-IF(KE499&gt;0,KE499,0)</f>
        <v>0</v>
      </c>
      <c r="JP499" s="5"/>
      <c r="JQ499" s="5"/>
      <c r="JR499" s="5"/>
      <c r="JS499" s="6"/>
      <c r="JT499" s="23"/>
      <c r="JU499" s="13"/>
      <c r="JV499" s="6"/>
      <c r="JW499" s="6"/>
      <c r="JX499" s="6"/>
      <c r="JY499" s="6"/>
      <c r="JZ499" s="10"/>
      <c r="KA499" s="10"/>
      <c r="KB499" s="10"/>
      <c r="KC499" s="10"/>
      <c r="KD499" s="5"/>
      <c r="KE499" s="6"/>
    </row>
    <row r="500" spans="274:291" x14ac:dyDescent="0.3">
      <c r="JN500" s="1">
        <v>498</v>
      </c>
      <c r="JO500" s="5">
        <f>HLOOKUP(JM500,HC$2:JK500,2+JN499,0)-IF(KE500&gt;0,KE500,0)</f>
        <v>0</v>
      </c>
      <c r="JP500" s="5"/>
      <c r="JQ500" s="5"/>
      <c r="JR500" s="5"/>
      <c r="JS500" s="6"/>
      <c r="JT500" s="23"/>
      <c r="JU500" s="13"/>
      <c r="JV500" s="6"/>
      <c r="JW500" s="6"/>
      <c r="JX500" s="6"/>
      <c r="JY500" s="6"/>
      <c r="JZ500" s="10"/>
      <c r="KA500" s="10"/>
      <c r="KB500" s="10"/>
      <c r="KC500" s="10"/>
      <c r="KD500" s="5"/>
      <c r="KE500" s="6"/>
    </row>
    <row r="501" spans="274:291" x14ac:dyDescent="0.3">
      <c r="JN501" s="1">
        <v>499</v>
      </c>
      <c r="JO501" s="5">
        <f>HLOOKUP(JM501,HC$2:JK501,2+JN500,0)-IF(KE501&gt;0,KE501,0)</f>
        <v>0</v>
      </c>
      <c r="JP501" s="5"/>
      <c r="JQ501" s="5"/>
      <c r="JR501" s="5"/>
      <c r="JS501" s="6"/>
      <c r="JT501" s="23"/>
      <c r="JU501" s="13"/>
      <c r="JV501" s="6"/>
      <c r="JW501" s="6"/>
      <c r="JX501" s="6"/>
      <c r="JY501" s="6"/>
      <c r="JZ501" s="10"/>
      <c r="KA501" s="10"/>
      <c r="KB501" s="10"/>
      <c r="KC501" s="10"/>
      <c r="KD501" s="5"/>
      <c r="KE501" s="6"/>
    </row>
    <row r="502" spans="274:291" x14ac:dyDescent="0.3">
      <c r="JN502" s="1">
        <v>500</v>
      </c>
      <c r="JO502" s="5">
        <f>HLOOKUP(JM502,HC$2:JK502,2+JN501,0)-IF(KE502&gt;0,KE502,0)</f>
        <v>0</v>
      </c>
      <c r="JP502" s="5"/>
      <c r="JQ502" s="5"/>
      <c r="JR502" s="5"/>
      <c r="JS502" s="6"/>
      <c r="JT502" s="23"/>
      <c r="JU502" s="13"/>
      <c r="JV502" s="6"/>
      <c r="JW502" s="6"/>
      <c r="JX502" s="6"/>
      <c r="JY502" s="6"/>
      <c r="JZ502" s="10"/>
      <c r="KA502" s="10"/>
      <c r="KB502" s="10"/>
      <c r="KC502" s="10"/>
      <c r="KD502" s="5"/>
      <c r="KE502" s="6"/>
    </row>
    <row r="503" spans="274:291" x14ac:dyDescent="0.3">
      <c r="JN503" s="1">
        <v>501</v>
      </c>
      <c r="JO503" s="5">
        <f>HLOOKUP(JM503,HC$2:JK503,2+JN502,0)-IF(KE503&gt;0,KE503,0)</f>
        <v>0</v>
      </c>
      <c r="JP503" s="5"/>
      <c r="JQ503" s="5"/>
      <c r="JR503" s="5"/>
      <c r="JS503" s="6"/>
      <c r="JT503" s="23"/>
      <c r="JU503" s="13"/>
      <c r="JV503" s="6"/>
      <c r="JW503" s="6"/>
      <c r="JX503" s="6"/>
      <c r="JY503" s="6"/>
      <c r="JZ503" s="10"/>
      <c r="KA503" s="10"/>
      <c r="KB503" s="10"/>
      <c r="KC503" s="10"/>
      <c r="KD503" s="5"/>
      <c r="KE503" s="6"/>
    </row>
    <row r="504" spans="274:291" x14ac:dyDescent="0.3">
      <c r="JN504" s="1">
        <v>502</v>
      </c>
      <c r="JO504" s="5">
        <f>HLOOKUP(JM504,HC$2:JK504,2+JN503,0)-IF(KE504&gt;0,KE504,0)</f>
        <v>0</v>
      </c>
      <c r="JP504" s="5"/>
      <c r="JQ504" s="5"/>
      <c r="JR504" s="5"/>
      <c r="JS504" s="6"/>
      <c r="JT504" s="23"/>
      <c r="JU504" s="13"/>
      <c r="JV504" s="6"/>
      <c r="JW504" s="6"/>
      <c r="JX504" s="6"/>
      <c r="JY504" s="6"/>
      <c r="JZ504" s="10"/>
      <c r="KA504" s="10"/>
      <c r="KB504" s="10"/>
      <c r="KC504" s="10"/>
      <c r="KD504" s="5"/>
      <c r="KE504" s="6"/>
    </row>
    <row r="505" spans="274:291" x14ac:dyDescent="0.3">
      <c r="JN505" s="1">
        <v>503</v>
      </c>
      <c r="JO505" s="5">
        <f>HLOOKUP(JM505,HC$2:JK505,2+JN504,0)-IF(KE505&gt;0,KE505,0)</f>
        <v>0</v>
      </c>
      <c r="JP505" s="5"/>
      <c r="JQ505" s="5"/>
      <c r="JR505" s="5"/>
      <c r="JS505" s="6"/>
      <c r="JT505" s="23"/>
      <c r="JU505" s="13"/>
      <c r="JV505" s="6"/>
      <c r="JW505" s="6"/>
      <c r="JX505" s="6"/>
      <c r="JY505" s="6"/>
      <c r="JZ505" s="10"/>
      <c r="KA505" s="10"/>
      <c r="KB505" s="10"/>
      <c r="KC505" s="10"/>
      <c r="KD505" s="5"/>
      <c r="KE505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E501"/>
  <sheetViews>
    <sheetView workbookViewId="0">
      <pane xSplit="2" ySplit="2" topLeftCell="JT3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ColWidth="8.88671875" defaultRowHeight="14.4" outlineLevelCol="2" x14ac:dyDescent="0.3"/>
  <cols>
    <col min="1" max="1" width="11.6640625" style="1" bestFit="1" customWidth="1"/>
    <col min="2" max="2" width="8" style="1" bestFit="1" customWidth="1"/>
    <col min="3" max="3" width="15.44140625" style="1" customWidth="1"/>
    <col min="4" max="5" width="8.5546875" style="1" customWidth="1"/>
    <col min="6" max="6" width="19" style="1" customWidth="1"/>
    <col min="7" max="8" width="10.33203125" style="1" customWidth="1"/>
    <col min="9" max="9" width="7.109375" style="1" customWidth="1"/>
    <col min="10" max="11" width="10.109375" style="1" customWidth="1"/>
    <col min="12" max="12" width="9.5546875" style="1" customWidth="1"/>
    <col min="13" max="13" width="11.109375" style="1" customWidth="1"/>
    <col min="14" max="14" width="8.109375" style="1" customWidth="1"/>
    <col min="15" max="15" width="10.33203125" style="1" customWidth="1"/>
    <col min="16" max="16" width="13.109375" style="1" customWidth="1"/>
    <col min="17" max="18" width="9.109375" style="1" customWidth="1"/>
    <col min="19" max="19" width="10.109375" style="1" customWidth="1"/>
    <col min="20" max="20" width="10.33203125" style="1" customWidth="1"/>
    <col min="21" max="21" width="10.109375" style="1" customWidth="1"/>
    <col min="22" max="22" width="9.6640625" style="1" customWidth="1"/>
    <col min="23" max="23" width="10.109375" style="1" customWidth="1"/>
    <col min="24" max="24" width="8.109375" style="1" bestFit="1" customWidth="1"/>
    <col min="25" max="25" width="9.5546875" style="1" hidden="1" customWidth="1" outlineLevel="2"/>
    <col min="26" max="36" width="10.109375" style="1" hidden="1" customWidth="1" outlineLevel="2"/>
    <col min="37" max="85" width="5.21875" style="1" hidden="1" customWidth="1" outlineLevel="2"/>
    <col min="86" max="86" width="7.5546875" style="1" hidden="1" customWidth="1" outlineLevel="2"/>
    <col min="87" max="88" width="7.88671875" style="5" hidden="1" customWidth="1" outlineLevel="2"/>
    <col min="89" max="89" width="8.88671875" style="1" hidden="1" customWidth="1" outlineLevel="1" collapsed="1"/>
    <col min="90" max="97" width="8.88671875" style="1" hidden="1" customWidth="1" outlineLevel="1"/>
    <col min="98" max="98" width="12" style="1" hidden="1" customWidth="1" outlineLevel="1"/>
    <col min="99" max="148" width="8.88671875" style="1" hidden="1" customWidth="1" outlineLevel="1"/>
    <col min="149" max="149" width="8.88671875" style="1" customWidth="1" collapsed="1"/>
    <col min="150" max="158" width="9.88671875" style="1" hidden="1" customWidth="1" outlineLevel="1"/>
    <col min="159" max="208" width="8.88671875" style="1" hidden="1" customWidth="1" outlineLevel="1"/>
    <col min="209" max="209" width="9.88671875" style="1" hidden="1" customWidth="1" outlineLevel="1"/>
    <col min="210" max="210" width="8.88671875" style="1" customWidth="1" collapsed="1"/>
    <col min="211" max="211" width="8.88671875" style="1" customWidth="1"/>
    <col min="212" max="271" width="14.109375" style="1" hidden="1" customWidth="1" outlineLevel="1"/>
    <col min="272" max="272" width="8.88671875" style="1" customWidth="1" collapsed="1"/>
    <col min="273" max="273" width="39.44140625" style="1" customWidth="1"/>
    <col min="274" max="274" width="12.21875" style="1" customWidth="1"/>
    <col min="275" max="275" width="27.77734375" style="1" customWidth="1"/>
    <col min="276" max="276" width="12" style="1" customWidth="1"/>
    <col min="277" max="277" width="19.5546875" style="1" bestFit="1" customWidth="1"/>
    <col min="278" max="278" width="12" style="1" customWidth="1"/>
    <col min="279" max="279" width="13.77734375" style="1" customWidth="1"/>
    <col min="280" max="280" width="16.109375" style="1" customWidth="1"/>
    <col min="281" max="281" width="17" style="1" customWidth="1"/>
    <col min="282" max="283" width="18.6640625" style="1" customWidth="1"/>
    <col min="284" max="285" width="17.44140625" style="1" customWidth="1"/>
    <col min="286" max="286" width="18.109375" style="1" customWidth="1"/>
    <col min="287" max="287" width="13.44140625" style="1" customWidth="1"/>
    <col min="288" max="289" width="11.21875" style="1" customWidth="1"/>
    <col min="290" max="290" width="13.88671875" style="1" customWidth="1"/>
    <col min="291" max="291" width="8.88671875" style="1" customWidth="1"/>
    <col min="292" max="16384" width="8.88671875" style="1"/>
  </cols>
  <sheetData>
    <row r="1" spans="1:291" x14ac:dyDescent="0.3">
      <c r="P1" s="14"/>
      <c r="Y1" s="11" t="s">
        <v>21</v>
      </c>
      <c r="Z1" s="11" t="s">
        <v>21</v>
      </c>
      <c r="AA1" s="11" t="s">
        <v>21</v>
      </c>
      <c r="AB1" s="11" t="s">
        <v>21</v>
      </c>
      <c r="AC1" s="11" t="s">
        <v>21</v>
      </c>
      <c r="AD1" s="11" t="s">
        <v>21</v>
      </c>
      <c r="AE1" s="11" t="s">
        <v>21</v>
      </c>
      <c r="AF1" s="11" t="s">
        <v>21</v>
      </c>
      <c r="AG1" s="11" t="s">
        <v>21</v>
      </c>
      <c r="AH1" s="11" t="s">
        <v>21</v>
      </c>
      <c r="AI1" s="11" t="s">
        <v>21</v>
      </c>
      <c r="AJ1" s="11" t="s">
        <v>21</v>
      </c>
      <c r="AK1" s="11" t="s">
        <v>21</v>
      </c>
      <c r="AL1" s="11" t="s">
        <v>21</v>
      </c>
      <c r="AM1" s="11" t="s">
        <v>21</v>
      </c>
      <c r="AN1" s="11" t="s">
        <v>21</v>
      </c>
      <c r="AO1" s="11" t="s">
        <v>21</v>
      </c>
      <c r="AP1" s="11" t="s">
        <v>21</v>
      </c>
      <c r="AQ1" s="11" t="s">
        <v>21</v>
      </c>
      <c r="AR1" s="11" t="s">
        <v>21</v>
      </c>
      <c r="AS1" s="11" t="s">
        <v>21</v>
      </c>
      <c r="AT1" s="11" t="s">
        <v>21</v>
      </c>
      <c r="AU1" s="11" t="s">
        <v>21</v>
      </c>
      <c r="AV1" s="11" t="s">
        <v>21</v>
      </c>
      <c r="AW1" s="11" t="s">
        <v>21</v>
      </c>
      <c r="AX1" s="11" t="s">
        <v>21</v>
      </c>
      <c r="AY1" s="11" t="s">
        <v>21</v>
      </c>
      <c r="AZ1" s="11" t="s">
        <v>21</v>
      </c>
      <c r="BA1" s="11" t="s">
        <v>21</v>
      </c>
      <c r="BB1" s="11" t="s">
        <v>21</v>
      </c>
      <c r="BC1" s="11" t="s">
        <v>21</v>
      </c>
      <c r="BD1" s="11" t="s">
        <v>21</v>
      </c>
      <c r="BE1" s="11" t="s">
        <v>21</v>
      </c>
      <c r="BF1" s="11" t="s">
        <v>21</v>
      </c>
      <c r="BG1" s="11" t="s">
        <v>21</v>
      </c>
      <c r="BH1" s="11" t="s">
        <v>21</v>
      </c>
      <c r="BI1" s="11" t="s">
        <v>21</v>
      </c>
      <c r="BJ1" s="11" t="s">
        <v>21</v>
      </c>
      <c r="BK1" s="11" t="s">
        <v>21</v>
      </c>
      <c r="BL1" s="11" t="s">
        <v>21</v>
      </c>
      <c r="BM1" s="11" t="s">
        <v>21</v>
      </c>
      <c r="BN1" s="11" t="s">
        <v>21</v>
      </c>
      <c r="BO1" s="11" t="s">
        <v>21</v>
      </c>
      <c r="BP1" s="11" t="s">
        <v>21</v>
      </c>
      <c r="BQ1" s="11" t="s">
        <v>21</v>
      </c>
      <c r="BR1" s="11" t="s">
        <v>21</v>
      </c>
      <c r="BS1" s="11" t="s">
        <v>21</v>
      </c>
      <c r="BT1" s="11" t="s">
        <v>21</v>
      </c>
      <c r="BU1" s="11" t="s">
        <v>21</v>
      </c>
      <c r="BV1" s="11" t="s">
        <v>21</v>
      </c>
      <c r="BW1" s="11" t="s">
        <v>21</v>
      </c>
      <c r="BX1" s="11" t="s">
        <v>21</v>
      </c>
      <c r="BY1" s="11" t="s">
        <v>21</v>
      </c>
      <c r="BZ1" s="11" t="s">
        <v>21</v>
      </c>
      <c r="CA1" s="11" t="s">
        <v>21</v>
      </c>
      <c r="CB1" s="11" t="s">
        <v>21</v>
      </c>
      <c r="CC1" s="11" t="s">
        <v>21</v>
      </c>
      <c r="CD1" s="11" t="s">
        <v>21</v>
      </c>
      <c r="CE1" s="11" t="s">
        <v>21</v>
      </c>
      <c r="CF1" s="11" t="s">
        <v>21</v>
      </c>
      <c r="CG1" s="11" t="s">
        <v>21</v>
      </c>
      <c r="CI1" s="1"/>
      <c r="CJ1" s="1"/>
      <c r="CK1" s="11" t="s">
        <v>4</v>
      </c>
      <c r="CL1" s="11" t="s">
        <v>4</v>
      </c>
      <c r="CM1" s="11" t="s">
        <v>4</v>
      </c>
      <c r="CN1" s="11" t="s">
        <v>4</v>
      </c>
      <c r="CO1" s="11" t="s">
        <v>4</v>
      </c>
      <c r="CP1" s="11" t="s">
        <v>4</v>
      </c>
      <c r="CQ1" s="11" t="s">
        <v>4</v>
      </c>
      <c r="CR1" s="11" t="s">
        <v>4</v>
      </c>
      <c r="CS1" s="11" t="s">
        <v>4</v>
      </c>
      <c r="CT1" s="11" t="s">
        <v>4</v>
      </c>
      <c r="CU1" s="11" t="s">
        <v>4</v>
      </c>
      <c r="CV1" s="11" t="s">
        <v>4</v>
      </c>
      <c r="CW1" s="11" t="s">
        <v>4</v>
      </c>
      <c r="CX1" s="11" t="s">
        <v>4</v>
      </c>
      <c r="CY1" s="11" t="s">
        <v>4</v>
      </c>
      <c r="CZ1" s="11" t="s">
        <v>4</v>
      </c>
      <c r="DA1" s="11" t="s">
        <v>4</v>
      </c>
      <c r="DB1" s="11" t="s">
        <v>4</v>
      </c>
      <c r="DC1" s="11" t="s">
        <v>4</v>
      </c>
      <c r="DD1" s="11" t="s">
        <v>4</v>
      </c>
      <c r="DE1" s="11" t="s">
        <v>4</v>
      </c>
      <c r="DF1" s="11" t="s">
        <v>4</v>
      </c>
      <c r="DG1" s="11" t="s">
        <v>4</v>
      </c>
      <c r="DH1" s="11" t="s">
        <v>4</v>
      </c>
      <c r="DI1" s="11" t="s">
        <v>4</v>
      </c>
      <c r="DJ1" s="11" t="s">
        <v>4</v>
      </c>
      <c r="DK1" s="11" t="s">
        <v>4</v>
      </c>
      <c r="DL1" s="11" t="s">
        <v>4</v>
      </c>
      <c r="DM1" s="11" t="s">
        <v>4</v>
      </c>
      <c r="DN1" s="11" t="s">
        <v>4</v>
      </c>
      <c r="DO1" s="11" t="s">
        <v>4</v>
      </c>
      <c r="DP1" s="11" t="s">
        <v>4</v>
      </c>
      <c r="DQ1" s="11" t="s">
        <v>4</v>
      </c>
      <c r="DR1" s="11" t="s">
        <v>4</v>
      </c>
      <c r="DS1" s="11" t="s">
        <v>4</v>
      </c>
      <c r="DT1" s="11" t="s">
        <v>4</v>
      </c>
      <c r="DU1" s="11" t="s">
        <v>4</v>
      </c>
      <c r="DV1" s="11" t="s">
        <v>4</v>
      </c>
      <c r="DW1" s="11" t="s">
        <v>4</v>
      </c>
      <c r="DX1" s="11" t="s">
        <v>4</v>
      </c>
      <c r="DY1" s="11" t="s">
        <v>4</v>
      </c>
      <c r="DZ1" s="11" t="s">
        <v>4</v>
      </c>
      <c r="EA1" s="11" t="s">
        <v>4</v>
      </c>
      <c r="EB1" s="11" t="s">
        <v>4</v>
      </c>
      <c r="EC1" s="11" t="s">
        <v>4</v>
      </c>
      <c r="ED1" s="11" t="s">
        <v>4</v>
      </c>
      <c r="EE1" s="11" t="s">
        <v>4</v>
      </c>
      <c r="EF1" s="11" t="s">
        <v>4</v>
      </c>
      <c r="EG1" s="11" t="s">
        <v>4</v>
      </c>
      <c r="EH1" s="11" t="s">
        <v>4</v>
      </c>
      <c r="EI1" s="11" t="s">
        <v>4</v>
      </c>
      <c r="EJ1" s="11" t="s">
        <v>4</v>
      </c>
      <c r="EK1" s="11" t="s">
        <v>4</v>
      </c>
      <c r="EL1" s="11" t="s">
        <v>4</v>
      </c>
      <c r="EM1" s="11" t="s">
        <v>4</v>
      </c>
      <c r="EN1" s="11" t="s">
        <v>4</v>
      </c>
      <c r="EO1" s="11" t="s">
        <v>4</v>
      </c>
      <c r="EP1" s="11" t="s">
        <v>4</v>
      </c>
      <c r="EQ1" s="11" t="s">
        <v>4</v>
      </c>
      <c r="ER1" s="11" t="s">
        <v>4</v>
      </c>
      <c r="ET1" s="11" t="s">
        <v>24</v>
      </c>
      <c r="EU1" s="11" t="s">
        <v>24</v>
      </c>
      <c r="EV1" s="11" t="s">
        <v>24</v>
      </c>
      <c r="EW1" s="11" t="s">
        <v>24</v>
      </c>
      <c r="EX1" s="11" t="s">
        <v>24</v>
      </c>
      <c r="EY1" s="11" t="s">
        <v>24</v>
      </c>
      <c r="EZ1" s="11" t="s">
        <v>24</v>
      </c>
      <c r="FA1" s="11" t="s">
        <v>24</v>
      </c>
      <c r="FB1" s="11" t="s">
        <v>24</v>
      </c>
      <c r="FC1" s="11" t="s">
        <v>24</v>
      </c>
      <c r="FD1" s="11" t="s">
        <v>24</v>
      </c>
      <c r="FE1" s="11" t="s">
        <v>24</v>
      </c>
      <c r="FF1" s="11" t="s">
        <v>24</v>
      </c>
      <c r="FG1" s="11" t="s">
        <v>24</v>
      </c>
      <c r="FH1" s="11" t="s">
        <v>24</v>
      </c>
      <c r="FI1" s="11" t="s">
        <v>24</v>
      </c>
      <c r="FJ1" s="11" t="s">
        <v>24</v>
      </c>
      <c r="FK1" s="11" t="s">
        <v>24</v>
      </c>
      <c r="FL1" s="11" t="s">
        <v>24</v>
      </c>
      <c r="FM1" s="11" t="s">
        <v>24</v>
      </c>
      <c r="FN1" s="11" t="s">
        <v>24</v>
      </c>
      <c r="FO1" s="11" t="s">
        <v>24</v>
      </c>
      <c r="FP1" s="11" t="s">
        <v>24</v>
      </c>
      <c r="FQ1" s="11" t="s">
        <v>24</v>
      </c>
      <c r="FR1" s="11" t="s">
        <v>24</v>
      </c>
      <c r="FS1" s="11" t="s">
        <v>24</v>
      </c>
      <c r="FT1" s="11" t="s">
        <v>24</v>
      </c>
      <c r="FU1" s="11" t="s">
        <v>24</v>
      </c>
      <c r="FV1" s="11" t="s">
        <v>24</v>
      </c>
      <c r="FW1" s="11" t="s">
        <v>24</v>
      </c>
      <c r="FX1" s="11" t="s">
        <v>24</v>
      </c>
      <c r="FY1" s="11" t="s">
        <v>24</v>
      </c>
      <c r="FZ1" s="11" t="s">
        <v>24</v>
      </c>
      <c r="GA1" s="11" t="s">
        <v>24</v>
      </c>
      <c r="GB1" s="11" t="s">
        <v>24</v>
      </c>
      <c r="GC1" s="11" t="s">
        <v>24</v>
      </c>
      <c r="GD1" s="11" t="s">
        <v>24</v>
      </c>
      <c r="GE1" s="11" t="s">
        <v>24</v>
      </c>
      <c r="GF1" s="11" t="s">
        <v>24</v>
      </c>
      <c r="GG1" s="11" t="s">
        <v>24</v>
      </c>
      <c r="GH1" s="11" t="s">
        <v>24</v>
      </c>
      <c r="GI1" s="11" t="s">
        <v>24</v>
      </c>
      <c r="GJ1" s="11" t="s">
        <v>24</v>
      </c>
      <c r="GK1" s="11" t="s">
        <v>24</v>
      </c>
      <c r="GL1" s="11" t="s">
        <v>24</v>
      </c>
      <c r="GM1" s="11" t="s">
        <v>24</v>
      </c>
      <c r="GN1" s="11" t="s">
        <v>24</v>
      </c>
      <c r="GO1" s="11" t="s">
        <v>24</v>
      </c>
      <c r="GP1" s="11" t="s">
        <v>24</v>
      </c>
      <c r="GQ1" s="11" t="s">
        <v>24</v>
      </c>
      <c r="GR1" s="11" t="s">
        <v>24</v>
      </c>
      <c r="GS1" s="11" t="s">
        <v>24</v>
      </c>
      <c r="GT1" s="11" t="s">
        <v>24</v>
      </c>
      <c r="GU1" s="11" t="s">
        <v>24</v>
      </c>
      <c r="GV1" s="11" t="s">
        <v>24</v>
      </c>
      <c r="GW1" s="11" t="s">
        <v>24</v>
      </c>
      <c r="GX1" s="11" t="s">
        <v>24</v>
      </c>
      <c r="GY1" s="11" t="s">
        <v>24</v>
      </c>
      <c r="GZ1" s="11" t="s">
        <v>24</v>
      </c>
      <c r="HA1" s="11" t="s">
        <v>24</v>
      </c>
      <c r="HC1" s="11" t="s">
        <v>23</v>
      </c>
      <c r="HD1" s="11" t="s">
        <v>23</v>
      </c>
      <c r="HE1" s="11" t="s">
        <v>23</v>
      </c>
      <c r="HF1" s="11" t="s">
        <v>23</v>
      </c>
      <c r="HG1" s="11" t="s">
        <v>23</v>
      </c>
      <c r="HH1" s="11" t="s">
        <v>23</v>
      </c>
      <c r="HI1" s="11" t="s">
        <v>23</v>
      </c>
      <c r="HJ1" s="11" t="s">
        <v>23</v>
      </c>
      <c r="HK1" s="11" t="s">
        <v>23</v>
      </c>
      <c r="HL1" s="11" t="s">
        <v>23</v>
      </c>
      <c r="HM1" s="11" t="s">
        <v>23</v>
      </c>
      <c r="HN1" s="11" t="s">
        <v>23</v>
      </c>
      <c r="HO1" s="11" t="s">
        <v>23</v>
      </c>
      <c r="HP1" s="11" t="s">
        <v>23</v>
      </c>
      <c r="HQ1" s="11" t="s">
        <v>23</v>
      </c>
      <c r="HR1" s="11" t="s">
        <v>23</v>
      </c>
      <c r="HS1" s="11" t="s">
        <v>23</v>
      </c>
      <c r="HT1" s="11" t="s">
        <v>23</v>
      </c>
      <c r="HU1" s="11" t="s">
        <v>23</v>
      </c>
      <c r="HV1" s="11" t="s">
        <v>23</v>
      </c>
      <c r="HW1" s="11" t="s">
        <v>23</v>
      </c>
      <c r="HX1" s="11" t="s">
        <v>23</v>
      </c>
      <c r="HY1" s="11" t="s">
        <v>23</v>
      </c>
      <c r="HZ1" s="11" t="s">
        <v>23</v>
      </c>
      <c r="IA1" s="11" t="s">
        <v>23</v>
      </c>
      <c r="IB1" s="11" t="s">
        <v>23</v>
      </c>
      <c r="IC1" s="11" t="s">
        <v>23</v>
      </c>
      <c r="ID1" s="11" t="s">
        <v>23</v>
      </c>
      <c r="IE1" s="11" t="s">
        <v>23</v>
      </c>
      <c r="IF1" s="11" t="s">
        <v>23</v>
      </c>
      <c r="IG1" s="11" t="s">
        <v>23</v>
      </c>
      <c r="IH1" s="11" t="s">
        <v>23</v>
      </c>
      <c r="II1" s="11" t="s">
        <v>23</v>
      </c>
      <c r="IJ1" s="11" t="s">
        <v>23</v>
      </c>
      <c r="IK1" s="11" t="s">
        <v>23</v>
      </c>
      <c r="IL1" s="11" t="s">
        <v>23</v>
      </c>
      <c r="IM1" s="11" t="s">
        <v>23</v>
      </c>
      <c r="IN1" s="11" t="s">
        <v>23</v>
      </c>
      <c r="IO1" s="11" t="s">
        <v>23</v>
      </c>
      <c r="IP1" s="11" t="s">
        <v>23</v>
      </c>
      <c r="IQ1" s="11" t="s">
        <v>23</v>
      </c>
      <c r="IR1" s="11" t="s">
        <v>23</v>
      </c>
      <c r="IS1" s="11" t="s">
        <v>23</v>
      </c>
      <c r="IT1" s="11" t="s">
        <v>23</v>
      </c>
      <c r="IU1" s="11" t="s">
        <v>23</v>
      </c>
      <c r="IV1" s="11" t="s">
        <v>23</v>
      </c>
      <c r="IW1" s="11" t="s">
        <v>23</v>
      </c>
      <c r="IX1" s="11" t="s">
        <v>23</v>
      </c>
      <c r="IY1" s="11" t="s">
        <v>23</v>
      </c>
      <c r="IZ1" s="11" t="s">
        <v>23</v>
      </c>
      <c r="JA1" s="11" t="s">
        <v>23</v>
      </c>
      <c r="JB1" s="11" t="s">
        <v>23</v>
      </c>
      <c r="JC1" s="11" t="s">
        <v>23</v>
      </c>
      <c r="JD1" s="11" t="s">
        <v>23</v>
      </c>
      <c r="JE1" s="11" t="s">
        <v>23</v>
      </c>
      <c r="JF1" s="11" t="s">
        <v>23</v>
      </c>
      <c r="JG1" s="11" t="s">
        <v>23</v>
      </c>
      <c r="JH1" s="11" t="s">
        <v>23</v>
      </c>
      <c r="JI1" s="11" t="s">
        <v>23</v>
      </c>
      <c r="JJ1" s="11" t="s">
        <v>23</v>
      </c>
      <c r="JK1" s="11" t="s">
        <v>23</v>
      </c>
      <c r="JM1" s="14"/>
      <c r="JN1" s="14" t="s">
        <v>57</v>
      </c>
      <c r="JO1" s="14" t="s">
        <v>57</v>
      </c>
      <c r="JS1" s="24" t="s">
        <v>33</v>
      </c>
      <c r="JT1" s="14"/>
      <c r="JW1" s="24" t="s">
        <v>33</v>
      </c>
      <c r="JX1" s="24" t="s">
        <v>33</v>
      </c>
    </row>
    <row r="2" spans="1:291" ht="27.6" x14ac:dyDescent="0.3">
      <c r="A2" s="21" t="s">
        <v>56</v>
      </c>
      <c r="B2" s="20" t="s">
        <v>34</v>
      </c>
      <c r="C2" s="2" t="s">
        <v>36</v>
      </c>
      <c r="D2" s="2" t="s">
        <v>0</v>
      </c>
      <c r="E2" s="2" t="s">
        <v>46</v>
      </c>
      <c r="F2" s="2" t="s">
        <v>47</v>
      </c>
      <c r="G2" s="2" t="s">
        <v>1</v>
      </c>
      <c r="H2" s="2" t="s">
        <v>21</v>
      </c>
      <c r="I2" s="2" t="s">
        <v>22</v>
      </c>
      <c r="J2" s="2" t="s">
        <v>2</v>
      </c>
      <c r="K2" s="2" t="s">
        <v>3</v>
      </c>
      <c r="L2" s="2" t="s">
        <v>4</v>
      </c>
      <c r="M2" s="2" t="s">
        <v>5</v>
      </c>
      <c r="N2" s="2" t="s">
        <v>6</v>
      </c>
      <c r="O2" s="2" t="s">
        <v>7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16</v>
      </c>
      <c r="V2" s="2" t="s">
        <v>17</v>
      </c>
      <c r="W2" s="2" t="s">
        <v>18</v>
      </c>
      <c r="X2" s="2" t="s">
        <v>15</v>
      </c>
      <c r="Y2" s="2">
        <v>0</v>
      </c>
      <c r="Z2" s="2">
        <v>1</v>
      </c>
      <c r="AA2" s="2">
        <v>2</v>
      </c>
      <c r="AB2" s="2">
        <v>3</v>
      </c>
      <c r="AC2" s="2">
        <v>4</v>
      </c>
      <c r="AD2" s="2">
        <v>5</v>
      </c>
      <c r="AE2" s="2">
        <v>6</v>
      </c>
      <c r="AF2" s="2">
        <v>7</v>
      </c>
      <c r="AG2" s="2">
        <v>8</v>
      </c>
      <c r="AH2" s="2">
        <v>9</v>
      </c>
      <c r="AI2" s="2">
        <v>10</v>
      </c>
      <c r="AJ2" s="2">
        <v>11</v>
      </c>
      <c r="AK2" s="2">
        <v>12</v>
      </c>
      <c r="AL2" s="2">
        <v>13</v>
      </c>
      <c r="AM2" s="2">
        <v>14</v>
      </c>
      <c r="AN2" s="2">
        <v>15</v>
      </c>
      <c r="AO2" s="2">
        <v>16</v>
      </c>
      <c r="AP2" s="2">
        <v>17</v>
      </c>
      <c r="AQ2" s="2">
        <v>18</v>
      </c>
      <c r="AR2" s="2">
        <v>19</v>
      </c>
      <c r="AS2" s="2">
        <v>20</v>
      </c>
      <c r="AT2" s="2">
        <v>21</v>
      </c>
      <c r="AU2" s="2">
        <v>22</v>
      </c>
      <c r="AV2" s="2">
        <v>23</v>
      </c>
      <c r="AW2" s="2">
        <v>24</v>
      </c>
      <c r="AX2" s="2">
        <v>25</v>
      </c>
      <c r="AY2" s="2">
        <v>26</v>
      </c>
      <c r="AZ2" s="2">
        <v>27</v>
      </c>
      <c r="BA2" s="2">
        <v>28</v>
      </c>
      <c r="BB2" s="2">
        <v>29</v>
      </c>
      <c r="BC2" s="2">
        <v>30</v>
      </c>
      <c r="BD2" s="2">
        <v>31</v>
      </c>
      <c r="BE2" s="2">
        <v>32</v>
      </c>
      <c r="BF2" s="2">
        <v>33</v>
      </c>
      <c r="BG2" s="2">
        <v>34</v>
      </c>
      <c r="BH2" s="2">
        <v>35</v>
      </c>
      <c r="BI2" s="2">
        <v>36</v>
      </c>
      <c r="BJ2" s="2">
        <v>37</v>
      </c>
      <c r="BK2" s="2">
        <v>38</v>
      </c>
      <c r="BL2" s="2">
        <v>39</v>
      </c>
      <c r="BM2" s="2">
        <v>40</v>
      </c>
      <c r="BN2" s="2">
        <v>41</v>
      </c>
      <c r="BO2" s="2">
        <v>42</v>
      </c>
      <c r="BP2" s="2">
        <v>43</v>
      </c>
      <c r="BQ2" s="2">
        <v>44</v>
      </c>
      <c r="BR2" s="2">
        <v>45</v>
      </c>
      <c r="BS2" s="2">
        <v>46</v>
      </c>
      <c r="BT2" s="2">
        <v>47</v>
      </c>
      <c r="BU2" s="2">
        <v>48</v>
      </c>
      <c r="BV2" s="2">
        <v>49</v>
      </c>
      <c r="BW2" s="2">
        <v>50</v>
      </c>
      <c r="BX2" s="2">
        <v>51</v>
      </c>
      <c r="BY2" s="2">
        <v>52</v>
      </c>
      <c r="BZ2" s="2">
        <v>53</v>
      </c>
      <c r="CA2" s="2">
        <v>54</v>
      </c>
      <c r="CB2" s="2">
        <v>55</v>
      </c>
      <c r="CC2" s="2">
        <v>56</v>
      </c>
      <c r="CD2" s="2">
        <v>57</v>
      </c>
      <c r="CE2" s="2">
        <v>58</v>
      </c>
      <c r="CF2" s="2">
        <v>59</v>
      </c>
      <c r="CG2" s="2">
        <v>60</v>
      </c>
      <c r="CH2" s="2" t="s">
        <v>19</v>
      </c>
      <c r="CI2" s="2" t="s">
        <v>20</v>
      </c>
      <c r="CJ2" s="2" t="s">
        <v>25</v>
      </c>
      <c r="CK2" s="2">
        <v>1</v>
      </c>
      <c r="CL2" s="2">
        <v>2</v>
      </c>
      <c r="CM2" s="2">
        <v>3</v>
      </c>
      <c r="CN2" s="2">
        <v>4</v>
      </c>
      <c r="CO2" s="2">
        <v>5</v>
      </c>
      <c r="CP2" s="2">
        <v>6</v>
      </c>
      <c r="CQ2" s="2">
        <v>7</v>
      </c>
      <c r="CR2" s="2">
        <v>8</v>
      </c>
      <c r="CS2" s="2">
        <v>9</v>
      </c>
      <c r="CT2" s="2">
        <v>10</v>
      </c>
      <c r="CU2" s="2">
        <v>11</v>
      </c>
      <c r="CV2" s="2">
        <v>12</v>
      </c>
      <c r="CW2" s="2">
        <v>13</v>
      </c>
      <c r="CX2" s="2">
        <v>14</v>
      </c>
      <c r="CY2" s="2">
        <v>15</v>
      </c>
      <c r="CZ2" s="2">
        <v>16</v>
      </c>
      <c r="DA2" s="2">
        <v>17</v>
      </c>
      <c r="DB2" s="2">
        <v>18</v>
      </c>
      <c r="DC2" s="2">
        <v>19</v>
      </c>
      <c r="DD2" s="2">
        <v>20</v>
      </c>
      <c r="DE2" s="2">
        <v>21</v>
      </c>
      <c r="DF2" s="2">
        <v>22</v>
      </c>
      <c r="DG2" s="2">
        <v>23</v>
      </c>
      <c r="DH2" s="2">
        <v>24</v>
      </c>
      <c r="DI2" s="2">
        <v>25</v>
      </c>
      <c r="DJ2" s="2">
        <v>26</v>
      </c>
      <c r="DK2" s="2">
        <v>27</v>
      </c>
      <c r="DL2" s="2">
        <v>28</v>
      </c>
      <c r="DM2" s="2">
        <v>29</v>
      </c>
      <c r="DN2" s="2">
        <v>30</v>
      </c>
      <c r="DO2" s="2">
        <v>31</v>
      </c>
      <c r="DP2" s="2">
        <v>32</v>
      </c>
      <c r="DQ2" s="2">
        <v>33</v>
      </c>
      <c r="DR2" s="2">
        <v>34</v>
      </c>
      <c r="DS2" s="2">
        <v>35</v>
      </c>
      <c r="DT2" s="2">
        <v>36</v>
      </c>
      <c r="DU2" s="2">
        <v>37</v>
      </c>
      <c r="DV2" s="2">
        <v>38</v>
      </c>
      <c r="DW2" s="2">
        <v>39</v>
      </c>
      <c r="DX2" s="2">
        <v>40</v>
      </c>
      <c r="DY2" s="2">
        <v>41</v>
      </c>
      <c r="DZ2" s="2">
        <v>42</v>
      </c>
      <c r="EA2" s="2">
        <v>43</v>
      </c>
      <c r="EB2" s="2">
        <v>44</v>
      </c>
      <c r="EC2" s="2">
        <v>45</v>
      </c>
      <c r="ED2" s="2">
        <v>46</v>
      </c>
      <c r="EE2" s="2">
        <v>47</v>
      </c>
      <c r="EF2" s="2">
        <v>48</v>
      </c>
      <c r="EG2" s="2">
        <v>49</v>
      </c>
      <c r="EH2" s="2">
        <v>50</v>
      </c>
      <c r="EI2" s="2">
        <v>51</v>
      </c>
      <c r="EJ2" s="2">
        <v>52</v>
      </c>
      <c r="EK2" s="2">
        <v>53</v>
      </c>
      <c r="EL2" s="2">
        <v>54</v>
      </c>
      <c r="EM2" s="2">
        <v>55</v>
      </c>
      <c r="EN2" s="2">
        <v>56</v>
      </c>
      <c r="EO2" s="2">
        <v>57</v>
      </c>
      <c r="EP2" s="2">
        <v>58</v>
      </c>
      <c r="EQ2" s="2">
        <v>59</v>
      </c>
      <c r="ER2" s="2">
        <v>60</v>
      </c>
      <c r="ES2" s="2" t="s">
        <v>25</v>
      </c>
      <c r="ET2" s="2">
        <v>1</v>
      </c>
      <c r="EU2" s="2">
        <v>2</v>
      </c>
      <c r="EV2" s="2">
        <v>3</v>
      </c>
      <c r="EW2" s="2">
        <v>4</v>
      </c>
      <c r="EX2" s="2">
        <v>5</v>
      </c>
      <c r="EY2" s="2">
        <v>6</v>
      </c>
      <c r="EZ2" s="2">
        <v>7</v>
      </c>
      <c r="FA2" s="2">
        <v>8</v>
      </c>
      <c r="FB2" s="2">
        <v>9</v>
      </c>
      <c r="FC2" s="2">
        <v>10</v>
      </c>
      <c r="FD2" s="2">
        <v>11</v>
      </c>
      <c r="FE2" s="2">
        <v>12</v>
      </c>
      <c r="FF2" s="2">
        <v>13</v>
      </c>
      <c r="FG2" s="2">
        <v>14</v>
      </c>
      <c r="FH2" s="2">
        <v>15</v>
      </c>
      <c r="FI2" s="2">
        <v>16</v>
      </c>
      <c r="FJ2" s="2">
        <v>17</v>
      </c>
      <c r="FK2" s="2">
        <v>18</v>
      </c>
      <c r="FL2" s="2">
        <v>19</v>
      </c>
      <c r="FM2" s="2">
        <v>20</v>
      </c>
      <c r="FN2" s="2">
        <v>21</v>
      </c>
      <c r="FO2" s="2">
        <v>22</v>
      </c>
      <c r="FP2" s="2">
        <v>23</v>
      </c>
      <c r="FQ2" s="2">
        <v>24</v>
      </c>
      <c r="FR2" s="2">
        <v>25</v>
      </c>
      <c r="FS2" s="2">
        <v>26</v>
      </c>
      <c r="FT2" s="2">
        <v>27</v>
      </c>
      <c r="FU2" s="2">
        <v>28</v>
      </c>
      <c r="FV2" s="2">
        <v>29</v>
      </c>
      <c r="FW2" s="2">
        <v>30</v>
      </c>
      <c r="FX2" s="2">
        <v>31</v>
      </c>
      <c r="FY2" s="2">
        <v>32</v>
      </c>
      <c r="FZ2" s="2">
        <v>33</v>
      </c>
      <c r="GA2" s="2">
        <v>34</v>
      </c>
      <c r="GB2" s="2">
        <v>35</v>
      </c>
      <c r="GC2" s="2">
        <v>36</v>
      </c>
      <c r="GD2" s="2">
        <v>37</v>
      </c>
      <c r="GE2" s="2">
        <v>38</v>
      </c>
      <c r="GF2" s="2">
        <v>39</v>
      </c>
      <c r="GG2" s="2">
        <v>40</v>
      </c>
      <c r="GH2" s="2">
        <v>41</v>
      </c>
      <c r="GI2" s="2">
        <v>42</v>
      </c>
      <c r="GJ2" s="2">
        <v>43</v>
      </c>
      <c r="GK2" s="2">
        <v>44</v>
      </c>
      <c r="GL2" s="2">
        <v>45</v>
      </c>
      <c r="GM2" s="2">
        <v>46</v>
      </c>
      <c r="GN2" s="2">
        <v>47</v>
      </c>
      <c r="GO2" s="2">
        <v>48</v>
      </c>
      <c r="GP2" s="2">
        <v>49</v>
      </c>
      <c r="GQ2" s="2">
        <v>50</v>
      </c>
      <c r="GR2" s="2">
        <v>51</v>
      </c>
      <c r="GS2" s="2">
        <v>52</v>
      </c>
      <c r="GT2" s="2">
        <v>53</v>
      </c>
      <c r="GU2" s="2">
        <v>54</v>
      </c>
      <c r="GV2" s="2">
        <v>55</v>
      </c>
      <c r="GW2" s="2">
        <v>56</v>
      </c>
      <c r="GX2" s="2">
        <v>57</v>
      </c>
      <c r="GY2" s="2">
        <v>58</v>
      </c>
      <c r="GZ2" s="2">
        <v>59</v>
      </c>
      <c r="HA2" s="2">
        <v>60</v>
      </c>
      <c r="HB2" s="2" t="s">
        <v>25</v>
      </c>
      <c r="HC2" s="2">
        <v>0</v>
      </c>
      <c r="HD2" s="2">
        <v>1</v>
      </c>
      <c r="HE2" s="2">
        <v>2</v>
      </c>
      <c r="HF2" s="2">
        <v>3</v>
      </c>
      <c r="HG2" s="2">
        <v>4</v>
      </c>
      <c r="HH2" s="2">
        <v>5</v>
      </c>
      <c r="HI2" s="2">
        <v>6</v>
      </c>
      <c r="HJ2" s="2">
        <v>7</v>
      </c>
      <c r="HK2" s="2">
        <v>8</v>
      </c>
      <c r="HL2" s="2">
        <v>9</v>
      </c>
      <c r="HM2" s="2">
        <v>10</v>
      </c>
      <c r="HN2" s="2">
        <v>11</v>
      </c>
      <c r="HO2" s="2">
        <v>12</v>
      </c>
      <c r="HP2" s="2">
        <v>13</v>
      </c>
      <c r="HQ2" s="2">
        <v>14</v>
      </c>
      <c r="HR2" s="2">
        <v>15</v>
      </c>
      <c r="HS2" s="2">
        <v>16</v>
      </c>
      <c r="HT2" s="2">
        <v>17</v>
      </c>
      <c r="HU2" s="2">
        <v>18</v>
      </c>
      <c r="HV2" s="2">
        <v>19</v>
      </c>
      <c r="HW2" s="2">
        <v>20</v>
      </c>
      <c r="HX2" s="2">
        <v>21</v>
      </c>
      <c r="HY2" s="2">
        <v>22</v>
      </c>
      <c r="HZ2" s="2">
        <v>23</v>
      </c>
      <c r="IA2" s="2">
        <v>24</v>
      </c>
      <c r="IB2" s="2">
        <v>25</v>
      </c>
      <c r="IC2" s="2">
        <v>26</v>
      </c>
      <c r="ID2" s="2">
        <v>27</v>
      </c>
      <c r="IE2" s="2">
        <v>28</v>
      </c>
      <c r="IF2" s="2">
        <v>29</v>
      </c>
      <c r="IG2" s="2">
        <v>30</v>
      </c>
      <c r="IH2" s="2">
        <v>31</v>
      </c>
      <c r="II2" s="2">
        <v>32</v>
      </c>
      <c r="IJ2" s="2">
        <v>33</v>
      </c>
      <c r="IK2" s="2">
        <v>34</v>
      </c>
      <c r="IL2" s="2">
        <v>35</v>
      </c>
      <c r="IM2" s="2">
        <v>36</v>
      </c>
      <c r="IN2" s="2">
        <v>37</v>
      </c>
      <c r="IO2" s="2">
        <v>38</v>
      </c>
      <c r="IP2" s="2">
        <v>39</v>
      </c>
      <c r="IQ2" s="2">
        <v>40</v>
      </c>
      <c r="IR2" s="2">
        <v>41</v>
      </c>
      <c r="IS2" s="2">
        <v>42</v>
      </c>
      <c r="IT2" s="2">
        <v>43</v>
      </c>
      <c r="IU2" s="2">
        <v>44</v>
      </c>
      <c r="IV2" s="2">
        <v>45</v>
      </c>
      <c r="IW2" s="2">
        <v>46</v>
      </c>
      <c r="IX2" s="2">
        <v>47</v>
      </c>
      <c r="IY2" s="2">
        <v>48</v>
      </c>
      <c r="IZ2" s="2">
        <v>49</v>
      </c>
      <c r="JA2" s="2">
        <v>50</v>
      </c>
      <c r="JB2" s="2">
        <v>51</v>
      </c>
      <c r="JC2" s="2">
        <v>52</v>
      </c>
      <c r="JD2" s="2">
        <v>53</v>
      </c>
      <c r="JE2" s="2">
        <v>54</v>
      </c>
      <c r="JF2" s="2">
        <v>55</v>
      </c>
      <c r="JG2" s="2">
        <v>56</v>
      </c>
      <c r="JH2" s="2">
        <v>57</v>
      </c>
      <c r="JI2" s="2">
        <v>58</v>
      </c>
      <c r="JJ2" s="2">
        <v>59</v>
      </c>
      <c r="JK2" s="2">
        <v>60</v>
      </c>
      <c r="JL2" s="2" t="s">
        <v>25</v>
      </c>
      <c r="JM2" s="12" t="s">
        <v>26</v>
      </c>
      <c r="JN2" s="22" t="s">
        <v>45</v>
      </c>
      <c r="JO2" s="22" t="s">
        <v>27</v>
      </c>
      <c r="JP2" s="12" t="s">
        <v>28</v>
      </c>
      <c r="JQ2" s="12" t="s">
        <v>63</v>
      </c>
      <c r="JR2" s="12" t="s">
        <v>64</v>
      </c>
      <c r="JS2" s="12" t="s">
        <v>29</v>
      </c>
      <c r="JT2" s="12" t="s">
        <v>30</v>
      </c>
      <c r="JU2" s="12" t="s">
        <v>31</v>
      </c>
      <c r="JV2" s="12" t="s">
        <v>32</v>
      </c>
      <c r="JW2" s="12" t="s">
        <v>62</v>
      </c>
      <c r="JX2" s="1" t="s">
        <v>49</v>
      </c>
      <c r="JY2" s="1" t="s">
        <v>60</v>
      </c>
      <c r="JZ2" s="1" t="s">
        <v>51</v>
      </c>
      <c r="KA2" s="1" t="s">
        <v>50</v>
      </c>
      <c r="KB2" s="1" t="s">
        <v>52</v>
      </c>
      <c r="KC2" s="1" t="s">
        <v>55</v>
      </c>
      <c r="KD2" s="1" t="s">
        <v>53</v>
      </c>
      <c r="KE2" s="1" t="s">
        <v>54</v>
      </c>
    </row>
    <row r="3" spans="1:291" hidden="1" x14ac:dyDescent="0.3">
      <c r="A3" s="1" t="s">
        <v>58</v>
      </c>
      <c r="C3" s="1" t="e">
        <f>VLOOKUP(B3,DD!A:B,2,0)</f>
        <v>#N/A</v>
      </c>
      <c r="D3" s="1" t="e">
        <f>VLOOKUP(B3,DD!A:K,11,0)</f>
        <v>#N/A</v>
      </c>
      <c r="E3" s="1" t="e">
        <f>VLOOKUP(B3,DD!A:L,12,0)</f>
        <v>#N/A</v>
      </c>
      <c r="F3" s="17" t="e">
        <f>VLOOKUP(B3,DD!A:D,4,0)</f>
        <v>#N/A</v>
      </c>
      <c r="G3" s="9">
        <v>1</v>
      </c>
      <c r="H3" s="3" t="e">
        <f>VLOOKUP(B3,DD!A:E,5,0)</f>
        <v>#N/A</v>
      </c>
      <c r="I3" s="3" t="e">
        <f t="shared" ref="I3" si="0">H3-J3</f>
        <v>#N/A</v>
      </c>
      <c r="J3" s="3" t="e">
        <f>VLOOKUP(B3,DD!A:F,6,0)</f>
        <v>#N/A</v>
      </c>
      <c r="K3" s="3" t="e">
        <f>VLOOKUP(B3,DD!A:H,8,0)</f>
        <v>#N/A</v>
      </c>
      <c r="L3" s="3" t="e">
        <f>VLOOKUP(B3,DD!A:I,9,0)</f>
        <v>#N/A</v>
      </c>
      <c r="M3" s="3" t="e">
        <f>VLOOKUP(B3,DD!A:J,10,0)</f>
        <v>#N/A</v>
      </c>
      <c r="N3" s="3" t="s">
        <v>8</v>
      </c>
      <c r="O3" s="3" t="s">
        <v>9</v>
      </c>
      <c r="P3" s="4" t="e">
        <f>VLOOKUP(B3,DD!A:C,3,0)</f>
        <v>#N/A</v>
      </c>
      <c r="Q3" s="5" t="e">
        <f t="shared" ref="Q3" si="1">K3/100*P3</f>
        <v>#N/A</v>
      </c>
      <c r="R3" s="5" t="e">
        <f t="shared" ref="R3" si="2">L3/100*P3</f>
        <v>#N/A</v>
      </c>
      <c r="S3" s="5" t="e">
        <f t="shared" ref="S3" si="3">M3/100*(P3-Q3)</f>
        <v>#N/A</v>
      </c>
      <c r="T3" s="6" t="e">
        <f t="shared" ref="T3" si="4">Q3+R3</f>
        <v>#N/A</v>
      </c>
      <c r="U3" s="5" t="e">
        <f t="shared" ref="U3" si="5">(P3/H3)+(R3/H3)</f>
        <v>#N/A</v>
      </c>
      <c r="V3" s="6" t="e">
        <f t="shared" ref="V3" si="6">P3-Q3-S3-W3</f>
        <v>#N/A</v>
      </c>
      <c r="W3" s="7" t="e">
        <f t="shared" ref="W3" si="7">IF(J3&gt;=1,U3*J3,0)</f>
        <v>#N/A</v>
      </c>
      <c r="X3" s="8" t="e">
        <f t="shared" ref="X3" si="8">IRR(Y3:CG3)*12</f>
        <v>#VALUE!</v>
      </c>
      <c r="Y3" s="6" t="e">
        <f t="shared" ref="Y3" si="9">-V3</f>
        <v>#N/A</v>
      </c>
      <c r="Z3" s="7" t="e">
        <f t="shared" ref="Z3:BE10" si="10">IF($I3&gt;=Z$2,$U3,0)-IF($I3=Z$2,$S3)-IF($S3&gt;1,$S3,0)+$S3</f>
        <v>#N/A</v>
      </c>
      <c r="AA3" s="7" t="e">
        <f t="shared" si="10"/>
        <v>#N/A</v>
      </c>
      <c r="AB3" s="7" t="e">
        <f t="shared" si="10"/>
        <v>#N/A</v>
      </c>
      <c r="AC3" s="7" t="e">
        <f t="shared" si="10"/>
        <v>#N/A</v>
      </c>
      <c r="AD3" s="7" t="e">
        <f t="shared" si="10"/>
        <v>#N/A</v>
      </c>
      <c r="AE3" s="7" t="e">
        <f t="shared" si="10"/>
        <v>#N/A</v>
      </c>
      <c r="AF3" s="7" t="e">
        <f t="shared" si="10"/>
        <v>#N/A</v>
      </c>
      <c r="AG3" s="7" t="e">
        <f t="shared" si="10"/>
        <v>#N/A</v>
      </c>
      <c r="AH3" s="7" t="e">
        <f t="shared" si="10"/>
        <v>#N/A</v>
      </c>
      <c r="AI3" s="7" t="e">
        <f t="shared" si="10"/>
        <v>#N/A</v>
      </c>
      <c r="AJ3" s="7" t="e">
        <f t="shared" si="10"/>
        <v>#N/A</v>
      </c>
      <c r="AK3" s="7" t="e">
        <f t="shared" si="10"/>
        <v>#N/A</v>
      </c>
      <c r="AL3" s="7" t="e">
        <f t="shared" si="10"/>
        <v>#N/A</v>
      </c>
      <c r="AM3" s="7" t="e">
        <f t="shared" si="10"/>
        <v>#N/A</v>
      </c>
      <c r="AN3" s="7" t="e">
        <f t="shared" si="10"/>
        <v>#N/A</v>
      </c>
      <c r="AO3" s="7" t="e">
        <f t="shared" si="10"/>
        <v>#N/A</v>
      </c>
      <c r="AP3" s="7" t="e">
        <f t="shared" si="10"/>
        <v>#N/A</v>
      </c>
      <c r="AQ3" s="7" t="e">
        <f t="shared" si="10"/>
        <v>#N/A</v>
      </c>
      <c r="AR3" s="7" t="e">
        <f t="shared" si="10"/>
        <v>#N/A</v>
      </c>
      <c r="AS3" s="7" t="e">
        <f t="shared" si="10"/>
        <v>#N/A</v>
      </c>
      <c r="AT3" s="7" t="e">
        <f t="shared" si="10"/>
        <v>#N/A</v>
      </c>
      <c r="AU3" s="7" t="e">
        <f t="shared" si="10"/>
        <v>#N/A</v>
      </c>
      <c r="AV3" s="7" t="e">
        <f t="shared" si="10"/>
        <v>#N/A</v>
      </c>
      <c r="AW3" s="7" t="e">
        <f t="shared" si="10"/>
        <v>#N/A</v>
      </c>
      <c r="AX3" s="7" t="e">
        <f t="shared" si="10"/>
        <v>#N/A</v>
      </c>
      <c r="AY3" s="7" t="e">
        <f t="shared" si="10"/>
        <v>#N/A</v>
      </c>
      <c r="AZ3" s="7" t="e">
        <f t="shared" si="10"/>
        <v>#N/A</v>
      </c>
      <c r="BA3" s="7" t="e">
        <f t="shared" si="10"/>
        <v>#N/A</v>
      </c>
      <c r="BB3" s="7" t="e">
        <f t="shared" si="10"/>
        <v>#N/A</v>
      </c>
      <c r="BC3" s="7" t="e">
        <f t="shared" si="10"/>
        <v>#N/A</v>
      </c>
      <c r="BD3" s="7" t="e">
        <f t="shared" si="10"/>
        <v>#N/A</v>
      </c>
      <c r="BE3" s="7" t="e">
        <f t="shared" si="10"/>
        <v>#N/A</v>
      </c>
      <c r="BF3" s="7" t="e">
        <f t="shared" ref="BF3:CG12" si="11">IF($I3&gt;=BF$2,$U3,0)-IF($I3=BF$2,$S3)-IF($S3&gt;1,$S3,0)+$S3</f>
        <v>#N/A</v>
      </c>
      <c r="BG3" s="7" t="e">
        <f t="shared" si="11"/>
        <v>#N/A</v>
      </c>
      <c r="BH3" s="7" t="e">
        <f t="shared" si="11"/>
        <v>#N/A</v>
      </c>
      <c r="BI3" s="7" t="e">
        <f t="shared" si="11"/>
        <v>#N/A</v>
      </c>
      <c r="BJ3" s="7" t="e">
        <f t="shared" si="11"/>
        <v>#N/A</v>
      </c>
      <c r="BK3" s="7" t="e">
        <f t="shared" si="11"/>
        <v>#N/A</v>
      </c>
      <c r="BL3" s="7" t="e">
        <f t="shared" si="11"/>
        <v>#N/A</v>
      </c>
      <c r="BM3" s="7" t="e">
        <f t="shared" si="11"/>
        <v>#N/A</v>
      </c>
      <c r="BN3" s="7" t="e">
        <f t="shared" si="11"/>
        <v>#N/A</v>
      </c>
      <c r="BO3" s="7" t="e">
        <f t="shared" si="11"/>
        <v>#N/A</v>
      </c>
      <c r="BP3" s="7" t="e">
        <f t="shared" si="11"/>
        <v>#N/A</v>
      </c>
      <c r="BQ3" s="7" t="e">
        <f t="shared" si="11"/>
        <v>#N/A</v>
      </c>
      <c r="BR3" s="7" t="e">
        <f t="shared" si="11"/>
        <v>#N/A</v>
      </c>
      <c r="BS3" s="7" t="e">
        <f t="shared" si="11"/>
        <v>#N/A</v>
      </c>
      <c r="BT3" s="7" t="e">
        <f t="shared" si="11"/>
        <v>#N/A</v>
      </c>
      <c r="BU3" s="7" t="e">
        <f t="shared" si="11"/>
        <v>#N/A</v>
      </c>
      <c r="BV3" s="7" t="e">
        <f t="shared" si="11"/>
        <v>#N/A</v>
      </c>
      <c r="BW3" s="7" t="e">
        <f t="shared" si="11"/>
        <v>#N/A</v>
      </c>
      <c r="BX3" s="7" t="e">
        <f t="shared" si="11"/>
        <v>#N/A</v>
      </c>
      <c r="BY3" s="7" t="e">
        <f t="shared" si="11"/>
        <v>#N/A</v>
      </c>
      <c r="BZ3" s="7" t="e">
        <f t="shared" si="11"/>
        <v>#N/A</v>
      </c>
      <c r="CA3" s="7" t="e">
        <f t="shared" si="11"/>
        <v>#N/A</v>
      </c>
      <c r="CB3" s="7" t="e">
        <f t="shared" si="11"/>
        <v>#N/A</v>
      </c>
      <c r="CC3" s="7" t="e">
        <f t="shared" si="11"/>
        <v>#N/A</v>
      </c>
      <c r="CD3" s="7" t="e">
        <f t="shared" si="11"/>
        <v>#N/A</v>
      </c>
      <c r="CE3" s="7" t="e">
        <f t="shared" si="11"/>
        <v>#N/A</v>
      </c>
      <c r="CF3" s="7" t="e">
        <f t="shared" si="11"/>
        <v>#N/A</v>
      </c>
      <c r="CG3" s="7" t="e">
        <f t="shared" si="11"/>
        <v>#N/A</v>
      </c>
      <c r="CH3" s="6" t="e">
        <f t="shared" ref="CH3" si="12">SUM(Y3:CG3)</f>
        <v>#N/A</v>
      </c>
      <c r="CI3" s="5" t="e">
        <f t="shared" ref="CI3" si="13">CH3-T3</f>
        <v>#N/A</v>
      </c>
      <c r="CK3" s="5" t="e">
        <f>V3*($X3/12)</f>
        <v>#N/A</v>
      </c>
      <c r="CL3" s="5" t="e">
        <f t="shared" ref="CL3:DQ3" si="14">HD3*($X3/12)</f>
        <v>#N/A</v>
      </c>
      <c r="CM3" s="5" t="e">
        <f t="shared" si="14"/>
        <v>#N/A</v>
      </c>
      <c r="CN3" s="5" t="e">
        <f t="shared" si="14"/>
        <v>#N/A</v>
      </c>
      <c r="CO3" s="5" t="e">
        <f t="shared" si="14"/>
        <v>#N/A</v>
      </c>
      <c r="CP3" s="5" t="e">
        <f t="shared" si="14"/>
        <v>#N/A</v>
      </c>
      <c r="CQ3" s="5" t="e">
        <f t="shared" si="14"/>
        <v>#N/A</v>
      </c>
      <c r="CR3" s="5" t="e">
        <f t="shared" si="14"/>
        <v>#N/A</v>
      </c>
      <c r="CS3" s="5" t="e">
        <f t="shared" si="14"/>
        <v>#N/A</v>
      </c>
      <c r="CT3" s="5" t="e">
        <f t="shared" si="14"/>
        <v>#N/A</v>
      </c>
      <c r="CU3" s="5" t="e">
        <f t="shared" si="14"/>
        <v>#N/A</v>
      </c>
      <c r="CV3" s="5" t="e">
        <f t="shared" si="14"/>
        <v>#N/A</v>
      </c>
      <c r="CW3" s="5" t="e">
        <f t="shared" si="14"/>
        <v>#N/A</v>
      </c>
      <c r="CX3" s="5" t="e">
        <f t="shared" si="14"/>
        <v>#N/A</v>
      </c>
      <c r="CY3" s="5" t="e">
        <f t="shared" si="14"/>
        <v>#N/A</v>
      </c>
      <c r="CZ3" s="5" t="e">
        <f t="shared" si="14"/>
        <v>#N/A</v>
      </c>
      <c r="DA3" s="5" t="e">
        <f t="shared" si="14"/>
        <v>#N/A</v>
      </c>
      <c r="DB3" s="5" t="e">
        <f t="shared" si="14"/>
        <v>#N/A</v>
      </c>
      <c r="DC3" s="5" t="e">
        <f t="shared" si="14"/>
        <v>#N/A</v>
      </c>
      <c r="DD3" s="5" t="e">
        <f t="shared" si="14"/>
        <v>#N/A</v>
      </c>
      <c r="DE3" s="5" t="e">
        <f t="shared" si="14"/>
        <v>#N/A</v>
      </c>
      <c r="DF3" s="5" t="e">
        <f t="shared" si="14"/>
        <v>#N/A</v>
      </c>
      <c r="DG3" s="5" t="e">
        <f t="shared" si="14"/>
        <v>#N/A</v>
      </c>
      <c r="DH3" s="5" t="e">
        <f t="shared" si="14"/>
        <v>#N/A</v>
      </c>
      <c r="DI3" s="5" t="e">
        <f t="shared" si="14"/>
        <v>#N/A</v>
      </c>
      <c r="DJ3" s="5" t="e">
        <f t="shared" si="14"/>
        <v>#N/A</v>
      </c>
      <c r="DK3" s="5" t="e">
        <f t="shared" si="14"/>
        <v>#N/A</v>
      </c>
      <c r="DL3" s="5" t="e">
        <f t="shared" si="14"/>
        <v>#N/A</v>
      </c>
      <c r="DM3" s="5" t="e">
        <f t="shared" si="14"/>
        <v>#N/A</v>
      </c>
      <c r="DN3" s="5" t="e">
        <f t="shared" si="14"/>
        <v>#N/A</v>
      </c>
      <c r="DO3" s="5" t="e">
        <f t="shared" si="14"/>
        <v>#N/A</v>
      </c>
      <c r="DP3" s="5" t="e">
        <f t="shared" si="14"/>
        <v>#N/A</v>
      </c>
      <c r="DQ3" s="5" t="e">
        <f t="shared" si="14"/>
        <v>#N/A</v>
      </c>
      <c r="DR3" s="5" t="e">
        <f t="shared" ref="DR3:ER3" si="15">IJ3*($X3/12)</f>
        <v>#N/A</v>
      </c>
      <c r="DS3" s="5" t="e">
        <f t="shared" si="15"/>
        <v>#N/A</v>
      </c>
      <c r="DT3" s="5" t="e">
        <f t="shared" si="15"/>
        <v>#N/A</v>
      </c>
      <c r="DU3" s="5" t="e">
        <f t="shared" si="15"/>
        <v>#N/A</v>
      </c>
      <c r="DV3" s="5" t="e">
        <f t="shared" si="15"/>
        <v>#N/A</v>
      </c>
      <c r="DW3" s="5" t="e">
        <f t="shared" si="15"/>
        <v>#N/A</v>
      </c>
      <c r="DX3" s="5" t="e">
        <f t="shared" si="15"/>
        <v>#N/A</v>
      </c>
      <c r="DY3" s="5" t="e">
        <f t="shared" si="15"/>
        <v>#N/A</v>
      </c>
      <c r="DZ3" s="5" t="e">
        <f t="shared" si="15"/>
        <v>#N/A</v>
      </c>
      <c r="EA3" s="5" t="e">
        <f t="shared" si="15"/>
        <v>#N/A</v>
      </c>
      <c r="EB3" s="5" t="e">
        <f t="shared" si="15"/>
        <v>#N/A</v>
      </c>
      <c r="EC3" s="5" t="e">
        <f t="shared" si="15"/>
        <v>#N/A</v>
      </c>
      <c r="ED3" s="5" t="e">
        <f t="shared" si="15"/>
        <v>#N/A</v>
      </c>
      <c r="EE3" s="5" t="e">
        <f t="shared" si="15"/>
        <v>#N/A</v>
      </c>
      <c r="EF3" s="5" t="e">
        <f t="shared" si="15"/>
        <v>#N/A</v>
      </c>
      <c r="EG3" s="5" t="e">
        <f t="shared" si="15"/>
        <v>#N/A</v>
      </c>
      <c r="EH3" s="5" t="e">
        <f t="shared" si="15"/>
        <v>#N/A</v>
      </c>
      <c r="EI3" s="5" t="e">
        <f t="shared" si="15"/>
        <v>#N/A</v>
      </c>
      <c r="EJ3" s="5" t="e">
        <f t="shared" si="15"/>
        <v>#N/A</v>
      </c>
      <c r="EK3" s="5" t="e">
        <f t="shared" si="15"/>
        <v>#N/A</v>
      </c>
      <c r="EL3" s="5" t="e">
        <f t="shared" si="15"/>
        <v>#N/A</v>
      </c>
      <c r="EM3" s="5" t="e">
        <f t="shared" si="15"/>
        <v>#N/A</v>
      </c>
      <c r="EN3" s="5" t="e">
        <f t="shared" si="15"/>
        <v>#N/A</v>
      </c>
      <c r="EO3" s="5" t="e">
        <f t="shared" si="15"/>
        <v>#N/A</v>
      </c>
      <c r="EP3" s="5" t="e">
        <f t="shared" si="15"/>
        <v>#N/A</v>
      </c>
      <c r="EQ3" s="5" t="e">
        <f t="shared" si="15"/>
        <v>#N/A</v>
      </c>
      <c r="ER3" s="5" t="e">
        <f t="shared" si="15"/>
        <v>#N/A</v>
      </c>
      <c r="ET3" s="5" t="e">
        <f t="shared" ref="ET3:HA3" si="16">Z3-CK3</f>
        <v>#N/A</v>
      </c>
      <c r="EU3" s="5" t="e">
        <f t="shared" si="16"/>
        <v>#N/A</v>
      </c>
      <c r="EV3" s="5" t="e">
        <f t="shared" si="16"/>
        <v>#N/A</v>
      </c>
      <c r="EW3" s="5" t="e">
        <f t="shared" si="16"/>
        <v>#N/A</v>
      </c>
      <c r="EX3" s="5" t="e">
        <f t="shared" si="16"/>
        <v>#N/A</v>
      </c>
      <c r="EY3" s="5" t="e">
        <f t="shared" si="16"/>
        <v>#N/A</v>
      </c>
      <c r="EZ3" s="5" t="e">
        <f t="shared" si="16"/>
        <v>#N/A</v>
      </c>
      <c r="FA3" s="5" t="e">
        <f t="shared" si="16"/>
        <v>#N/A</v>
      </c>
      <c r="FB3" s="5" t="e">
        <f t="shared" si="16"/>
        <v>#N/A</v>
      </c>
      <c r="FC3" s="5" t="e">
        <f t="shared" si="16"/>
        <v>#N/A</v>
      </c>
      <c r="FD3" s="5" t="e">
        <f t="shared" si="16"/>
        <v>#N/A</v>
      </c>
      <c r="FE3" s="5" t="e">
        <f t="shared" si="16"/>
        <v>#N/A</v>
      </c>
      <c r="FF3" s="5" t="e">
        <f t="shared" si="16"/>
        <v>#N/A</v>
      </c>
      <c r="FG3" s="5" t="e">
        <f t="shared" si="16"/>
        <v>#N/A</v>
      </c>
      <c r="FH3" s="5" t="e">
        <f t="shared" si="16"/>
        <v>#N/A</v>
      </c>
      <c r="FI3" s="5" t="e">
        <f t="shared" si="16"/>
        <v>#N/A</v>
      </c>
      <c r="FJ3" s="5" t="e">
        <f t="shared" si="16"/>
        <v>#N/A</v>
      </c>
      <c r="FK3" s="5" t="e">
        <f t="shared" si="16"/>
        <v>#N/A</v>
      </c>
      <c r="FL3" s="5" t="e">
        <f t="shared" si="16"/>
        <v>#N/A</v>
      </c>
      <c r="FM3" s="5" t="e">
        <f t="shared" si="16"/>
        <v>#N/A</v>
      </c>
      <c r="FN3" s="5" t="e">
        <f t="shared" si="16"/>
        <v>#N/A</v>
      </c>
      <c r="FO3" s="5" t="e">
        <f t="shared" si="16"/>
        <v>#N/A</v>
      </c>
      <c r="FP3" s="5" t="e">
        <f t="shared" si="16"/>
        <v>#N/A</v>
      </c>
      <c r="FQ3" s="5" t="e">
        <f t="shared" si="16"/>
        <v>#N/A</v>
      </c>
      <c r="FR3" s="5" t="e">
        <f t="shared" si="16"/>
        <v>#N/A</v>
      </c>
      <c r="FS3" s="5" t="e">
        <f t="shared" si="16"/>
        <v>#N/A</v>
      </c>
      <c r="FT3" s="5" t="e">
        <f t="shared" si="16"/>
        <v>#N/A</v>
      </c>
      <c r="FU3" s="5" t="e">
        <f t="shared" si="16"/>
        <v>#N/A</v>
      </c>
      <c r="FV3" s="5" t="e">
        <f t="shared" si="16"/>
        <v>#N/A</v>
      </c>
      <c r="FW3" s="5" t="e">
        <f t="shared" si="16"/>
        <v>#N/A</v>
      </c>
      <c r="FX3" s="5" t="e">
        <f t="shared" si="16"/>
        <v>#N/A</v>
      </c>
      <c r="FY3" s="5" t="e">
        <f t="shared" si="16"/>
        <v>#N/A</v>
      </c>
      <c r="FZ3" s="5" t="e">
        <f t="shared" si="16"/>
        <v>#N/A</v>
      </c>
      <c r="GA3" s="5" t="e">
        <f t="shared" si="16"/>
        <v>#N/A</v>
      </c>
      <c r="GB3" s="5" t="e">
        <f t="shared" si="16"/>
        <v>#N/A</v>
      </c>
      <c r="GC3" s="5" t="e">
        <f t="shared" si="16"/>
        <v>#N/A</v>
      </c>
      <c r="GD3" s="5" t="e">
        <f t="shared" si="16"/>
        <v>#N/A</v>
      </c>
      <c r="GE3" s="5" t="e">
        <f t="shared" si="16"/>
        <v>#N/A</v>
      </c>
      <c r="GF3" s="5" t="e">
        <f t="shared" si="16"/>
        <v>#N/A</v>
      </c>
      <c r="GG3" s="5" t="e">
        <f t="shared" si="16"/>
        <v>#N/A</v>
      </c>
      <c r="GH3" s="5" t="e">
        <f t="shared" si="16"/>
        <v>#N/A</v>
      </c>
      <c r="GI3" s="5" t="e">
        <f t="shared" si="16"/>
        <v>#N/A</v>
      </c>
      <c r="GJ3" s="5" t="e">
        <f t="shared" si="16"/>
        <v>#N/A</v>
      </c>
      <c r="GK3" s="5" t="e">
        <f t="shared" si="16"/>
        <v>#N/A</v>
      </c>
      <c r="GL3" s="5" t="e">
        <f t="shared" si="16"/>
        <v>#N/A</v>
      </c>
      <c r="GM3" s="5" t="e">
        <f t="shared" si="16"/>
        <v>#N/A</v>
      </c>
      <c r="GN3" s="5" t="e">
        <f t="shared" si="16"/>
        <v>#N/A</v>
      </c>
      <c r="GO3" s="5" t="e">
        <f t="shared" si="16"/>
        <v>#N/A</v>
      </c>
      <c r="GP3" s="5" t="e">
        <f t="shared" si="16"/>
        <v>#N/A</v>
      </c>
      <c r="GQ3" s="5" t="e">
        <f t="shared" si="16"/>
        <v>#N/A</v>
      </c>
      <c r="GR3" s="5" t="e">
        <f t="shared" si="16"/>
        <v>#N/A</v>
      </c>
      <c r="GS3" s="5" t="e">
        <f t="shared" si="16"/>
        <v>#N/A</v>
      </c>
      <c r="GT3" s="5" t="e">
        <f t="shared" si="16"/>
        <v>#N/A</v>
      </c>
      <c r="GU3" s="5" t="e">
        <f t="shared" si="16"/>
        <v>#N/A</v>
      </c>
      <c r="GV3" s="5" t="e">
        <f t="shared" si="16"/>
        <v>#N/A</v>
      </c>
      <c r="GW3" s="5" t="e">
        <f t="shared" si="16"/>
        <v>#N/A</v>
      </c>
      <c r="GX3" s="5" t="e">
        <f t="shared" si="16"/>
        <v>#N/A</v>
      </c>
      <c r="GY3" s="5" t="e">
        <f t="shared" si="16"/>
        <v>#N/A</v>
      </c>
      <c r="GZ3" s="5" t="e">
        <f t="shared" si="16"/>
        <v>#N/A</v>
      </c>
      <c r="HA3" s="5" t="e">
        <f t="shared" si="16"/>
        <v>#N/A</v>
      </c>
      <c r="HC3" s="6" t="e">
        <f t="shared" ref="HC3" si="17">V3</f>
        <v>#N/A</v>
      </c>
      <c r="HD3" s="5" t="e">
        <f t="shared" ref="HD3" si="18">V3-ET3</f>
        <v>#N/A</v>
      </c>
      <c r="HE3" s="5" t="e">
        <f t="shared" ref="HE3:JK3" si="19">HD3-EU3</f>
        <v>#N/A</v>
      </c>
      <c r="HF3" s="5" t="e">
        <f t="shared" si="19"/>
        <v>#N/A</v>
      </c>
      <c r="HG3" s="5" t="e">
        <f t="shared" si="19"/>
        <v>#N/A</v>
      </c>
      <c r="HH3" s="5" t="e">
        <f t="shared" si="19"/>
        <v>#N/A</v>
      </c>
      <c r="HI3" s="5" t="e">
        <f t="shared" si="19"/>
        <v>#N/A</v>
      </c>
      <c r="HJ3" s="5" t="e">
        <f t="shared" si="19"/>
        <v>#N/A</v>
      </c>
      <c r="HK3" s="5" t="e">
        <f t="shared" si="19"/>
        <v>#N/A</v>
      </c>
      <c r="HL3" s="5" t="e">
        <f t="shared" si="19"/>
        <v>#N/A</v>
      </c>
      <c r="HM3" s="5" t="e">
        <f t="shared" si="19"/>
        <v>#N/A</v>
      </c>
      <c r="HN3" s="5" t="e">
        <f t="shared" si="19"/>
        <v>#N/A</v>
      </c>
      <c r="HO3" s="5" t="e">
        <f t="shared" si="19"/>
        <v>#N/A</v>
      </c>
      <c r="HP3" s="5" t="e">
        <f t="shared" si="19"/>
        <v>#N/A</v>
      </c>
      <c r="HQ3" s="5" t="e">
        <f t="shared" si="19"/>
        <v>#N/A</v>
      </c>
      <c r="HR3" s="5" t="e">
        <f t="shared" si="19"/>
        <v>#N/A</v>
      </c>
      <c r="HS3" s="5" t="e">
        <f t="shared" si="19"/>
        <v>#N/A</v>
      </c>
      <c r="HT3" s="5" t="e">
        <f t="shared" si="19"/>
        <v>#N/A</v>
      </c>
      <c r="HU3" s="5" t="e">
        <f t="shared" si="19"/>
        <v>#N/A</v>
      </c>
      <c r="HV3" s="5" t="e">
        <f t="shared" si="19"/>
        <v>#N/A</v>
      </c>
      <c r="HW3" s="5" t="e">
        <f t="shared" si="19"/>
        <v>#N/A</v>
      </c>
      <c r="HX3" s="5" t="e">
        <f t="shared" si="19"/>
        <v>#N/A</v>
      </c>
      <c r="HY3" s="5" t="e">
        <f t="shared" si="19"/>
        <v>#N/A</v>
      </c>
      <c r="HZ3" s="5" t="e">
        <f t="shared" si="19"/>
        <v>#N/A</v>
      </c>
      <c r="IA3" s="5" t="e">
        <f t="shared" si="19"/>
        <v>#N/A</v>
      </c>
      <c r="IB3" s="5" t="e">
        <f t="shared" si="19"/>
        <v>#N/A</v>
      </c>
      <c r="IC3" s="5" t="e">
        <f t="shared" si="19"/>
        <v>#N/A</v>
      </c>
      <c r="ID3" s="5" t="e">
        <f t="shared" si="19"/>
        <v>#N/A</v>
      </c>
      <c r="IE3" s="5" t="e">
        <f t="shared" si="19"/>
        <v>#N/A</v>
      </c>
      <c r="IF3" s="5" t="e">
        <f t="shared" si="19"/>
        <v>#N/A</v>
      </c>
      <c r="IG3" s="5" t="e">
        <f t="shared" si="19"/>
        <v>#N/A</v>
      </c>
      <c r="IH3" s="5" t="e">
        <f t="shared" si="19"/>
        <v>#N/A</v>
      </c>
      <c r="II3" s="5" t="e">
        <f t="shared" si="19"/>
        <v>#N/A</v>
      </c>
      <c r="IJ3" s="5" t="e">
        <f t="shared" si="19"/>
        <v>#N/A</v>
      </c>
      <c r="IK3" s="5" t="e">
        <f t="shared" si="19"/>
        <v>#N/A</v>
      </c>
      <c r="IL3" s="5" t="e">
        <f t="shared" si="19"/>
        <v>#N/A</v>
      </c>
      <c r="IM3" s="5" t="e">
        <f t="shared" si="19"/>
        <v>#N/A</v>
      </c>
      <c r="IN3" s="5" t="e">
        <f t="shared" si="19"/>
        <v>#N/A</v>
      </c>
      <c r="IO3" s="5" t="e">
        <f t="shared" si="19"/>
        <v>#N/A</v>
      </c>
      <c r="IP3" s="5" t="e">
        <f t="shared" si="19"/>
        <v>#N/A</v>
      </c>
      <c r="IQ3" s="5" t="e">
        <f t="shared" si="19"/>
        <v>#N/A</v>
      </c>
      <c r="IR3" s="5" t="e">
        <f t="shared" si="19"/>
        <v>#N/A</v>
      </c>
      <c r="IS3" s="5" t="e">
        <f t="shared" si="19"/>
        <v>#N/A</v>
      </c>
      <c r="IT3" s="5" t="e">
        <f t="shared" si="19"/>
        <v>#N/A</v>
      </c>
      <c r="IU3" s="5" t="e">
        <f t="shared" si="19"/>
        <v>#N/A</v>
      </c>
      <c r="IV3" s="5" t="e">
        <f t="shared" si="19"/>
        <v>#N/A</v>
      </c>
      <c r="IW3" s="5" t="e">
        <f t="shared" si="19"/>
        <v>#N/A</v>
      </c>
      <c r="IX3" s="5" t="e">
        <f t="shared" si="19"/>
        <v>#N/A</v>
      </c>
      <c r="IY3" s="5" t="e">
        <f t="shared" si="19"/>
        <v>#N/A</v>
      </c>
      <c r="IZ3" s="5" t="e">
        <f t="shared" si="19"/>
        <v>#N/A</v>
      </c>
      <c r="JA3" s="5" t="e">
        <f t="shared" si="19"/>
        <v>#N/A</v>
      </c>
      <c r="JB3" s="5" t="e">
        <f t="shared" si="19"/>
        <v>#N/A</v>
      </c>
      <c r="JC3" s="5" t="e">
        <f t="shared" si="19"/>
        <v>#N/A</v>
      </c>
      <c r="JD3" s="5" t="e">
        <f t="shared" si="19"/>
        <v>#N/A</v>
      </c>
      <c r="JE3" s="5" t="e">
        <f t="shared" si="19"/>
        <v>#N/A</v>
      </c>
      <c r="JF3" s="5" t="e">
        <f t="shared" si="19"/>
        <v>#N/A</v>
      </c>
      <c r="JG3" s="5" t="e">
        <f t="shared" si="19"/>
        <v>#N/A</v>
      </c>
      <c r="JH3" s="5" t="e">
        <f t="shared" si="19"/>
        <v>#N/A</v>
      </c>
      <c r="JI3" s="5" t="e">
        <f t="shared" si="19"/>
        <v>#N/A</v>
      </c>
      <c r="JJ3" s="5" t="e">
        <f t="shared" si="19"/>
        <v>#N/A</v>
      </c>
      <c r="JK3" s="5" t="e">
        <f t="shared" si="19"/>
        <v>#N/A</v>
      </c>
      <c r="JM3" s="19">
        <v>0</v>
      </c>
      <c r="JN3" s="1">
        <v>1</v>
      </c>
      <c r="JO3" s="5" t="e">
        <f>HLOOKUP(JM3,HC$2:JK3,2,0)+IF(S3&gt;0,S3,0)-IF(KE3&gt;0,KE3,0)</f>
        <v>#N/A</v>
      </c>
      <c r="JP3" s="5" t="e">
        <f>JO3*($X3/360)</f>
        <v>#N/A</v>
      </c>
      <c r="JQ3" s="17">
        <v>45813</v>
      </c>
      <c r="JR3" s="26">
        <v>45838</v>
      </c>
      <c r="JS3" s="6">
        <f>JR3-JQ3</f>
        <v>25</v>
      </c>
      <c r="JT3" s="5" t="e">
        <f>(JS3)*JP3</f>
        <v>#N/A</v>
      </c>
      <c r="JU3" s="13">
        <f t="shared" ref="JU3:JU17" ca="1" si="20">TODAY()</f>
        <v>46161</v>
      </c>
      <c r="JV3" s="6" t="e">
        <f t="shared" ref="JV3" si="21">JT3+JO3</f>
        <v>#N/A</v>
      </c>
      <c r="JW3" s="6">
        <v>75200</v>
      </c>
      <c r="JX3" s="6">
        <v>94000</v>
      </c>
      <c r="JY3" s="6">
        <f>JX3-JW3</f>
        <v>18800</v>
      </c>
      <c r="JZ3" s="10" t="e">
        <f>JY3/U3</f>
        <v>#N/A</v>
      </c>
      <c r="KA3" s="10" t="e">
        <f>JZ3-J3</f>
        <v>#N/A</v>
      </c>
      <c r="KB3" s="10" t="e">
        <f>ROUNDDOWN(JZ3,0)</f>
        <v>#N/A</v>
      </c>
      <c r="KC3" s="10" t="e">
        <f>KB3-J3</f>
        <v>#N/A</v>
      </c>
      <c r="KD3" s="5" t="e">
        <f>KB3*U3</f>
        <v>#N/A</v>
      </c>
      <c r="KE3" s="6" t="e">
        <f>JY3-KD3</f>
        <v>#N/A</v>
      </c>
    </row>
    <row r="4" spans="1:291" hidden="1" x14ac:dyDescent="0.3">
      <c r="A4" s="1" t="s">
        <v>58</v>
      </c>
      <c r="C4" s="1" t="e">
        <f>VLOOKUP(B4,DD!A:B,2,0)</f>
        <v>#N/A</v>
      </c>
      <c r="D4" s="1" t="e">
        <f>VLOOKUP(B4,DD!A:K,11,0)</f>
        <v>#N/A</v>
      </c>
      <c r="E4" s="1" t="e">
        <f>VLOOKUP(B4,DD!A:L,12,0)</f>
        <v>#N/A</v>
      </c>
      <c r="F4" s="17" t="e">
        <f>VLOOKUP(B4,DD!A:D,4,0)</f>
        <v>#N/A</v>
      </c>
      <c r="G4" s="9">
        <v>1</v>
      </c>
      <c r="H4" s="3" t="e">
        <f>VLOOKUP(B4,DD!A:E,5,0)</f>
        <v>#N/A</v>
      </c>
      <c r="I4" s="3" t="e">
        <f t="shared" ref="I4:I5" si="22">H4-J4</f>
        <v>#N/A</v>
      </c>
      <c r="J4" s="3" t="e">
        <f>VLOOKUP(B4,DD!A:F,6,0)</f>
        <v>#N/A</v>
      </c>
      <c r="K4" s="3" t="e">
        <f>VLOOKUP(B4,DD!A:H,8,0)</f>
        <v>#N/A</v>
      </c>
      <c r="L4" s="3" t="e">
        <f>VLOOKUP(B4,DD!A:I,9,0)</f>
        <v>#N/A</v>
      </c>
      <c r="M4" s="3" t="e">
        <f>VLOOKUP(B4,DD!A:J,10,0)</f>
        <v>#N/A</v>
      </c>
      <c r="N4" s="3" t="s">
        <v>8</v>
      </c>
      <c r="O4" s="3" t="s">
        <v>9</v>
      </c>
      <c r="P4" s="4" t="e">
        <f>VLOOKUP(B4,DD!A:C,3,0)</f>
        <v>#N/A</v>
      </c>
      <c r="Q4" s="5" t="e">
        <f t="shared" ref="Q4:Q5" si="23">K4/100*P4</f>
        <v>#N/A</v>
      </c>
      <c r="R4" s="5" t="e">
        <f t="shared" ref="R4:R5" si="24">L4/100*P4</f>
        <v>#N/A</v>
      </c>
      <c r="S4" s="5" t="e">
        <f t="shared" ref="S4:S5" si="25">M4/100*(P4-Q4)</f>
        <v>#N/A</v>
      </c>
      <c r="T4" s="6" t="e">
        <f t="shared" ref="T4:T5" si="26">Q4+R4</f>
        <v>#N/A</v>
      </c>
      <c r="U4" s="5" t="e">
        <f t="shared" ref="U4:U5" si="27">(P4/H4)+(R4/H4)</f>
        <v>#N/A</v>
      </c>
      <c r="V4" s="6" t="e">
        <f t="shared" ref="V4:V5" si="28">P4-Q4-S4-W4</f>
        <v>#N/A</v>
      </c>
      <c r="W4" s="7" t="e">
        <f t="shared" ref="W4:W5" si="29">IF(J4&gt;=1,U4*J4,0)</f>
        <v>#N/A</v>
      </c>
      <c r="X4" s="8" t="e">
        <f t="shared" ref="X4:X5" si="30">IRR(Y4:CG4)*12</f>
        <v>#VALUE!</v>
      </c>
      <c r="Y4" s="6" t="e">
        <f t="shared" ref="Y4:Y5" si="31">-V4</f>
        <v>#N/A</v>
      </c>
      <c r="Z4" s="7" t="e">
        <f t="shared" si="10"/>
        <v>#N/A</v>
      </c>
      <c r="AA4" s="7" t="e">
        <f t="shared" si="10"/>
        <v>#N/A</v>
      </c>
      <c r="AB4" s="7" t="e">
        <f t="shared" si="10"/>
        <v>#N/A</v>
      </c>
      <c r="AC4" s="7" t="e">
        <f t="shared" si="10"/>
        <v>#N/A</v>
      </c>
      <c r="AD4" s="7" t="e">
        <f t="shared" si="10"/>
        <v>#N/A</v>
      </c>
      <c r="AE4" s="7" t="e">
        <f t="shared" si="10"/>
        <v>#N/A</v>
      </c>
      <c r="AF4" s="7" t="e">
        <f t="shared" si="10"/>
        <v>#N/A</v>
      </c>
      <c r="AG4" s="7" t="e">
        <f t="shared" si="10"/>
        <v>#N/A</v>
      </c>
      <c r="AH4" s="7" t="e">
        <f t="shared" si="10"/>
        <v>#N/A</v>
      </c>
      <c r="AI4" s="7" t="e">
        <f t="shared" si="10"/>
        <v>#N/A</v>
      </c>
      <c r="AJ4" s="7" t="e">
        <f t="shared" si="10"/>
        <v>#N/A</v>
      </c>
      <c r="AK4" s="7" t="e">
        <f t="shared" si="10"/>
        <v>#N/A</v>
      </c>
      <c r="AL4" s="7" t="e">
        <f t="shared" si="10"/>
        <v>#N/A</v>
      </c>
      <c r="AM4" s="7" t="e">
        <f t="shared" si="10"/>
        <v>#N/A</v>
      </c>
      <c r="AN4" s="7" t="e">
        <f t="shared" si="10"/>
        <v>#N/A</v>
      </c>
      <c r="AO4" s="7" t="e">
        <f t="shared" si="10"/>
        <v>#N/A</v>
      </c>
      <c r="AP4" s="7" t="e">
        <f t="shared" si="10"/>
        <v>#N/A</v>
      </c>
      <c r="AQ4" s="7" t="e">
        <f t="shared" si="10"/>
        <v>#N/A</v>
      </c>
      <c r="AR4" s="7" t="e">
        <f t="shared" si="10"/>
        <v>#N/A</v>
      </c>
      <c r="AS4" s="7" t="e">
        <f t="shared" si="10"/>
        <v>#N/A</v>
      </c>
      <c r="AT4" s="7" t="e">
        <f t="shared" si="10"/>
        <v>#N/A</v>
      </c>
      <c r="AU4" s="7" t="e">
        <f t="shared" si="10"/>
        <v>#N/A</v>
      </c>
      <c r="AV4" s="7" t="e">
        <f t="shared" si="10"/>
        <v>#N/A</v>
      </c>
      <c r="AW4" s="7" t="e">
        <f t="shared" si="10"/>
        <v>#N/A</v>
      </c>
      <c r="AX4" s="7" t="e">
        <f t="shared" si="10"/>
        <v>#N/A</v>
      </c>
      <c r="AY4" s="7" t="e">
        <f t="shared" si="10"/>
        <v>#N/A</v>
      </c>
      <c r="AZ4" s="7" t="e">
        <f t="shared" si="10"/>
        <v>#N/A</v>
      </c>
      <c r="BA4" s="7" t="e">
        <f t="shared" si="10"/>
        <v>#N/A</v>
      </c>
      <c r="BB4" s="7" t="e">
        <f t="shared" si="10"/>
        <v>#N/A</v>
      </c>
      <c r="BC4" s="7" t="e">
        <f t="shared" si="10"/>
        <v>#N/A</v>
      </c>
      <c r="BD4" s="7" t="e">
        <f t="shared" si="10"/>
        <v>#N/A</v>
      </c>
      <c r="BE4" s="7" t="e">
        <f t="shared" si="10"/>
        <v>#N/A</v>
      </c>
      <c r="BF4" s="7" t="e">
        <f t="shared" si="11"/>
        <v>#N/A</v>
      </c>
      <c r="BG4" s="7" t="e">
        <f t="shared" si="11"/>
        <v>#N/A</v>
      </c>
      <c r="BH4" s="7" t="e">
        <f t="shared" si="11"/>
        <v>#N/A</v>
      </c>
      <c r="BI4" s="7" t="e">
        <f t="shared" si="11"/>
        <v>#N/A</v>
      </c>
      <c r="BJ4" s="7" t="e">
        <f t="shared" si="11"/>
        <v>#N/A</v>
      </c>
      <c r="BK4" s="7" t="e">
        <f t="shared" si="11"/>
        <v>#N/A</v>
      </c>
      <c r="BL4" s="7" t="e">
        <f t="shared" si="11"/>
        <v>#N/A</v>
      </c>
      <c r="BM4" s="7" t="e">
        <f t="shared" si="11"/>
        <v>#N/A</v>
      </c>
      <c r="BN4" s="7" t="e">
        <f t="shared" si="11"/>
        <v>#N/A</v>
      </c>
      <c r="BO4" s="7" t="e">
        <f t="shared" si="11"/>
        <v>#N/A</v>
      </c>
      <c r="BP4" s="7" t="e">
        <f t="shared" si="11"/>
        <v>#N/A</v>
      </c>
      <c r="BQ4" s="7" t="e">
        <f t="shared" si="11"/>
        <v>#N/A</v>
      </c>
      <c r="BR4" s="7" t="e">
        <f t="shared" si="11"/>
        <v>#N/A</v>
      </c>
      <c r="BS4" s="7" t="e">
        <f t="shared" si="11"/>
        <v>#N/A</v>
      </c>
      <c r="BT4" s="7" t="e">
        <f t="shared" si="11"/>
        <v>#N/A</v>
      </c>
      <c r="BU4" s="7" t="e">
        <f t="shared" si="11"/>
        <v>#N/A</v>
      </c>
      <c r="BV4" s="7" t="e">
        <f t="shared" si="11"/>
        <v>#N/A</v>
      </c>
      <c r="BW4" s="7" t="e">
        <f t="shared" si="11"/>
        <v>#N/A</v>
      </c>
      <c r="BX4" s="7" t="e">
        <f t="shared" si="11"/>
        <v>#N/A</v>
      </c>
      <c r="BY4" s="7" t="e">
        <f t="shared" si="11"/>
        <v>#N/A</v>
      </c>
      <c r="BZ4" s="7" t="e">
        <f t="shared" si="11"/>
        <v>#N/A</v>
      </c>
      <c r="CA4" s="7" t="e">
        <f t="shared" si="11"/>
        <v>#N/A</v>
      </c>
      <c r="CB4" s="7" t="e">
        <f t="shared" si="11"/>
        <v>#N/A</v>
      </c>
      <c r="CC4" s="7" t="e">
        <f t="shared" si="11"/>
        <v>#N/A</v>
      </c>
      <c r="CD4" s="7" t="e">
        <f t="shared" si="11"/>
        <v>#N/A</v>
      </c>
      <c r="CE4" s="7" t="e">
        <f t="shared" si="11"/>
        <v>#N/A</v>
      </c>
      <c r="CF4" s="7" t="e">
        <f t="shared" si="11"/>
        <v>#N/A</v>
      </c>
      <c r="CG4" s="7" t="e">
        <f t="shared" si="11"/>
        <v>#N/A</v>
      </c>
      <c r="CH4" s="6" t="e">
        <f t="shared" ref="CH4:CH5" si="32">SUM(Y4:CG4)</f>
        <v>#N/A</v>
      </c>
      <c r="CI4" s="5" t="e">
        <f t="shared" ref="CI4:CI5" si="33">CH4-T4</f>
        <v>#N/A</v>
      </c>
      <c r="CK4" s="5" t="e">
        <f>V4*($X4/12)</f>
        <v>#N/A</v>
      </c>
      <c r="CL4" s="5" t="e">
        <f t="shared" ref="CL4:CL5" si="34">HD4*($X4/12)</f>
        <v>#N/A</v>
      </c>
      <c r="CM4" s="5" t="e">
        <f t="shared" ref="CM4:CM5" si="35">HE4*($X4/12)</f>
        <v>#N/A</v>
      </c>
      <c r="CN4" s="5" t="e">
        <f t="shared" ref="CN4:CN5" si="36">HF4*($X4/12)</f>
        <v>#N/A</v>
      </c>
      <c r="CO4" s="5" t="e">
        <f t="shared" ref="CO4:CO5" si="37">HG4*($X4/12)</f>
        <v>#N/A</v>
      </c>
      <c r="CP4" s="5" t="e">
        <f t="shared" ref="CP4:CP5" si="38">HH4*($X4/12)</f>
        <v>#N/A</v>
      </c>
      <c r="CQ4" s="5" t="e">
        <f t="shared" ref="CQ4:CQ5" si="39">HI4*($X4/12)</f>
        <v>#N/A</v>
      </c>
      <c r="CR4" s="5" t="e">
        <f t="shared" ref="CR4:CR5" si="40">HJ4*($X4/12)</f>
        <v>#N/A</v>
      </c>
      <c r="CS4" s="5" t="e">
        <f t="shared" ref="CS4:CS5" si="41">HK4*($X4/12)</f>
        <v>#N/A</v>
      </c>
      <c r="CT4" s="5" t="e">
        <f t="shared" ref="CT4:CT5" si="42">HL4*($X4/12)</f>
        <v>#N/A</v>
      </c>
      <c r="CU4" s="5" t="e">
        <f t="shared" ref="CU4:CU5" si="43">HM4*($X4/12)</f>
        <v>#N/A</v>
      </c>
      <c r="CV4" s="5" t="e">
        <f t="shared" ref="CV4:CV5" si="44">HN4*($X4/12)</f>
        <v>#N/A</v>
      </c>
      <c r="CW4" s="5" t="e">
        <f t="shared" ref="CW4:CW5" si="45">HO4*($X4/12)</f>
        <v>#N/A</v>
      </c>
      <c r="CX4" s="5" t="e">
        <f t="shared" ref="CX4:CX5" si="46">HP4*($X4/12)</f>
        <v>#N/A</v>
      </c>
      <c r="CY4" s="5" t="e">
        <f t="shared" ref="CY4:CY5" si="47">HQ4*($X4/12)</f>
        <v>#N/A</v>
      </c>
      <c r="CZ4" s="5" t="e">
        <f t="shared" ref="CZ4:CZ5" si="48">HR4*($X4/12)</f>
        <v>#N/A</v>
      </c>
      <c r="DA4" s="5" t="e">
        <f t="shared" ref="DA4:DA5" si="49">HS4*($X4/12)</f>
        <v>#N/A</v>
      </c>
      <c r="DB4" s="5" t="e">
        <f t="shared" ref="DB4:DB5" si="50">HT4*($X4/12)</f>
        <v>#N/A</v>
      </c>
      <c r="DC4" s="5" t="e">
        <f t="shared" ref="DC4:DC5" si="51">HU4*($X4/12)</f>
        <v>#N/A</v>
      </c>
      <c r="DD4" s="5" t="e">
        <f t="shared" ref="DD4:DD5" si="52">HV4*($X4/12)</f>
        <v>#N/A</v>
      </c>
      <c r="DE4" s="5" t="e">
        <f t="shared" ref="DE4:DE5" si="53">HW4*($X4/12)</f>
        <v>#N/A</v>
      </c>
      <c r="DF4" s="5" t="e">
        <f t="shared" ref="DF4:DF5" si="54">HX4*($X4/12)</f>
        <v>#N/A</v>
      </c>
      <c r="DG4" s="5" t="e">
        <f t="shared" ref="DG4:DG5" si="55">HY4*($X4/12)</f>
        <v>#N/A</v>
      </c>
      <c r="DH4" s="5" t="e">
        <f t="shared" ref="DH4:DH5" si="56">HZ4*($X4/12)</f>
        <v>#N/A</v>
      </c>
      <c r="DI4" s="5" t="e">
        <f t="shared" ref="DI4:DI5" si="57">IA4*($X4/12)</f>
        <v>#N/A</v>
      </c>
      <c r="DJ4" s="5" t="e">
        <f t="shared" ref="DJ4:DJ5" si="58">IB4*($X4/12)</f>
        <v>#N/A</v>
      </c>
      <c r="DK4" s="5" t="e">
        <f t="shared" ref="DK4:DK5" si="59">IC4*($X4/12)</f>
        <v>#N/A</v>
      </c>
      <c r="DL4" s="5" t="e">
        <f t="shared" ref="DL4:DL5" si="60">ID4*($X4/12)</f>
        <v>#N/A</v>
      </c>
      <c r="DM4" s="5" t="e">
        <f t="shared" ref="DM4:DM5" si="61">IE4*($X4/12)</f>
        <v>#N/A</v>
      </c>
      <c r="DN4" s="5" t="e">
        <f t="shared" ref="DN4:DN5" si="62">IF4*($X4/12)</f>
        <v>#N/A</v>
      </c>
      <c r="DO4" s="5" t="e">
        <f t="shared" ref="DO4:DO5" si="63">IG4*($X4/12)</f>
        <v>#N/A</v>
      </c>
      <c r="DP4" s="5" t="e">
        <f t="shared" ref="DP4:DP5" si="64">IH4*($X4/12)</f>
        <v>#N/A</v>
      </c>
      <c r="DQ4" s="5" t="e">
        <f t="shared" ref="DQ4:DQ5" si="65">II4*($X4/12)</f>
        <v>#N/A</v>
      </c>
      <c r="DR4" s="5" t="e">
        <f t="shared" ref="DR4:DR5" si="66">IJ4*($X4/12)</f>
        <v>#N/A</v>
      </c>
      <c r="DS4" s="5" t="e">
        <f t="shared" ref="DS4:DS5" si="67">IK4*($X4/12)</f>
        <v>#N/A</v>
      </c>
      <c r="DT4" s="5" t="e">
        <f t="shared" ref="DT4:DT5" si="68">IL4*($X4/12)</f>
        <v>#N/A</v>
      </c>
      <c r="DU4" s="5" t="e">
        <f t="shared" ref="DU4:DU5" si="69">IM4*($X4/12)</f>
        <v>#N/A</v>
      </c>
      <c r="DV4" s="5" t="e">
        <f t="shared" ref="DV4:DV5" si="70">IN4*($X4/12)</f>
        <v>#N/A</v>
      </c>
      <c r="DW4" s="5" t="e">
        <f t="shared" ref="DW4:DW5" si="71">IO4*($X4/12)</f>
        <v>#N/A</v>
      </c>
      <c r="DX4" s="5" t="e">
        <f t="shared" ref="DX4:DX5" si="72">IP4*($X4/12)</f>
        <v>#N/A</v>
      </c>
      <c r="DY4" s="5" t="e">
        <f t="shared" ref="DY4:DY5" si="73">IQ4*($X4/12)</f>
        <v>#N/A</v>
      </c>
      <c r="DZ4" s="5" t="e">
        <f t="shared" ref="DZ4:DZ5" si="74">IR4*($X4/12)</f>
        <v>#N/A</v>
      </c>
      <c r="EA4" s="5" t="e">
        <f t="shared" ref="EA4:EA5" si="75">IS4*($X4/12)</f>
        <v>#N/A</v>
      </c>
      <c r="EB4" s="5" t="e">
        <f t="shared" ref="EB4:EB5" si="76">IT4*($X4/12)</f>
        <v>#N/A</v>
      </c>
      <c r="EC4" s="5" t="e">
        <f t="shared" ref="EC4:EC5" si="77">IU4*($X4/12)</f>
        <v>#N/A</v>
      </c>
      <c r="ED4" s="5" t="e">
        <f t="shared" ref="ED4:ED5" si="78">IV4*($X4/12)</f>
        <v>#N/A</v>
      </c>
      <c r="EE4" s="5" t="e">
        <f t="shared" ref="EE4:EE5" si="79">IW4*($X4/12)</f>
        <v>#N/A</v>
      </c>
      <c r="EF4" s="5" t="e">
        <f t="shared" ref="EF4:EF5" si="80">IX4*($X4/12)</f>
        <v>#N/A</v>
      </c>
      <c r="EG4" s="5" t="e">
        <f t="shared" ref="EG4:EG5" si="81">IY4*($X4/12)</f>
        <v>#N/A</v>
      </c>
      <c r="EH4" s="5" t="e">
        <f t="shared" ref="EH4:EH5" si="82">IZ4*($X4/12)</f>
        <v>#N/A</v>
      </c>
      <c r="EI4" s="5" t="e">
        <f t="shared" ref="EI4:EI5" si="83">JA4*($X4/12)</f>
        <v>#N/A</v>
      </c>
      <c r="EJ4" s="5" t="e">
        <f t="shared" ref="EJ4:EJ5" si="84">JB4*($X4/12)</f>
        <v>#N/A</v>
      </c>
      <c r="EK4" s="5" t="e">
        <f t="shared" ref="EK4:EK5" si="85">JC4*($X4/12)</f>
        <v>#N/A</v>
      </c>
      <c r="EL4" s="5" t="e">
        <f t="shared" ref="EL4:EL5" si="86">JD4*($X4/12)</f>
        <v>#N/A</v>
      </c>
      <c r="EM4" s="5" t="e">
        <f t="shared" ref="EM4:EM5" si="87">JE4*($X4/12)</f>
        <v>#N/A</v>
      </c>
      <c r="EN4" s="5" t="e">
        <f t="shared" ref="EN4:EN5" si="88">JF4*($X4/12)</f>
        <v>#N/A</v>
      </c>
      <c r="EO4" s="5" t="e">
        <f t="shared" ref="EO4:EO5" si="89">JG4*($X4/12)</f>
        <v>#N/A</v>
      </c>
      <c r="EP4" s="5" t="e">
        <f t="shared" ref="EP4:EP5" si="90">JH4*($X4/12)</f>
        <v>#N/A</v>
      </c>
      <c r="EQ4" s="5" t="e">
        <f t="shared" ref="EQ4:EQ5" si="91">JI4*($X4/12)</f>
        <v>#N/A</v>
      </c>
      <c r="ER4" s="5" t="e">
        <f t="shared" ref="ER4:ER5" si="92">JJ4*($X4/12)</f>
        <v>#N/A</v>
      </c>
      <c r="ET4" s="5" t="e">
        <f t="shared" ref="ET4:ET5" si="93">Z4-CK4</f>
        <v>#N/A</v>
      </c>
      <c r="EU4" s="5" t="e">
        <f t="shared" ref="EU4:EU5" si="94">AA4-CL4</f>
        <v>#N/A</v>
      </c>
      <c r="EV4" s="5" t="e">
        <f t="shared" ref="EV4:EV5" si="95">AB4-CM4</f>
        <v>#N/A</v>
      </c>
      <c r="EW4" s="5" t="e">
        <f t="shared" ref="EW4:EW5" si="96">AC4-CN4</f>
        <v>#N/A</v>
      </c>
      <c r="EX4" s="5" t="e">
        <f t="shared" ref="EX4:EX5" si="97">AD4-CO4</f>
        <v>#N/A</v>
      </c>
      <c r="EY4" s="5" t="e">
        <f t="shared" ref="EY4:EY5" si="98">AE4-CP4</f>
        <v>#N/A</v>
      </c>
      <c r="EZ4" s="5" t="e">
        <f t="shared" ref="EZ4:EZ5" si="99">AF4-CQ4</f>
        <v>#N/A</v>
      </c>
      <c r="FA4" s="5" t="e">
        <f t="shared" ref="FA4:FA5" si="100">AG4-CR4</f>
        <v>#N/A</v>
      </c>
      <c r="FB4" s="5" t="e">
        <f t="shared" ref="FB4:FB5" si="101">AH4-CS4</f>
        <v>#N/A</v>
      </c>
      <c r="FC4" s="5" t="e">
        <f t="shared" ref="FC4:FC5" si="102">AI4-CT4</f>
        <v>#N/A</v>
      </c>
      <c r="FD4" s="5" t="e">
        <f t="shared" ref="FD4:FD5" si="103">AJ4-CU4</f>
        <v>#N/A</v>
      </c>
      <c r="FE4" s="5" t="e">
        <f t="shared" ref="FE4:FE5" si="104">AK4-CV4</f>
        <v>#N/A</v>
      </c>
      <c r="FF4" s="5" t="e">
        <f t="shared" ref="FF4:FF5" si="105">AL4-CW4</f>
        <v>#N/A</v>
      </c>
      <c r="FG4" s="5" t="e">
        <f t="shared" ref="FG4:FG5" si="106">AM4-CX4</f>
        <v>#N/A</v>
      </c>
      <c r="FH4" s="5" t="e">
        <f t="shared" ref="FH4:FH5" si="107">AN4-CY4</f>
        <v>#N/A</v>
      </c>
      <c r="FI4" s="5" t="e">
        <f t="shared" ref="FI4:FI5" si="108">AO4-CZ4</f>
        <v>#N/A</v>
      </c>
      <c r="FJ4" s="5" t="e">
        <f t="shared" ref="FJ4:FJ5" si="109">AP4-DA4</f>
        <v>#N/A</v>
      </c>
      <c r="FK4" s="5" t="e">
        <f t="shared" ref="FK4:FK5" si="110">AQ4-DB4</f>
        <v>#N/A</v>
      </c>
      <c r="FL4" s="5" t="e">
        <f t="shared" ref="FL4:FL5" si="111">AR4-DC4</f>
        <v>#N/A</v>
      </c>
      <c r="FM4" s="5" t="e">
        <f t="shared" ref="FM4:FM5" si="112">AS4-DD4</f>
        <v>#N/A</v>
      </c>
      <c r="FN4" s="5" t="e">
        <f t="shared" ref="FN4:FN5" si="113">AT4-DE4</f>
        <v>#N/A</v>
      </c>
      <c r="FO4" s="5" t="e">
        <f t="shared" ref="FO4:FO5" si="114">AU4-DF4</f>
        <v>#N/A</v>
      </c>
      <c r="FP4" s="5" t="e">
        <f t="shared" ref="FP4:FP5" si="115">AV4-DG4</f>
        <v>#N/A</v>
      </c>
      <c r="FQ4" s="5" t="e">
        <f t="shared" ref="FQ4:FQ5" si="116">AW4-DH4</f>
        <v>#N/A</v>
      </c>
      <c r="FR4" s="5" t="e">
        <f t="shared" ref="FR4:FR5" si="117">AX4-DI4</f>
        <v>#N/A</v>
      </c>
      <c r="FS4" s="5" t="e">
        <f t="shared" ref="FS4:FS5" si="118">AY4-DJ4</f>
        <v>#N/A</v>
      </c>
      <c r="FT4" s="5" t="e">
        <f t="shared" ref="FT4:FT5" si="119">AZ4-DK4</f>
        <v>#N/A</v>
      </c>
      <c r="FU4" s="5" t="e">
        <f t="shared" ref="FU4:FU5" si="120">BA4-DL4</f>
        <v>#N/A</v>
      </c>
      <c r="FV4" s="5" t="e">
        <f t="shared" ref="FV4:FV5" si="121">BB4-DM4</f>
        <v>#N/A</v>
      </c>
      <c r="FW4" s="5" t="e">
        <f t="shared" ref="FW4:FW5" si="122">BC4-DN4</f>
        <v>#N/A</v>
      </c>
      <c r="FX4" s="5" t="e">
        <f t="shared" ref="FX4:FX5" si="123">BD4-DO4</f>
        <v>#N/A</v>
      </c>
      <c r="FY4" s="5" t="e">
        <f t="shared" ref="FY4:FY5" si="124">BE4-DP4</f>
        <v>#N/A</v>
      </c>
      <c r="FZ4" s="5" t="e">
        <f t="shared" ref="FZ4:FZ5" si="125">BF4-DQ4</f>
        <v>#N/A</v>
      </c>
      <c r="GA4" s="5" t="e">
        <f t="shared" ref="GA4:GA5" si="126">BG4-DR4</f>
        <v>#N/A</v>
      </c>
      <c r="GB4" s="5" t="e">
        <f t="shared" ref="GB4:GB5" si="127">BH4-DS4</f>
        <v>#N/A</v>
      </c>
      <c r="GC4" s="5" t="e">
        <f t="shared" ref="GC4:GC5" si="128">BI4-DT4</f>
        <v>#N/A</v>
      </c>
      <c r="GD4" s="5" t="e">
        <f t="shared" ref="GD4:GD5" si="129">BJ4-DU4</f>
        <v>#N/A</v>
      </c>
      <c r="GE4" s="5" t="e">
        <f t="shared" ref="GE4:GE5" si="130">BK4-DV4</f>
        <v>#N/A</v>
      </c>
      <c r="GF4" s="5" t="e">
        <f t="shared" ref="GF4:GF5" si="131">BL4-DW4</f>
        <v>#N/A</v>
      </c>
      <c r="GG4" s="5" t="e">
        <f t="shared" ref="GG4:GG5" si="132">BM4-DX4</f>
        <v>#N/A</v>
      </c>
      <c r="GH4" s="5" t="e">
        <f t="shared" ref="GH4:GH5" si="133">BN4-DY4</f>
        <v>#N/A</v>
      </c>
      <c r="GI4" s="5" t="e">
        <f t="shared" ref="GI4:GI5" si="134">BO4-DZ4</f>
        <v>#N/A</v>
      </c>
      <c r="GJ4" s="5" t="e">
        <f t="shared" ref="GJ4:GJ5" si="135">BP4-EA4</f>
        <v>#N/A</v>
      </c>
      <c r="GK4" s="5" t="e">
        <f t="shared" ref="GK4:GK5" si="136">BQ4-EB4</f>
        <v>#N/A</v>
      </c>
      <c r="GL4" s="5" t="e">
        <f t="shared" ref="GL4:GL5" si="137">BR4-EC4</f>
        <v>#N/A</v>
      </c>
      <c r="GM4" s="5" t="e">
        <f t="shared" ref="GM4:GM5" si="138">BS4-ED4</f>
        <v>#N/A</v>
      </c>
      <c r="GN4" s="5" t="e">
        <f t="shared" ref="GN4:GN5" si="139">BT4-EE4</f>
        <v>#N/A</v>
      </c>
      <c r="GO4" s="5" t="e">
        <f t="shared" ref="GO4:GO5" si="140">BU4-EF4</f>
        <v>#N/A</v>
      </c>
      <c r="GP4" s="5" t="e">
        <f t="shared" ref="GP4:GP5" si="141">BV4-EG4</f>
        <v>#N/A</v>
      </c>
      <c r="GQ4" s="5" t="e">
        <f t="shared" ref="GQ4:GQ5" si="142">BW4-EH4</f>
        <v>#N/A</v>
      </c>
      <c r="GR4" s="5" t="e">
        <f t="shared" ref="GR4:GR5" si="143">BX4-EI4</f>
        <v>#N/A</v>
      </c>
      <c r="GS4" s="5" t="e">
        <f t="shared" ref="GS4:GS5" si="144">BY4-EJ4</f>
        <v>#N/A</v>
      </c>
      <c r="GT4" s="5" t="e">
        <f t="shared" ref="GT4:GT5" si="145">BZ4-EK4</f>
        <v>#N/A</v>
      </c>
      <c r="GU4" s="5" t="e">
        <f t="shared" ref="GU4:GU5" si="146">CA4-EL4</f>
        <v>#N/A</v>
      </c>
      <c r="GV4" s="5" t="e">
        <f t="shared" ref="GV4:GV5" si="147">CB4-EM4</f>
        <v>#N/A</v>
      </c>
      <c r="GW4" s="5" t="e">
        <f t="shared" ref="GW4:GW5" si="148">CC4-EN4</f>
        <v>#N/A</v>
      </c>
      <c r="GX4" s="5" t="e">
        <f t="shared" ref="GX4:GX5" si="149">CD4-EO4</f>
        <v>#N/A</v>
      </c>
      <c r="GY4" s="5" t="e">
        <f t="shared" ref="GY4:GY5" si="150">CE4-EP4</f>
        <v>#N/A</v>
      </c>
      <c r="GZ4" s="5" t="e">
        <f t="shared" ref="GZ4:GZ5" si="151">CF4-EQ4</f>
        <v>#N/A</v>
      </c>
      <c r="HA4" s="5" t="e">
        <f t="shared" ref="HA4:HA5" si="152">CG4-ER4</f>
        <v>#N/A</v>
      </c>
      <c r="HC4" s="6" t="e">
        <f t="shared" ref="HC4:HC5" si="153">V4</f>
        <v>#N/A</v>
      </c>
      <c r="HD4" s="5" t="e">
        <f t="shared" ref="HD4:HD5" si="154">V4-ET4</f>
        <v>#N/A</v>
      </c>
      <c r="HE4" s="5" t="e">
        <f t="shared" ref="HE4:HE5" si="155">HD4-EU4</f>
        <v>#N/A</v>
      </c>
      <c r="HF4" s="5" t="e">
        <f t="shared" ref="HF4:HF5" si="156">HE4-EV4</f>
        <v>#N/A</v>
      </c>
      <c r="HG4" s="5" t="e">
        <f t="shared" ref="HG4:HG5" si="157">HF4-EW4</f>
        <v>#N/A</v>
      </c>
      <c r="HH4" s="5" t="e">
        <f t="shared" ref="HH4:HH5" si="158">HG4-EX4</f>
        <v>#N/A</v>
      </c>
      <c r="HI4" s="5" t="e">
        <f t="shared" ref="HI4:HI5" si="159">HH4-EY4</f>
        <v>#N/A</v>
      </c>
      <c r="HJ4" s="5" t="e">
        <f t="shared" ref="HJ4:HJ5" si="160">HI4-EZ4</f>
        <v>#N/A</v>
      </c>
      <c r="HK4" s="5" t="e">
        <f t="shared" ref="HK4:HK5" si="161">HJ4-FA4</f>
        <v>#N/A</v>
      </c>
      <c r="HL4" s="5" t="e">
        <f t="shared" ref="HL4:HL5" si="162">HK4-FB4</f>
        <v>#N/A</v>
      </c>
      <c r="HM4" s="5" t="e">
        <f t="shared" ref="HM4:HM5" si="163">HL4-FC4</f>
        <v>#N/A</v>
      </c>
      <c r="HN4" s="5" t="e">
        <f t="shared" ref="HN4:HN5" si="164">HM4-FD4</f>
        <v>#N/A</v>
      </c>
      <c r="HO4" s="5" t="e">
        <f t="shared" ref="HO4:HO5" si="165">HN4-FE4</f>
        <v>#N/A</v>
      </c>
      <c r="HP4" s="5" t="e">
        <f t="shared" ref="HP4:HP5" si="166">HO4-FF4</f>
        <v>#N/A</v>
      </c>
      <c r="HQ4" s="5" t="e">
        <f t="shared" ref="HQ4:HQ5" si="167">HP4-FG4</f>
        <v>#N/A</v>
      </c>
      <c r="HR4" s="5" t="e">
        <f t="shared" ref="HR4:HR5" si="168">HQ4-FH4</f>
        <v>#N/A</v>
      </c>
      <c r="HS4" s="5" t="e">
        <f t="shared" ref="HS4:HS5" si="169">HR4-FI4</f>
        <v>#N/A</v>
      </c>
      <c r="HT4" s="5" t="e">
        <f t="shared" ref="HT4:HT5" si="170">HS4-FJ4</f>
        <v>#N/A</v>
      </c>
      <c r="HU4" s="5" t="e">
        <f t="shared" ref="HU4:HU5" si="171">HT4-FK4</f>
        <v>#N/A</v>
      </c>
      <c r="HV4" s="5" t="e">
        <f t="shared" ref="HV4:HV5" si="172">HU4-FL4</f>
        <v>#N/A</v>
      </c>
      <c r="HW4" s="5" t="e">
        <f t="shared" ref="HW4:HW5" si="173">HV4-FM4</f>
        <v>#N/A</v>
      </c>
      <c r="HX4" s="5" t="e">
        <f t="shared" ref="HX4:HX5" si="174">HW4-FN4</f>
        <v>#N/A</v>
      </c>
      <c r="HY4" s="5" t="e">
        <f t="shared" ref="HY4:HY5" si="175">HX4-FO4</f>
        <v>#N/A</v>
      </c>
      <c r="HZ4" s="5" t="e">
        <f t="shared" ref="HZ4:HZ5" si="176">HY4-FP4</f>
        <v>#N/A</v>
      </c>
      <c r="IA4" s="5" t="e">
        <f t="shared" ref="IA4:IA5" si="177">HZ4-FQ4</f>
        <v>#N/A</v>
      </c>
      <c r="IB4" s="5" t="e">
        <f t="shared" ref="IB4:IB5" si="178">IA4-FR4</f>
        <v>#N/A</v>
      </c>
      <c r="IC4" s="5" t="e">
        <f t="shared" ref="IC4:IC5" si="179">IB4-FS4</f>
        <v>#N/A</v>
      </c>
      <c r="ID4" s="5" t="e">
        <f t="shared" ref="ID4:ID5" si="180">IC4-FT4</f>
        <v>#N/A</v>
      </c>
      <c r="IE4" s="5" t="e">
        <f t="shared" ref="IE4:IE5" si="181">ID4-FU4</f>
        <v>#N/A</v>
      </c>
      <c r="IF4" s="5" t="e">
        <f t="shared" ref="IF4:IF5" si="182">IE4-FV4</f>
        <v>#N/A</v>
      </c>
      <c r="IG4" s="5" t="e">
        <f t="shared" ref="IG4:IG5" si="183">IF4-FW4</f>
        <v>#N/A</v>
      </c>
      <c r="IH4" s="5" t="e">
        <f t="shared" ref="IH4:IH5" si="184">IG4-FX4</f>
        <v>#N/A</v>
      </c>
      <c r="II4" s="5" t="e">
        <f t="shared" ref="II4:II5" si="185">IH4-FY4</f>
        <v>#N/A</v>
      </c>
      <c r="IJ4" s="5" t="e">
        <f t="shared" ref="IJ4:IJ5" si="186">II4-FZ4</f>
        <v>#N/A</v>
      </c>
      <c r="IK4" s="5" t="e">
        <f t="shared" ref="IK4:IK5" si="187">IJ4-GA4</f>
        <v>#N/A</v>
      </c>
      <c r="IL4" s="5" t="e">
        <f t="shared" ref="IL4:IL5" si="188">IK4-GB4</f>
        <v>#N/A</v>
      </c>
      <c r="IM4" s="5" t="e">
        <f t="shared" ref="IM4:IM5" si="189">IL4-GC4</f>
        <v>#N/A</v>
      </c>
      <c r="IN4" s="5" t="e">
        <f t="shared" ref="IN4:IN5" si="190">IM4-GD4</f>
        <v>#N/A</v>
      </c>
      <c r="IO4" s="5" t="e">
        <f t="shared" ref="IO4:IO5" si="191">IN4-GE4</f>
        <v>#N/A</v>
      </c>
      <c r="IP4" s="5" t="e">
        <f t="shared" ref="IP4:IP5" si="192">IO4-GF4</f>
        <v>#N/A</v>
      </c>
      <c r="IQ4" s="5" t="e">
        <f t="shared" ref="IQ4:IQ5" si="193">IP4-GG4</f>
        <v>#N/A</v>
      </c>
      <c r="IR4" s="5" t="e">
        <f t="shared" ref="IR4:IR5" si="194">IQ4-GH4</f>
        <v>#N/A</v>
      </c>
      <c r="IS4" s="5" t="e">
        <f t="shared" ref="IS4:IS5" si="195">IR4-GI4</f>
        <v>#N/A</v>
      </c>
      <c r="IT4" s="5" t="e">
        <f t="shared" ref="IT4:IT5" si="196">IS4-GJ4</f>
        <v>#N/A</v>
      </c>
      <c r="IU4" s="5" t="e">
        <f t="shared" ref="IU4:IU5" si="197">IT4-GK4</f>
        <v>#N/A</v>
      </c>
      <c r="IV4" s="5" t="e">
        <f t="shared" ref="IV4:IV5" si="198">IU4-GL4</f>
        <v>#N/A</v>
      </c>
      <c r="IW4" s="5" t="e">
        <f t="shared" ref="IW4:IW5" si="199">IV4-GM4</f>
        <v>#N/A</v>
      </c>
      <c r="IX4" s="5" t="e">
        <f t="shared" ref="IX4:IX5" si="200">IW4-GN4</f>
        <v>#N/A</v>
      </c>
      <c r="IY4" s="5" t="e">
        <f t="shared" ref="IY4:IY5" si="201">IX4-GO4</f>
        <v>#N/A</v>
      </c>
      <c r="IZ4" s="5" t="e">
        <f t="shared" ref="IZ4:IZ5" si="202">IY4-GP4</f>
        <v>#N/A</v>
      </c>
      <c r="JA4" s="5" t="e">
        <f t="shared" ref="JA4:JA5" si="203">IZ4-GQ4</f>
        <v>#N/A</v>
      </c>
      <c r="JB4" s="5" t="e">
        <f t="shared" ref="JB4:JB5" si="204">JA4-GR4</f>
        <v>#N/A</v>
      </c>
      <c r="JC4" s="5" t="e">
        <f t="shared" ref="JC4:JC5" si="205">JB4-GS4</f>
        <v>#N/A</v>
      </c>
      <c r="JD4" s="5" t="e">
        <f t="shared" ref="JD4:JD5" si="206">JC4-GT4</f>
        <v>#N/A</v>
      </c>
      <c r="JE4" s="5" t="e">
        <f t="shared" ref="JE4:JE5" si="207">JD4-GU4</f>
        <v>#N/A</v>
      </c>
      <c r="JF4" s="5" t="e">
        <f t="shared" ref="JF4:JF5" si="208">JE4-GV4</f>
        <v>#N/A</v>
      </c>
      <c r="JG4" s="5" t="e">
        <f t="shared" ref="JG4:JG5" si="209">JF4-GW4</f>
        <v>#N/A</v>
      </c>
      <c r="JH4" s="5" t="e">
        <f t="shared" ref="JH4:JH5" si="210">JG4-GX4</f>
        <v>#N/A</v>
      </c>
      <c r="JI4" s="5" t="e">
        <f t="shared" ref="JI4:JI5" si="211">JH4-GY4</f>
        <v>#N/A</v>
      </c>
      <c r="JJ4" s="5" t="e">
        <f t="shared" ref="JJ4:JJ5" si="212">JI4-GZ4</f>
        <v>#N/A</v>
      </c>
      <c r="JK4" s="5" t="e">
        <f t="shared" ref="JK4:JK5" si="213">JJ4-HA4</f>
        <v>#N/A</v>
      </c>
      <c r="JM4" s="19" t="e">
        <f>KC4</f>
        <v>#N/A</v>
      </c>
      <c r="JN4" s="1">
        <v>2</v>
      </c>
      <c r="JO4" s="5" t="e">
        <f>HLOOKUP(JM4,HC$2:JK4,2+JN3,0)+IF(S4&gt;0,S4,0)-IF(KE4&gt;0,KE4,0)</f>
        <v>#N/A</v>
      </c>
      <c r="JP4" s="5" t="e">
        <f>JO4*($X4/360)</f>
        <v>#N/A</v>
      </c>
      <c r="JQ4" s="17">
        <v>45828</v>
      </c>
      <c r="JR4" s="26">
        <v>45838</v>
      </c>
      <c r="JS4" s="6">
        <f>JR4-JQ4</f>
        <v>10</v>
      </c>
      <c r="JT4" s="5" t="e">
        <f>(JS4)*JP4</f>
        <v>#N/A</v>
      </c>
      <c r="JU4" s="13">
        <f t="shared" ca="1" si="20"/>
        <v>46161</v>
      </c>
      <c r="JV4" s="6" t="e">
        <f t="shared" ref="JV4:JV5" si="214">JT4+JO4</f>
        <v>#N/A</v>
      </c>
      <c r="JW4" s="6"/>
      <c r="JX4" s="6"/>
      <c r="JY4" s="6">
        <f>JX4-JW4</f>
        <v>0</v>
      </c>
      <c r="JZ4" s="10" t="e">
        <f>JY4/U4</f>
        <v>#N/A</v>
      </c>
      <c r="KA4" s="10" t="e">
        <f>JZ4-J4</f>
        <v>#N/A</v>
      </c>
      <c r="KB4" s="10" t="e">
        <f>ROUNDDOWN(JZ4,0)</f>
        <v>#N/A</v>
      </c>
      <c r="KC4" s="10" t="e">
        <f>KB4-J4</f>
        <v>#N/A</v>
      </c>
      <c r="KD4" s="5" t="e">
        <f>KB4*U4</f>
        <v>#N/A</v>
      </c>
      <c r="KE4" s="6" t="e">
        <f>JY4-KD4</f>
        <v>#N/A</v>
      </c>
    </row>
    <row r="5" spans="1:291" hidden="1" x14ac:dyDescent="0.3">
      <c r="A5" s="1" t="s">
        <v>58</v>
      </c>
      <c r="C5" s="1" t="e">
        <f>VLOOKUP(B5,DD!A:B,2,0)</f>
        <v>#N/A</v>
      </c>
      <c r="D5" s="1" t="e">
        <f>VLOOKUP(B5,DD!A:K,11,0)</f>
        <v>#N/A</v>
      </c>
      <c r="E5" s="1" t="e">
        <f>VLOOKUP(B5,DD!A:L,12,0)</f>
        <v>#N/A</v>
      </c>
      <c r="F5" s="17" t="e">
        <f>VLOOKUP(B5,DD!A:D,4,0)</f>
        <v>#N/A</v>
      </c>
      <c r="G5" s="9">
        <v>1</v>
      </c>
      <c r="H5" s="3" t="e">
        <f>VLOOKUP(B5,DD!A:E,5,0)</f>
        <v>#N/A</v>
      </c>
      <c r="I5" s="3" t="e">
        <f t="shared" si="22"/>
        <v>#N/A</v>
      </c>
      <c r="J5" s="3" t="e">
        <f>VLOOKUP(B5,DD!A:F,6,0)</f>
        <v>#N/A</v>
      </c>
      <c r="K5" s="3" t="e">
        <f>VLOOKUP(B5,DD!A:H,8,0)</f>
        <v>#N/A</v>
      </c>
      <c r="L5" s="3" t="e">
        <f>VLOOKUP(B5,DD!A:I,9,0)</f>
        <v>#N/A</v>
      </c>
      <c r="M5" s="3" t="e">
        <f>VLOOKUP(B5,DD!A:J,10,0)</f>
        <v>#N/A</v>
      </c>
      <c r="N5" s="3" t="s">
        <v>8</v>
      </c>
      <c r="O5" s="3" t="s">
        <v>9</v>
      </c>
      <c r="P5" s="4" t="e">
        <f>VLOOKUP(B5,DD!A:C,3,0)</f>
        <v>#N/A</v>
      </c>
      <c r="Q5" s="5" t="e">
        <f t="shared" si="23"/>
        <v>#N/A</v>
      </c>
      <c r="R5" s="5" t="e">
        <f t="shared" si="24"/>
        <v>#N/A</v>
      </c>
      <c r="S5" s="5" t="e">
        <f t="shared" si="25"/>
        <v>#N/A</v>
      </c>
      <c r="T5" s="6" t="e">
        <f t="shared" si="26"/>
        <v>#N/A</v>
      </c>
      <c r="U5" s="5" t="e">
        <f t="shared" si="27"/>
        <v>#N/A</v>
      </c>
      <c r="V5" s="6" t="e">
        <f t="shared" si="28"/>
        <v>#N/A</v>
      </c>
      <c r="W5" s="7" t="e">
        <f t="shared" si="29"/>
        <v>#N/A</v>
      </c>
      <c r="X5" s="8" t="e">
        <f t="shared" si="30"/>
        <v>#VALUE!</v>
      </c>
      <c r="Y5" s="6" t="e">
        <f t="shared" si="31"/>
        <v>#N/A</v>
      </c>
      <c r="Z5" s="7" t="e">
        <f t="shared" si="10"/>
        <v>#N/A</v>
      </c>
      <c r="AA5" s="7" t="e">
        <f t="shared" si="10"/>
        <v>#N/A</v>
      </c>
      <c r="AB5" s="7" t="e">
        <f t="shared" si="10"/>
        <v>#N/A</v>
      </c>
      <c r="AC5" s="7" t="e">
        <f t="shared" si="10"/>
        <v>#N/A</v>
      </c>
      <c r="AD5" s="7" t="e">
        <f t="shared" si="10"/>
        <v>#N/A</v>
      </c>
      <c r="AE5" s="7" t="e">
        <f t="shared" si="10"/>
        <v>#N/A</v>
      </c>
      <c r="AF5" s="7" t="e">
        <f t="shared" si="10"/>
        <v>#N/A</v>
      </c>
      <c r="AG5" s="7" t="e">
        <f t="shared" si="10"/>
        <v>#N/A</v>
      </c>
      <c r="AH5" s="7" t="e">
        <f t="shared" si="10"/>
        <v>#N/A</v>
      </c>
      <c r="AI5" s="7" t="e">
        <f t="shared" si="10"/>
        <v>#N/A</v>
      </c>
      <c r="AJ5" s="7" t="e">
        <f t="shared" si="10"/>
        <v>#N/A</v>
      </c>
      <c r="AK5" s="7" t="e">
        <f t="shared" si="10"/>
        <v>#N/A</v>
      </c>
      <c r="AL5" s="7" t="e">
        <f t="shared" si="10"/>
        <v>#N/A</v>
      </c>
      <c r="AM5" s="7" t="e">
        <f t="shared" si="10"/>
        <v>#N/A</v>
      </c>
      <c r="AN5" s="7" t="e">
        <f t="shared" si="10"/>
        <v>#N/A</v>
      </c>
      <c r="AO5" s="7" t="e">
        <f t="shared" si="10"/>
        <v>#N/A</v>
      </c>
      <c r="AP5" s="7" t="e">
        <f t="shared" si="10"/>
        <v>#N/A</v>
      </c>
      <c r="AQ5" s="7" t="e">
        <f t="shared" si="10"/>
        <v>#N/A</v>
      </c>
      <c r="AR5" s="7" t="e">
        <f t="shared" si="10"/>
        <v>#N/A</v>
      </c>
      <c r="AS5" s="7" t="e">
        <f t="shared" si="10"/>
        <v>#N/A</v>
      </c>
      <c r="AT5" s="7" t="e">
        <f t="shared" si="10"/>
        <v>#N/A</v>
      </c>
      <c r="AU5" s="7" t="e">
        <f t="shared" si="10"/>
        <v>#N/A</v>
      </c>
      <c r="AV5" s="7" t="e">
        <f t="shared" si="10"/>
        <v>#N/A</v>
      </c>
      <c r="AW5" s="7" t="e">
        <f t="shared" si="10"/>
        <v>#N/A</v>
      </c>
      <c r="AX5" s="7" t="e">
        <f t="shared" si="10"/>
        <v>#N/A</v>
      </c>
      <c r="AY5" s="7" t="e">
        <f t="shared" si="10"/>
        <v>#N/A</v>
      </c>
      <c r="AZ5" s="7" t="e">
        <f t="shared" si="10"/>
        <v>#N/A</v>
      </c>
      <c r="BA5" s="7" t="e">
        <f t="shared" si="10"/>
        <v>#N/A</v>
      </c>
      <c r="BB5" s="7" t="e">
        <f t="shared" si="10"/>
        <v>#N/A</v>
      </c>
      <c r="BC5" s="7" t="e">
        <f t="shared" si="10"/>
        <v>#N/A</v>
      </c>
      <c r="BD5" s="7" t="e">
        <f t="shared" si="10"/>
        <v>#N/A</v>
      </c>
      <c r="BE5" s="7" t="e">
        <f t="shared" si="10"/>
        <v>#N/A</v>
      </c>
      <c r="BF5" s="7" t="e">
        <f t="shared" si="11"/>
        <v>#N/A</v>
      </c>
      <c r="BG5" s="7" t="e">
        <f t="shared" si="11"/>
        <v>#N/A</v>
      </c>
      <c r="BH5" s="7" t="e">
        <f t="shared" si="11"/>
        <v>#N/A</v>
      </c>
      <c r="BI5" s="7" t="e">
        <f t="shared" si="11"/>
        <v>#N/A</v>
      </c>
      <c r="BJ5" s="7" t="e">
        <f t="shared" si="11"/>
        <v>#N/A</v>
      </c>
      <c r="BK5" s="7" t="e">
        <f t="shared" si="11"/>
        <v>#N/A</v>
      </c>
      <c r="BL5" s="7" t="e">
        <f t="shared" si="11"/>
        <v>#N/A</v>
      </c>
      <c r="BM5" s="7" t="e">
        <f t="shared" si="11"/>
        <v>#N/A</v>
      </c>
      <c r="BN5" s="7" t="e">
        <f t="shared" si="11"/>
        <v>#N/A</v>
      </c>
      <c r="BO5" s="7" t="e">
        <f t="shared" si="11"/>
        <v>#N/A</v>
      </c>
      <c r="BP5" s="7" t="e">
        <f t="shared" si="11"/>
        <v>#N/A</v>
      </c>
      <c r="BQ5" s="7" t="e">
        <f t="shared" si="11"/>
        <v>#N/A</v>
      </c>
      <c r="BR5" s="7" t="e">
        <f t="shared" si="11"/>
        <v>#N/A</v>
      </c>
      <c r="BS5" s="7" t="e">
        <f t="shared" si="11"/>
        <v>#N/A</v>
      </c>
      <c r="BT5" s="7" t="e">
        <f t="shared" si="11"/>
        <v>#N/A</v>
      </c>
      <c r="BU5" s="7" t="e">
        <f t="shared" si="11"/>
        <v>#N/A</v>
      </c>
      <c r="BV5" s="7" t="e">
        <f t="shared" si="11"/>
        <v>#N/A</v>
      </c>
      <c r="BW5" s="7" t="e">
        <f t="shared" si="11"/>
        <v>#N/A</v>
      </c>
      <c r="BX5" s="7" t="e">
        <f t="shared" si="11"/>
        <v>#N/A</v>
      </c>
      <c r="BY5" s="7" t="e">
        <f t="shared" si="11"/>
        <v>#N/A</v>
      </c>
      <c r="BZ5" s="7" t="e">
        <f t="shared" si="11"/>
        <v>#N/A</v>
      </c>
      <c r="CA5" s="7" t="e">
        <f t="shared" si="11"/>
        <v>#N/A</v>
      </c>
      <c r="CB5" s="7" t="e">
        <f t="shared" si="11"/>
        <v>#N/A</v>
      </c>
      <c r="CC5" s="7" t="e">
        <f t="shared" si="11"/>
        <v>#N/A</v>
      </c>
      <c r="CD5" s="7" t="e">
        <f t="shared" si="11"/>
        <v>#N/A</v>
      </c>
      <c r="CE5" s="7" t="e">
        <f t="shared" si="11"/>
        <v>#N/A</v>
      </c>
      <c r="CF5" s="7" t="e">
        <f t="shared" si="11"/>
        <v>#N/A</v>
      </c>
      <c r="CG5" s="7" t="e">
        <f t="shared" si="11"/>
        <v>#N/A</v>
      </c>
      <c r="CH5" s="6" t="e">
        <f t="shared" si="32"/>
        <v>#N/A</v>
      </c>
      <c r="CI5" s="5" t="e">
        <f t="shared" si="33"/>
        <v>#N/A</v>
      </c>
      <c r="CK5" s="5" t="e">
        <f>V5*($X5/12)</f>
        <v>#N/A</v>
      </c>
      <c r="CL5" s="5" t="e">
        <f t="shared" si="34"/>
        <v>#N/A</v>
      </c>
      <c r="CM5" s="5" t="e">
        <f t="shared" si="35"/>
        <v>#N/A</v>
      </c>
      <c r="CN5" s="5" t="e">
        <f t="shared" si="36"/>
        <v>#N/A</v>
      </c>
      <c r="CO5" s="5" t="e">
        <f t="shared" si="37"/>
        <v>#N/A</v>
      </c>
      <c r="CP5" s="5" t="e">
        <f t="shared" si="38"/>
        <v>#N/A</v>
      </c>
      <c r="CQ5" s="5" t="e">
        <f t="shared" si="39"/>
        <v>#N/A</v>
      </c>
      <c r="CR5" s="5" t="e">
        <f t="shared" si="40"/>
        <v>#N/A</v>
      </c>
      <c r="CS5" s="5" t="e">
        <f t="shared" si="41"/>
        <v>#N/A</v>
      </c>
      <c r="CT5" s="5" t="e">
        <f t="shared" si="42"/>
        <v>#N/A</v>
      </c>
      <c r="CU5" s="5" t="e">
        <f t="shared" si="43"/>
        <v>#N/A</v>
      </c>
      <c r="CV5" s="5" t="e">
        <f t="shared" si="44"/>
        <v>#N/A</v>
      </c>
      <c r="CW5" s="5" t="e">
        <f t="shared" si="45"/>
        <v>#N/A</v>
      </c>
      <c r="CX5" s="5" t="e">
        <f t="shared" si="46"/>
        <v>#N/A</v>
      </c>
      <c r="CY5" s="5" t="e">
        <f t="shared" si="47"/>
        <v>#N/A</v>
      </c>
      <c r="CZ5" s="5" t="e">
        <f t="shared" si="48"/>
        <v>#N/A</v>
      </c>
      <c r="DA5" s="5" t="e">
        <f t="shared" si="49"/>
        <v>#N/A</v>
      </c>
      <c r="DB5" s="5" t="e">
        <f t="shared" si="50"/>
        <v>#N/A</v>
      </c>
      <c r="DC5" s="5" t="e">
        <f t="shared" si="51"/>
        <v>#N/A</v>
      </c>
      <c r="DD5" s="5" t="e">
        <f t="shared" si="52"/>
        <v>#N/A</v>
      </c>
      <c r="DE5" s="5" t="e">
        <f t="shared" si="53"/>
        <v>#N/A</v>
      </c>
      <c r="DF5" s="5" t="e">
        <f t="shared" si="54"/>
        <v>#N/A</v>
      </c>
      <c r="DG5" s="5" t="e">
        <f t="shared" si="55"/>
        <v>#N/A</v>
      </c>
      <c r="DH5" s="5" t="e">
        <f t="shared" si="56"/>
        <v>#N/A</v>
      </c>
      <c r="DI5" s="5" t="e">
        <f t="shared" si="57"/>
        <v>#N/A</v>
      </c>
      <c r="DJ5" s="5" t="e">
        <f t="shared" si="58"/>
        <v>#N/A</v>
      </c>
      <c r="DK5" s="5" t="e">
        <f t="shared" si="59"/>
        <v>#N/A</v>
      </c>
      <c r="DL5" s="5" t="e">
        <f t="shared" si="60"/>
        <v>#N/A</v>
      </c>
      <c r="DM5" s="5" t="e">
        <f t="shared" si="61"/>
        <v>#N/A</v>
      </c>
      <c r="DN5" s="5" t="e">
        <f t="shared" si="62"/>
        <v>#N/A</v>
      </c>
      <c r="DO5" s="5" t="e">
        <f t="shared" si="63"/>
        <v>#N/A</v>
      </c>
      <c r="DP5" s="5" t="e">
        <f t="shared" si="64"/>
        <v>#N/A</v>
      </c>
      <c r="DQ5" s="5" t="e">
        <f t="shared" si="65"/>
        <v>#N/A</v>
      </c>
      <c r="DR5" s="5" t="e">
        <f t="shared" si="66"/>
        <v>#N/A</v>
      </c>
      <c r="DS5" s="5" t="e">
        <f t="shared" si="67"/>
        <v>#N/A</v>
      </c>
      <c r="DT5" s="5" t="e">
        <f t="shared" si="68"/>
        <v>#N/A</v>
      </c>
      <c r="DU5" s="5" t="e">
        <f t="shared" si="69"/>
        <v>#N/A</v>
      </c>
      <c r="DV5" s="5" t="e">
        <f t="shared" si="70"/>
        <v>#N/A</v>
      </c>
      <c r="DW5" s="5" t="e">
        <f t="shared" si="71"/>
        <v>#N/A</v>
      </c>
      <c r="DX5" s="5" t="e">
        <f t="shared" si="72"/>
        <v>#N/A</v>
      </c>
      <c r="DY5" s="5" t="e">
        <f t="shared" si="73"/>
        <v>#N/A</v>
      </c>
      <c r="DZ5" s="5" t="e">
        <f t="shared" si="74"/>
        <v>#N/A</v>
      </c>
      <c r="EA5" s="5" t="e">
        <f t="shared" si="75"/>
        <v>#N/A</v>
      </c>
      <c r="EB5" s="5" t="e">
        <f t="shared" si="76"/>
        <v>#N/A</v>
      </c>
      <c r="EC5" s="5" t="e">
        <f t="shared" si="77"/>
        <v>#N/A</v>
      </c>
      <c r="ED5" s="5" t="e">
        <f t="shared" si="78"/>
        <v>#N/A</v>
      </c>
      <c r="EE5" s="5" t="e">
        <f t="shared" si="79"/>
        <v>#N/A</v>
      </c>
      <c r="EF5" s="5" t="e">
        <f t="shared" si="80"/>
        <v>#N/A</v>
      </c>
      <c r="EG5" s="5" t="e">
        <f t="shared" si="81"/>
        <v>#N/A</v>
      </c>
      <c r="EH5" s="5" t="e">
        <f t="shared" si="82"/>
        <v>#N/A</v>
      </c>
      <c r="EI5" s="5" t="e">
        <f t="shared" si="83"/>
        <v>#N/A</v>
      </c>
      <c r="EJ5" s="5" t="e">
        <f t="shared" si="84"/>
        <v>#N/A</v>
      </c>
      <c r="EK5" s="5" t="e">
        <f t="shared" si="85"/>
        <v>#N/A</v>
      </c>
      <c r="EL5" s="5" t="e">
        <f t="shared" si="86"/>
        <v>#N/A</v>
      </c>
      <c r="EM5" s="5" t="e">
        <f t="shared" si="87"/>
        <v>#N/A</v>
      </c>
      <c r="EN5" s="5" t="e">
        <f t="shared" si="88"/>
        <v>#N/A</v>
      </c>
      <c r="EO5" s="5" t="e">
        <f t="shared" si="89"/>
        <v>#N/A</v>
      </c>
      <c r="EP5" s="5" t="e">
        <f t="shared" si="90"/>
        <v>#N/A</v>
      </c>
      <c r="EQ5" s="5" t="e">
        <f t="shared" si="91"/>
        <v>#N/A</v>
      </c>
      <c r="ER5" s="5" t="e">
        <f t="shared" si="92"/>
        <v>#N/A</v>
      </c>
      <c r="ET5" s="5" t="e">
        <f t="shared" si="93"/>
        <v>#N/A</v>
      </c>
      <c r="EU5" s="5" t="e">
        <f t="shared" si="94"/>
        <v>#N/A</v>
      </c>
      <c r="EV5" s="5" t="e">
        <f t="shared" si="95"/>
        <v>#N/A</v>
      </c>
      <c r="EW5" s="5" t="e">
        <f t="shared" si="96"/>
        <v>#N/A</v>
      </c>
      <c r="EX5" s="5" t="e">
        <f t="shared" si="97"/>
        <v>#N/A</v>
      </c>
      <c r="EY5" s="5" t="e">
        <f t="shared" si="98"/>
        <v>#N/A</v>
      </c>
      <c r="EZ5" s="5" t="e">
        <f t="shared" si="99"/>
        <v>#N/A</v>
      </c>
      <c r="FA5" s="5" t="e">
        <f t="shared" si="100"/>
        <v>#N/A</v>
      </c>
      <c r="FB5" s="5" t="e">
        <f t="shared" si="101"/>
        <v>#N/A</v>
      </c>
      <c r="FC5" s="5" t="e">
        <f t="shared" si="102"/>
        <v>#N/A</v>
      </c>
      <c r="FD5" s="5" t="e">
        <f t="shared" si="103"/>
        <v>#N/A</v>
      </c>
      <c r="FE5" s="5" t="e">
        <f t="shared" si="104"/>
        <v>#N/A</v>
      </c>
      <c r="FF5" s="5" t="e">
        <f t="shared" si="105"/>
        <v>#N/A</v>
      </c>
      <c r="FG5" s="5" t="e">
        <f t="shared" si="106"/>
        <v>#N/A</v>
      </c>
      <c r="FH5" s="5" t="e">
        <f t="shared" si="107"/>
        <v>#N/A</v>
      </c>
      <c r="FI5" s="5" t="e">
        <f t="shared" si="108"/>
        <v>#N/A</v>
      </c>
      <c r="FJ5" s="5" t="e">
        <f t="shared" si="109"/>
        <v>#N/A</v>
      </c>
      <c r="FK5" s="5" t="e">
        <f t="shared" si="110"/>
        <v>#N/A</v>
      </c>
      <c r="FL5" s="5" t="e">
        <f t="shared" si="111"/>
        <v>#N/A</v>
      </c>
      <c r="FM5" s="5" t="e">
        <f t="shared" si="112"/>
        <v>#N/A</v>
      </c>
      <c r="FN5" s="5" t="e">
        <f t="shared" si="113"/>
        <v>#N/A</v>
      </c>
      <c r="FO5" s="5" t="e">
        <f t="shared" si="114"/>
        <v>#N/A</v>
      </c>
      <c r="FP5" s="5" t="e">
        <f t="shared" si="115"/>
        <v>#N/A</v>
      </c>
      <c r="FQ5" s="5" t="e">
        <f t="shared" si="116"/>
        <v>#N/A</v>
      </c>
      <c r="FR5" s="5" t="e">
        <f t="shared" si="117"/>
        <v>#N/A</v>
      </c>
      <c r="FS5" s="5" t="e">
        <f t="shared" si="118"/>
        <v>#N/A</v>
      </c>
      <c r="FT5" s="5" t="e">
        <f t="shared" si="119"/>
        <v>#N/A</v>
      </c>
      <c r="FU5" s="5" t="e">
        <f t="shared" si="120"/>
        <v>#N/A</v>
      </c>
      <c r="FV5" s="5" t="e">
        <f t="shared" si="121"/>
        <v>#N/A</v>
      </c>
      <c r="FW5" s="5" t="e">
        <f t="shared" si="122"/>
        <v>#N/A</v>
      </c>
      <c r="FX5" s="5" t="e">
        <f t="shared" si="123"/>
        <v>#N/A</v>
      </c>
      <c r="FY5" s="5" t="e">
        <f t="shared" si="124"/>
        <v>#N/A</v>
      </c>
      <c r="FZ5" s="5" t="e">
        <f t="shared" si="125"/>
        <v>#N/A</v>
      </c>
      <c r="GA5" s="5" t="e">
        <f t="shared" si="126"/>
        <v>#N/A</v>
      </c>
      <c r="GB5" s="5" t="e">
        <f t="shared" si="127"/>
        <v>#N/A</v>
      </c>
      <c r="GC5" s="5" t="e">
        <f t="shared" si="128"/>
        <v>#N/A</v>
      </c>
      <c r="GD5" s="5" t="e">
        <f t="shared" si="129"/>
        <v>#N/A</v>
      </c>
      <c r="GE5" s="5" t="e">
        <f t="shared" si="130"/>
        <v>#N/A</v>
      </c>
      <c r="GF5" s="5" t="e">
        <f t="shared" si="131"/>
        <v>#N/A</v>
      </c>
      <c r="GG5" s="5" t="e">
        <f t="shared" si="132"/>
        <v>#N/A</v>
      </c>
      <c r="GH5" s="5" t="e">
        <f t="shared" si="133"/>
        <v>#N/A</v>
      </c>
      <c r="GI5" s="5" t="e">
        <f t="shared" si="134"/>
        <v>#N/A</v>
      </c>
      <c r="GJ5" s="5" t="e">
        <f t="shared" si="135"/>
        <v>#N/A</v>
      </c>
      <c r="GK5" s="5" t="e">
        <f t="shared" si="136"/>
        <v>#N/A</v>
      </c>
      <c r="GL5" s="5" t="e">
        <f t="shared" si="137"/>
        <v>#N/A</v>
      </c>
      <c r="GM5" s="5" t="e">
        <f t="shared" si="138"/>
        <v>#N/A</v>
      </c>
      <c r="GN5" s="5" t="e">
        <f t="shared" si="139"/>
        <v>#N/A</v>
      </c>
      <c r="GO5" s="5" t="e">
        <f t="shared" si="140"/>
        <v>#N/A</v>
      </c>
      <c r="GP5" s="5" t="e">
        <f t="shared" si="141"/>
        <v>#N/A</v>
      </c>
      <c r="GQ5" s="5" t="e">
        <f t="shared" si="142"/>
        <v>#N/A</v>
      </c>
      <c r="GR5" s="5" t="e">
        <f t="shared" si="143"/>
        <v>#N/A</v>
      </c>
      <c r="GS5" s="5" t="e">
        <f t="shared" si="144"/>
        <v>#N/A</v>
      </c>
      <c r="GT5" s="5" t="e">
        <f t="shared" si="145"/>
        <v>#N/A</v>
      </c>
      <c r="GU5" s="5" t="e">
        <f t="shared" si="146"/>
        <v>#N/A</v>
      </c>
      <c r="GV5" s="5" t="e">
        <f t="shared" si="147"/>
        <v>#N/A</v>
      </c>
      <c r="GW5" s="5" t="e">
        <f t="shared" si="148"/>
        <v>#N/A</v>
      </c>
      <c r="GX5" s="5" t="e">
        <f t="shared" si="149"/>
        <v>#N/A</v>
      </c>
      <c r="GY5" s="5" t="e">
        <f t="shared" si="150"/>
        <v>#N/A</v>
      </c>
      <c r="GZ5" s="5" t="e">
        <f t="shared" si="151"/>
        <v>#N/A</v>
      </c>
      <c r="HA5" s="5" t="e">
        <f t="shared" si="152"/>
        <v>#N/A</v>
      </c>
      <c r="HC5" s="6" t="e">
        <f t="shared" si="153"/>
        <v>#N/A</v>
      </c>
      <c r="HD5" s="5" t="e">
        <f t="shared" si="154"/>
        <v>#N/A</v>
      </c>
      <c r="HE5" s="5" t="e">
        <f t="shared" si="155"/>
        <v>#N/A</v>
      </c>
      <c r="HF5" s="5" t="e">
        <f t="shared" si="156"/>
        <v>#N/A</v>
      </c>
      <c r="HG5" s="5" t="e">
        <f t="shared" si="157"/>
        <v>#N/A</v>
      </c>
      <c r="HH5" s="5" t="e">
        <f t="shared" si="158"/>
        <v>#N/A</v>
      </c>
      <c r="HI5" s="5" t="e">
        <f t="shared" si="159"/>
        <v>#N/A</v>
      </c>
      <c r="HJ5" s="5" t="e">
        <f t="shared" si="160"/>
        <v>#N/A</v>
      </c>
      <c r="HK5" s="5" t="e">
        <f t="shared" si="161"/>
        <v>#N/A</v>
      </c>
      <c r="HL5" s="5" t="e">
        <f t="shared" si="162"/>
        <v>#N/A</v>
      </c>
      <c r="HM5" s="5" t="e">
        <f t="shared" si="163"/>
        <v>#N/A</v>
      </c>
      <c r="HN5" s="5" t="e">
        <f t="shared" si="164"/>
        <v>#N/A</v>
      </c>
      <c r="HO5" s="5" t="e">
        <f t="shared" si="165"/>
        <v>#N/A</v>
      </c>
      <c r="HP5" s="5" t="e">
        <f t="shared" si="166"/>
        <v>#N/A</v>
      </c>
      <c r="HQ5" s="5" t="e">
        <f t="shared" si="167"/>
        <v>#N/A</v>
      </c>
      <c r="HR5" s="5" t="e">
        <f t="shared" si="168"/>
        <v>#N/A</v>
      </c>
      <c r="HS5" s="5" t="e">
        <f t="shared" si="169"/>
        <v>#N/A</v>
      </c>
      <c r="HT5" s="5" t="e">
        <f t="shared" si="170"/>
        <v>#N/A</v>
      </c>
      <c r="HU5" s="5" t="e">
        <f t="shared" si="171"/>
        <v>#N/A</v>
      </c>
      <c r="HV5" s="5" t="e">
        <f t="shared" si="172"/>
        <v>#N/A</v>
      </c>
      <c r="HW5" s="5" t="e">
        <f t="shared" si="173"/>
        <v>#N/A</v>
      </c>
      <c r="HX5" s="5" t="e">
        <f t="shared" si="174"/>
        <v>#N/A</v>
      </c>
      <c r="HY5" s="5" t="e">
        <f t="shared" si="175"/>
        <v>#N/A</v>
      </c>
      <c r="HZ5" s="5" t="e">
        <f t="shared" si="176"/>
        <v>#N/A</v>
      </c>
      <c r="IA5" s="5" t="e">
        <f t="shared" si="177"/>
        <v>#N/A</v>
      </c>
      <c r="IB5" s="5" t="e">
        <f t="shared" si="178"/>
        <v>#N/A</v>
      </c>
      <c r="IC5" s="5" t="e">
        <f t="shared" si="179"/>
        <v>#N/A</v>
      </c>
      <c r="ID5" s="5" t="e">
        <f t="shared" si="180"/>
        <v>#N/A</v>
      </c>
      <c r="IE5" s="5" t="e">
        <f t="shared" si="181"/>
        <v>#N/A</v>
      </c>
      <c r="IF5" s="5" t="e">
        <f t="shared" si="182"/>
        <v>#N/A</v>
      </c>
      <c r="IG5" s="5" t="e">
        <f t="shared" si="183"/>
        <v>#N/A</v>
      </c>
      <c r="IH5" s="5" t="e">
        <f t="shared" si="184"/>
        <v>#N/A</v>
      </c>
      <c r="II5" s="5" t="e">
        <f t="shared" si="185"/>
        <v>#N/A</v>
      </c>
      <c r="IJ5" s="5" t="e">
        <f t="shared" si="186"/>
        <v>#N/A</v>
      </c>
      <c r="IK5" s="5" t="e">
        <f t="shared" si="187"/>
        <v>#N/A</v>
      </c>
      <c r="IL5" s="5" t="e">
        <f t="shared" si="188"/>
        <v>#N/A</v>
      </c>
      <c r="IM5" s="5" t="e">
        <f t="shared" si="189"/>
        <v>#N/A</v>
      </c>
      <c r="IN5" s="5" t="e">
        <f t="shared" si="190"/>
        <v>#N/A</v>
      </c>
      <c r="IO5" s="5" t="e">
        <f t="shared" si="191"/>
        <v>#N/A</v>
      </c>
      <c r="IP5" s="5" t="e">
        <f t="shared" si="192"/>
        <v>#N/A</v>
      </c>
      <c r="IQ5" s="5" t="e">
        <f t="shared" si="193"/>
        <v>#N/A</v>
      </c>
      <c r="IR5" s="5" t="e">
        <f t="shared" si="194"/>
        <v>#N/A</v>
      </c>
      <c r="IS5" s="5" t="e">
        <f t="shared" si="195"/>
        <v>#N/A</v>
      </c>
      <c r="IT5" s="5" t="e">
        <f t="shared" si="196"/>
        <v>#N/A</v>
      </c>
      <c r="IU5" s="5" t="e">
        <f t="shared" si="197"/>
        <v>#N/A</v>
      </c>
      <c r="IV5" s="5" t="e">
        <f t="shared" si="198"/>
        <v>#N/A</v>
      </c>
      <c r="IW5" s="5" t="e">
        <f t="shared" si="199"/>
        <v>#N/A</v>
      </c>
      <c r="IX5" s="5" t="e">
        <f t="shared" si="200"/>
        <v>#N/A</v>
      </c>
      <c r="IY5" s="5" t="e">
        <f t="shared" si="201"/>
        <v>#N/A</v>
      </c>
      <c r="IZ5" s="5" t="e">
        <f t="shared" si="202"/>
        <v>#N/A</v>
      </c>
      <c r="JA5" s="5" t="e">
        <f t="shared" si="203"/>
        <v>#N/A</v>
      </c>
      <c r="JB5" s="5" t="e">
        <f t="shared" si="204"/>
        <v>#N/A</v>
      </c>
      <c r="JC5" s="5" t="e">
        <f t="shared" si="205"/>
        <v>#N/A</v>
      </c>
      <c r="JD5" s="5" t="e">
        <f t="shared" si="206"/>
        <v>#N/A</v>
      </c>
      <c r="JE5" s="5" t="e">
        <f t="shared" si="207"/>
        <v>#N/A</v>
      </c>
      <c r="JF5" s="5" t="e">
        <f t="shared" si="208"/>
        <v>#N/A</v>
      </c>
      <c r="JG5" s="5" t="e">
        <f t="shared" si="209"/>
        <v>#N/A</v>
      </c>
      <c r="JH5" s="5" t="e">
        <f t="shared" si="210"/>
        <v>#N/A</v>
      </c>
      <c r="JI5" s="5" t="e">
        <f t="shared" si="211"/>
        <v>#N/A</v>
      </c>
      <c r="JJ5" s="5" t="e">
        <f t="shared" si="212"/>
        <v>#N/A</v>
      </c>
      <c r="JK5" s="5" t="e">
        <f t="shared" si="213"/>
        <v>#N/A</v>
      </c>
      <c r="JM5" s="19" t="e">
        <f>KC5</f>
        <v>#N/A</v>
      </c>
      <c r="JN5" s="1">
        <v>3</v>
      </c>
      <c r="JO5" s="5" t="e">
        <f>HLOOKUP(JM5,HC$2:JK5,2+JN4,0)+IF(S5&gt;0,S5,0)-IF(KE5&gt;0,KE5,0)</f>
        <v>#N/A</v>
      </c>
      <c r="JP5" s="5" t="e">
        <f>JO5*($X5/360)</f>
        <v>#N/A</v>
      </c>
      <c r="JQ5" s="17"/>
      <c r="JR5" s="26"/>
      <c r="JS5" s="6">
        <f>JR5-JQ5</f>
        <v>0</v>
      </c>
      <c r="JT5" s="5" t="e">
        <f>(JS5)*JP5</f>
        <v>#N/A</v>
      </c>
      <c r="JU5" s="13">
        <f t="shared" ca="1" si="20"/>
        <v>46161</v>
      </c>
      <c r="JV5" s="6" t="e">
        <f t="shared" si="214"/>
        <v>#N/A</v>
      </c>
      <c r="JW5" s="6"/>
      <c r="JX5" s="6"/>
      <c r="JY5" s="6">
        <f>JX5-JW5</f>
        <v>0</v>
      </c>
      <c r="JZ5" s="10" t="e">
        <f>JY5/U5</f>
        <v>#N/A</v>
      </c>
      <c r="KA5" s="10" t="e">
        <f>JZ5-J5</f>
        <v>#N/A</v>
      </c>
      <c r="KB5" s="10" t="e">
        <f>ROUNDDOWN(JZ5,0)</f>
        <v>#N/A</v>
      </c>
      <c r="KC5" s="10" t="e">
        <f>KB5-J5</f>
        <v>#N/A</v>
      </c>
      <c r="KD5" s="5" t="e">
        <f>KB5*U5</f>
        <v>#N/A</v>
      </c>
      <c r="KE5" s="6" t="e">
        <f>JY5-KD5</f>
        <v>#N/A</v>
      </c>
    </row>
    <row r="6" spans="1:291" x14ac:dyDescent="0.3">
      <c r="A6" s="1" t="s">
        <v>58</v>
      </c>
      <c r="B6" s="1">
        <v>1266508</v>
      </c>
      <c r="C6" s="1" t="e">
        <f>VLOOKUP(B6,DD!A:B,2,0)</f>
        <v>#N/A</v>
      </c>
      <c r="D6" s="1" t="e">
        <f>VLOOKUP(B6,DD!A:K,11,0)</f>
        <v>#N/A</v>
      </c>
      <c r="E6" s="1" t="e">
        <f>VLOOKUP(B6,DD!A:L,12,0)</f>
        <v>#N/A</v>
      </c>
      <c r="F6" s="17" t="e">
        <f>VLOOKUP(B6,DD!A:D,4,0)</f>
        <v>#N/A</v>
      </c>
      <c r="G6" s="9">
        <v>1</v>
      </c>
      <c r="H6" s="3" t="e">
        <f>VLOOKUP(B6,DD!A:E,5,0)</f>
        <v>#N/A</v>
      </c>
      <c r="I6" s="3" t="e">
        <f t="shared" ref="I6" si="215">H6-J6</f>
        <v>#N/A</v>
      </c>
      <c r="J6" s="3" t="e">
        <f>VLOOKUP(B6,DD!A:F,6,0)</f>
        <v>#N/A</v>
      </c>
      <c r="K6" s="3" t="e">
        <f>VLOOKUP(B6,DD!A:H,8,0)</f>
        <v>#N/A</v>
      </c>
      <c r="L6" s="3" t="e">
        <f>VLOOKUP(B6,DD!A:I,9,0)</f>
        <v>#N/A</v>
      </c>
      <c r="M6" s="3" t="e">
        <f>VLOOKUP(B6,DD!A:J,10,0)</f>
        <v>#N/A</v>
      </c>
      <c r="N6" s="3" t="s">
        <v>8</v>
      </c>
      <c r="O6" s="3" t="s">
        <v>9</v>
      </c>
      <c r="P6" s="4" t="e">
        <f>VLOOKUP(B6,DD!A:C,3,0)</f>
        <v>#N/A</v>
      </c>
      <c r="Q6" s="5" t="e">
        <f t="shared" ref="Q6" si="216">K6/100*P6</f>
        <v>#N/A</v>
      </c>
      <c r="R6" s="5" t="e">
        <f t="shared" ref="R6" si="217">L6/100*P6</f>
        <v>#N/A</v>
      </c>
      <c r="S6" s="5" t="e">
        <f t="shared" ref="S6" si="218">M6/100*(P6-Q6)</f>
        <v>#N/A</v>
      </c>
      <c r="T6" s="6" t="e">
        <f t="shared" ref="T6" si="219">Q6+R6</f>
        <v>#N/A</v>
      </c>
      <c r="U6" s="5" t="e">
        <f t="shared" ref="U6" si="220">(P6/H6)+(R6/H6)</f>
        <v>#N/A</v>
      </c>
      <c r="V6" s="6" t="e">
        <f t="shared" ref="V6" si="221">P6-Q6-S6-W6</f>
        <v>#N/A</v>
      </c>
      <c r="W6" s="7" t="e">
        <f t="shared" ref="W6" si="222">IF(J6&gt;=1,U6*J6,0)</f>
        <v>#N/A</v>
      </c>
      <c r="X6" s="8" t="e">
        <f t="shared" ref="X6" si="223">IRR(Y6:CG6)*12</f>
        <v>#VALUE!</v>
      </c>
      <c r="Y6" s="6" t="e">
        <f t="shared" ref="Y6" si="224">-V6</f>
        <v>#N/A</v>
      </c>
      <c r="Z6" s="7" t="e">
        <f t="shared" si="10"/>
        <v>#N/A</v>
      </c>
      <c r="AA6" s="7" t="e">
        <f t="shared" si="10"/>
        <v>#N/A</v>
      </c>
      <c r="AB6" s="7" t="e">
        <f t="shared" si="10"/>
        <v>#N/A</v>
      </c>
      <c r="AC6" s="7" t="e">
        <f t="shared" si="10"/>
        <v>#N/A</v>
      </c>
      <c r="AD6" s="7" t="e">
        <f t="shared" si="10"/>
        <v>#N/A</v>
      </c>
      <c r="AE6" s="7" t="e">
        <f t="shared" si="10"/>
        <v>#N/A</v>
      </c>
      <c r="AF6" s="7" t="e">
        <f t="shared" si="10"/>
        <v>#N/A</v>
      </c>
      <c r="AG6" s="7" t="e">
        <f t="shared" si="10"/>
        <v>#N/A</v>
      </c>
      <c r="AH6" s="7" t="e">
        <f t="shared" si="10"/>
        <v>#N/A</v>
      </c>
      <c r="AI6" s="7" t="e">
        <f t="shared" si="10"/>
        <v>#N/A</v>
      </c>
      <c r="AJ6" s="7" t="e">
        <f t="shared" si="10"/>
        <v>#N/A</v>
      </c>
      <c r="AK6" s="7" t="e">
        <f t="shared" si="10"/>
        <v>#N/A</v>
      </c>
      <c r="AL6" s="7" t="e">
        <f t="shared" si="10"/>
        <v>#N/A</v>
      </c>
      <c r="AM6" s="7" t="e">
        <f t="shared" si="10"/>
        <v>#N/A</v>
      </c>
      <c r="AN6" s="7" t="e">
        <f t="shared" si="10"/>
        <v>#N/A</v>
      </c>
      <c r="AO6" s="7" t="e">
        <f t="shared" si="10"/>
        <v>#N/A</v>
      </c>
      <c r="AP6" s="7" t="e">
        <f t="shared" si="10"/>
        <v>#N/A</v>
      </c>
      <c r="AQ6" s="7" t="e">
        <f t="shared" si="10"/>
        <v>#N/A</v>
      </c>
      <c r="AR6" s="7" t="e">
        <f t="shared" si="10"/>
        <v>#N/A</v>
      </c>
      <c r="AS6" s="7" t="e">
        <f t="shared" si="10"/>
        <v>#N/A</v>
      </c>
      <c r="AT6" s="7" t="e">
        <f t="shared" si="10"/>
        <v>#N/A</v>
      </c>
      <c r="AU6" s="7" t="e">
        <f t="shared" si="10"/>
        <v>#N/A</v>
      </c>
      <c r="AV6" s="7" t="e">
        <f t="shared" si="10"/>
        <v>#N/A</v>
      </c>
      <c r="AW6" s="7" t="e">
        <f t="shared" si="10"/>
        <v>#N/A</v>
      </c>
      <c r="AX6" s="7" t="e">
        <f t="shared" si="10"/>
        <v>#N/A</v>
      </c>
      <c r="AY6" s="7" t="e">
        <f t="shared" si="10"/>
        <v>#N/A</v>
      </c>
      <c r="AZ6" s="7" t="e">
        <f t="shared" si="10"/>
        <v>#N/A</v>
      </c>
      <c r="BA6" s="7" t="e">
        <f t="shared" si="10"/>
        <v>#N/A</v>
      </c>
      <c r="BB6" s="7" t="e">
        <f t="shared" si="10"/>
        <v>#N/A</v>
      </c>
      <c r="BC6" s="7" t="e">
        <f t="shared" si="10"/>
        <v>#N/A</v>
      </c>
      <c r="BD6" s="7" t="e">
        <f t="shared" si="10"/>
        <v>#N/A</v>
      </c>
      <c r="BE6" s="7" t="e">
        <f t="shared" si="10"/>
        <v>#N/A</v>
      </c>
      <c r="BF6" s="7" t="e">
        <f t="shared" si="11"/>
        <v>#N/A</v>
      </c>
      <c r="BG6" s="7" t="e">
        <f t="shared" si="11"/>
        <v>#N/A</v>
      </c>
      <c r="BH6" s="7" t="e">
        <f t="shared" si="11"/>
        <v>#N/A</v>
      </c>
      <c r="BI6" s="7" t="e">
        <f t="shared" si="11"/>
        <v>#N/A</v>
      </c>
      <c r="BJ6" s="7" t="e">
        <f t="shared" si="11"/>
        <v>#N/A</v>
      </c>
      <c r="BK6" s="7" t="e">
        <f t="shared" si="11"/>
        <v>#N/A</v>
      </c>
      <c r="BL6" s="7" t="e">
        <f t="shared" si="11"/>
        <v>#N/A</v>
      </c>
      <c r="BM6" s="7" t="e">
        <f t="shared" si="11"/>
        <v>#N/A</v>
      </c>
      <c r="BN6" s="7" t="e">
        <f t="shared" si="11"/>
        <v>#N/A</v>
      </c>
      <c r="BO6" s="7" t="e">
        <f t="shared" si="11"/>
        <v>#N/A</v>
      </c>
      <c r="BP6" s="7" t="e">
        <f t="shared" si="11"/>
        <v>#N/A</v>
      </c>
      <c r="BQ6" s="7" t="e">
        <f t="shared" si="11"/>
        <v>#N/A</v>
      </c>
      <c r="BR6" s="7" t="e">
        <f t="shared" si="11"/>
        <v>#N/A</v>
      </c>
      <c r="BS6" s="7" t="e">
        <f t="shared" si="11"/>
        <v>#N/A</v>
      </c>
      <c r="BT6" s="7" t="e">
        <f t="shared" si="11"/>
        <v>#N/A</v>
      </c>
      <c r="BU6" s="7" t="e">
        <f t="shared" si="11"/>
        <v>#N/A</v>
      </c>
      <c r="BV6" s="7" t="e">
        <f t="shared" si="11"/>
        <v>#N/A</v>
      </c>
      <c r="BW6" s="7" t="e">
        <f t="shared" si="11"/>
        <v>#N/A</v>
      </c>
      <c r="BX6" s="7" t="e">
        <f t="shared" si="11"/>
        <v>#N/A</v>
      </c>
      <c r="BY6" s="7" t="e">
        <f t="shared" si="11"/>
        <v>#N/A</v>
      </c>
      <c r="BZ6" s="7" t="e">
        <f t="shared" si="11"/>
        <v>#N/A</v>
      </c>
      <c r="CA6" s="7" t="e">
        <f t="shared" si="11"/>
        <v>#N/A</v>
      </c>
      <c r="CB6" s="7" t="e">
        <f t="shared" si="11"/>
        <v>#N/A</v>
      </c>
      <c r="CC6" s="7" t="e">
        <f t="shared" si="11"/>
        <v>#N/A</v>
      </c>
      <c r="CD6" s="7" t="e">
        <f t="shared" si="11"/>
        <v>#N/A</v>
      </c>
      <c r="CE6" s="7" t="e">
        <f t="shared" si="11"/>
        <v>#N/A</v>
      </c>
      <c r="CF6" s="7" t="e">
        <f t="shared" si="11"/>
        <v>#N/A</v>
      </c>
      <c r="CG6" s="7" t="e">
        <f t="shared" si="11"/>
        <v>#N/A</v>
      </c>
      <c r="CH6" s="6" t="e">
        <f t="shared" ref="CH6" si="225">SUM(Y6:CG6)</f>
        <v>#N/A</v>
      </c>
      <c r="CI6" s="5" t="e">
        <f t="shared" ref="CI6" si="226">CH6-T6</f>
        <v>#N/A</v>
      </c>
      <c r="CK6" s="5" t="e">
        <f>V6*($X6/12)</f>
        <v>#N/A</v>
      </c>
      <c r="CL6" s="5" t="e">
        <f t="shared" ref="CL6" si="227">HD6*($X6/12)</f>
        <v>#N/A</v>
      </c>
      <c r="CM6" s="5" t="e">
        <f t="shared" ref="CM6" si="228">HE6*($X6/12)</f>
        <v>#N/A</v>
      </c>
      <c r="CN6" s="5" t="e">
        <f t="shared" ref="CN6" si="229">HF6*($X6/12)</f>
        <v>#N/A</v>
      </c>
      <c r="CO6" s="5" t="e">
        <f t="shared" ref="CO6" si="230">HG6*($X6/12)</f>
        <v>#N/A</v>
      </c>
      <c r="CP6" s="5" t="e">
        <f t="shared" ref="CP6" si="231">HH6*($X6/12)</f>
        <v>#N/A</v>
      </c>
      <c r="CQ6" s="5" t="e">
        <f t="shared" ref="CQ6" si="232">HI6*($X6/12)</f>
        <v>#N/A</v>
      </c>
      <c r="CR6" s="5" t="e">
        <f t="shared" ref="CR6" si="233">HJ6*($X6/12)</f>
        <v>#N/A</v>
      </c>
      <c r="CS6" s="5" t="e">
        <f t="shared" ref="CS6" si="234">HK6*($X6/12)</f>
        <v>#N/A</v>
      </c>
      <c r="CT6" s="5" t="e">
        <f t="shared" ref="CT6" si="235">HL6*($X6/12)</f>
        <v>#N/A</v>
      </c>
      <c r="CU6" s="5" t="e">
        <f t="shared" ref="CU6" si="236">HM6*($X6/12)</f>
        <v>#N/A</v>
      </c>
      <c r="CV6" s="5" t="e">
        <f t="shared" ref="CV6" si="237">HN6*($X6/12)</f>
        <v>#N/A</v>
      </c>
      <c r="CW6" s="5" t="e">
        <f t="shared" ref="CW6" si="238">HO6*($X6/12)</f>
        <v>#N/A</v>
      </c>
      <c r="CX6" s="5" t="e">
        <f t="shared" ref="CX6" si="239">HP6*($X6/12)</f>
        <v>#N/A</v>
      </c>
      <c r="CY6" s="5" t="e">
        <f t="shared" ref="CY6" si="240">HQ6*($X6/12)</f>
        <v>#N/A</v>
      </c>
      <c r="CZ6" s="5" t="e">
        <f t="shared" ref="CZ6" si="241">HR6*($X6/12)</f>
        <v>#N/A</v>
      </c>
      <c r="DA6" s="5" t="e">
        <f t="shared" ref="DA6" si="242">HS6*($X6/12)</f>
        <v>#N/A</v>
      </c>
      <c r="DB6" s="5" t="e">
        <f t="shared" ref="DB6" si="243">HT6*($X6/12)</f>
        <v>#N/A</v>
      </c>
      <c r="DC6" s="5" t="e">
        <f t="shared" ref="DC6" si="244">HU6*($X6/12)</f>
        <v>#N/A</v>
      </c>
      <c r="DD6" s="5" t="e">
        <f t="shared" ref="DD6" si="245">HV6*($X6/12)</f>
        <v>#N/A</v>
      </c>
      <c r="DE6" s="5" t="e">
        <f t="shared" ref="DE6" si="246">HW6*($X6/12)</f>
        <v>#N/A</v>
      </c>
      <c r="DF6" s="5" t="e">
        <f t="shared" ref="DF6" si="247">HX6*($X6/12)</f>
        <v>#N/A</v>
      </c>
      <c r="DG6" s="5" t="e">
        <f t="shared" ref="DG6" si="248">HY6*($X6/12)</f>
        <v>#N/A</v>
      </c>
      <c r="DH6" s="5" t="e">
        <f t="shared" ref="DH6" si="249">HZ6*($X6/12)</f>
        <v>#N/A</v>
      </c>
      <c r="DI6" s="5" t="e">
        <f t="shared" ref="DI6" si="250">IA6*($X6/12)</f>
        <v>#N/A</v>
      </c>
      <c r="DJ6" s="5" t="e">
        <f t="shared" ref="DJ6" si="251">IB6*($X6/12)</f>
        <v>#N/A</v>
      </c>
      <c r="DK6" s="5" t="e">
        <f t="shared" ref="DK6" si="252">IC6*($X6/12)</f>
        <v>#N/A</v>
      </c>
      <c r="DL6" s="5" t="e">
        <f t="shared" ref="DL6" si="253">ID6*($X6/12)</f>
        <v>#N/A</v>
      </c>
      <c r="DM6" s="5" t="e">
        <f t="shared" ref="DM6" si="254">IE6*($X6/12)</f>
        <v>#N/A</v>
      </c>
      <c r="DN6" s="5" t="e">
        <f t="shared" ref="DN6" si="255">IF6*($X6/12)</f>
        <v>#N/A</v>
      </c>
      <c r="DO6" s="5" t="e">
        <f t="shared" ref="DO6" si="256">IG6*($X6/12)</f>
        <v>#N/A</v>
      </c>
      <c r="DP6" s="5" t="e">
        <f t="shared" ref="DP6" si="257">IH6*($X6/12)</f>
        <v>#N/A</v>
      </c>
      <c r="DQ6" s="5" t="e">
        <f t="shared" ref="DQ6" si="258">II6*($X6/12)</f>
        <v>#N/A</v>
      </c>
      <c r="DR6" s="5" t="e">
        <f t="shared" ref="DR6" si="259">IJ6*($X6/12)</f>
        <v>#N/A</v>
      </c>
      <c r="DS6" s="5" t="e">
        <f t="shared" ref="DS6" si="260">IK6*($X6/12)</f>
        <v>#N/A</v>
      </c>
      <c r="DT6" s="5" t="e">
        <f t="shared" ref="DT6" si="261">IL6*($X6/12)</f>
        <v>#N/A</v>
      </c>
      <c r="DU6" s="5" t="e">
        <f t="shared" ref="DU6" si="262">IM6*($X6/12)</f>
        <v>#N/A</v>
      </c>
      <c r="DV6" s="5" t="e">
        <f t="shared" ref="DV6" si="263">IN6*($X6/12)</f>
        <v>#N/A</v>
      </c>
      <c r="DW6" s="5" t="e">
        <f t="shared" ref="DW6" si="264">IO6*($X6/12)</f>
        <v>#N/A</v>
      </c>
      <c r="DX6" s="5" t="e">
        <f t="shared" ref="DX6" si="265">IP6*($X6/12)</f>
        <v>#N/A</v>
      </c>
      <c r="DY6" s="5" t="e">
        <f t="shared" ref="DY6" si="266">IQ6*($X6/12)</f>
        <v>#N/A</v>
      </c>
      <c r="DZ6" s="5" t="e">
        <f t="shared" ref="DZ6" si="267">IR6*($X6/12)</f>
        <v>#N/A</v>
      </c>
      <c r="EA6" s="5" t="e">
        <f t="shared" ref="EA6" si="268">IS6*($X6/12)</f>
        <v>#N/A</v>
      </c>
      <c r="EB6" s="5" t="e">
        <f t="shared" ref="EB6" si="269">IT6*($X6/12)</f>
        <v>#N/A</v>
      </c>
      <c r="EC6" s="5" t="e">
        <f t="shared" ref="EC6" si="270">IU6*($X6/12)</f>
        <v>#N/A</v>
      </c>
      <c r="ED6" s="5" t="e">
        <f t="shared" ref="ED6" si="271">IV6*($X6/12)</f>
        <v>#N/A</v>
      </c>
      <c r="EE6" s="5" t="e">
        <f t="shared" ref="EE6" si="272">IW6*($X6/12)</f>
        <v>#N/A</v>
      </c>
      <c r="EF6" s="5" t="e">
        <f t="shared" ref="EF6" si="273">IX6*($X6/12)</f>
        <v>#N/A</v>
      </c>
      <c r="EG6" s="5" t="e">
        <f t="shared" ref="EG6" si="274">IY6*($X6/12)</f>
        <v>#N/A</v>
      </c>
      <c r="EH6" s="5" t="e">
        <f t="shared" ref="EH6" si="275">IZ6*($X6/12)</f>
        <v>#N/A</v>
      </c>
      <c r="EI6" s="5" t="e">
        <f t="shared" ref="EI6" si="276">JA6*($X6/12)</f>
        <v>#N/A</v>
      </c>
      <c r="EJ6" s="5" t="e">
        <f t="shared" ref="EJ6" si="277">JB6*($X6/12)</f>
        <v>#N/A</v>
      </c>
      <c r="EK6" s="5" t="e">
        <f t="shared" ref="EK6" si="278">JC6*($X6/12)</f>
        <v>#N/A</v>
      </c>
      <c r="EL6" s="5" t="e">
        <f t="shared" ref="EL6" si="279">JD6*($X6/12)</f>
        <v>#N/A</v>
      </c>
      <c r="EM6" s="5" t="e">
        <f t="shared" ref="EM6" si="280">JE6*($X6/12)</f>
        <v>#N/A</v>
      </c>
      <c r="EN6" s="5" t="e">
        <f t="shared" ref="EN6" si="281">JF6*($X6/12)</f>
        <v>#N/A</v>
      </c>
      <c r="EO6" s="5" t="e">
        <f t="shared" ref="EO6" si="282">JG6*($X6/12)</f>
        <v>#N/A</v>
      </c>
      <c r="EP6" s="5" t="e">
        <f t="shared" ref="EP6" si="283">JH6*($X6/12)</f>
        <v>#N/A</v>
      </c>
      <c r="EQ6" s="5" t="e">
        <f t="shared" ref="EQ6" si="284">JI6*($X6/12)</f>
        <v>#N/A</v>
      </c>
      <c r="ER6" s="5" t="e">
        <f t="shared" ref="ER6" si="285">JJ6*($X6/12)</f>
        <v>#N/A</v>
      </c>
      <c r="ET6" s="5" t="e">
        <f t="shared" ref="ET6" si="286">Z6-CK6</f>
        <v>#N/A</v>
      </c>
      <c r="EU6" s="5" t="e">
        <f t="shared" ref="EU6" si="287">AA6-CL6</f>
        <v>#N/A</v>
      </c>
      <c r="EV6" s="5" t="e">
        <f t="shared" ref="EV6" si="288">AB6-CM6</f>
        <v>#N/A</v>
      </c>
      <c r="EW6" s="5" t="e">
        <f t="shared" ref="EW6" si="289">AC6-CN6</f>
        <v>#N/A</v>
      </c>
      <c r="EX6" s="5" t="e">
        <f t="shared" ref="EX6" si="290">AD6-CO6</f>
        <v>#N/A</v>
      </c>
      <c r="EY6" s="5" t="e">
        <f t="shared" ref="EY6" si="291">AE6-CP6</f>
        <v>#N/A</v>
      </c>
      <c r="EZ6" s="5" t="e">
        <f t="shared" ref="EZ6" si="292">AF6-CQ6</f>
        <v>#N/A</v>
      </c>
      <c r="FA6" s="5" t="e">
        <f t="shared" ref="FA6" si="293">AG6-CR6</f>
        <v>#N/A</v>
      </c>
      <c r="FB6" s="5" t="e">
        <f t="shared" ref="FB6" si="294">AH6-CS6</f>
        <v>#N/A</v>
      </c>
      <c r="FC6" s="5" t="e">
        <f t="shared" ref="FC6" si="295">AI6-CT6</f>
        <v>#N/A</v>
      </c>
      <c r="FD6" s="5" t="e">
        <f t="shared" ref="FD6" si="296">AJ6-CU6</f>
        <v>#N/A</v>
      </c>
      <c r="FE6" s="5" t="e">
        <f t="shared" ref="FE6" si="297">AK6-CV6</f>
        <v>#N/A</v>
      </c>
      <c r="FF6" s="5" t="e">
        <f t="shared" ref="FF6" si="298">AL6-CW6</f>
        <v>#N/A</v>
      </c>
      <c r="FG6" s="5" t="e">
        <f t="shared" ref="FG6" si="299">AM6-CX6</f>
        <v>#N/A</v>
      </c>
      <c r="FH6" s="5" t="e">
        <f t="shared" ref="FH6" si="300">AN6-CY6</f>
        <v>#N/A</v>
      </c>
      <c r="FI6" s="5" t="e">
        <f t="shared" ref="FI6" si="301">AO6-CZ6</f>
        <v>#N/A</v>
      </c>
      <c r="FJ6" s="5" t="e">
        <f t="shared" ref="FJ6" si="302">AP6-DA6</f>
        <v>#N/A</v>
      </c>
      <c r="FK6" s="5" t="e">
        <f t="shared" ref="FK6" si="303">AQ6-DB6</f>
        <v>#N/A</v>
      </c>
      <c r="FL6" s="5" t="e">
        <f t="shared" ref="FL6" si="304">AR6-DC6</f>
        <v>#N/A</v>
      </c>
      <c r="FM6" s="5" t="e">
        <f t="shared" ref="FM6" si="305">AS6-DD6</f>
        <v>#N/A</v>
      </c>
      <c r="FN6" s="5" t="e">
        <f t="shared" ref="FN6" si="306">AT6-DE6</f>
        <v>#N/A</v>
      </c>
      <c r="FO6" s="5" t="e">
        <f t="shared" ref="FO6" si="307">AU6-DF6</f>
        <v>#N/A</v>
      </c>
      <c r="FP6" s="5" t="e">
        <f t="shared" ref="FP6" si="308">AV6-DG6</f>
        <v>#N/A</v>
      </c>
      <c r="FQ6" s="5" t="e">
        <f t="shared" ref="FQ6" si="309">AW6-DH6</f>
        <v>#N/A</v>
      </c>
      <c r="FR6" s="5" t="e">
        <f t="shared" ref="FR6" si="310">AX6-DI6</f>
        <v>#N/A</v>
      </c>
      <c r="FS6" s="5" t="e">
        <f t="shared" ref="FS6" si="311">AY6-DJ6</f>
        <v>#N/A</v>
      </c>
      <c r="FT6" s="5" t="e">
        <f t="shared" ref="FT6" si="312">AZ6-DK6</f>
        <v>#N/A</v>
      </c>
      <c r="FU6" s="5" t="e">
        <f t="shared" ref="FU6" si="313">BA6-DL6</f>
        <v>#N/A</v>
      </c>
      <c r="FV6" s="5" t="e">
        <f t="shared" ref="FV6" si="314">BB6-DM6</f>
        <v>#N/A</v>
      </c>
      <c r="FW6" s="5" t="e">
        <f t="shared" ref="FW6" si="315">BC6-DN6</f>
        <v>#N/A</v>
      </c>
      <c r="FX6" s="5" t="e">
        <f t="shared" ref="FX6" si="316">BD6-DO6</f>
        <v>#N/A</v>
      </c>
      <c r="FY6" s="5" t="e">
        <f t="shared" ref="FY6" si="317">BE6-DP6</f>
        <v>#N/A</v>
      </c>
      <c r="FZ6" s="5" t="e">
        <f t="shared" ref="FZ6" si="318">BF6-DQ6</f>
        <v>#N/A</v>
      </c>
      <c r="GA6" s="5" t="e">
        <f t="shared" ref="GA6" si="319">BG6-DR6</f>
        <v>#N/A</v>
      </c>
      <c r="GB6" s="5" t="e">
        <f t="shared" ref="GB6" si="320">BH6-DS6</f>
        <v>#N/A</v>
      </c>
      <c r="GC6" s="5" t="e">
        <f t="shared" ref="GC6" si="321">BI6-DT6</f>
        <v>#N/A</v>
      </c>
      <c r="GD6" s="5" t="e">
        <f t="shared" ref="GD6" si="322">BJ6-DU6</f>
        <v>#N/A</v>
      </c>
      <c r="GE6" s="5" t="e">
        <f t="shared" ref="GE6" si="323">BK6-DV6</f>
        <v>#N/A</v>
      </c>
      <c r="GF6" s="5" t="e">
        <f t="shared" ref="GF6" si="324">BL6-DW6</f>
        <v>#N/A</v>
      </c>
      <c r="GG6" s="5" t="e">
        <f t="shared" ref="GG6" si="325">BM6-DX6</f>
        <v>#N/A</v>
      </c>
      <c r="GH6" s="5" t="e">
        <f t="shared" ref="GH6" si="326">BN6-DY6</f>
        <v>#N/A</v>
      </c>
      <c r="GI6" s="5" t="e">
        <f t="shared" ref="GI6" si="327">BO6-DZ6</f>
        <v>#N/A</v>
      </c>
      <c r="GJ6" s="5" t="e">
        <f t="shared" ref="GJ6" si="328">BP6-EA6</f>
        <v>#N/A</v>
      </c>
      <c r="GK6" s="5" t="e">
        <f t="shared" ref="GK6" si="329">BQ6-EB6</f>
        <v>#N/A</v>
      </c>
      <c r="GL6" s="5" t="e">
        <f t="shared" ref="GL6" si="330">BR6-EC6</f>
        <v>#N/A</v>
      </c>
      <c r="GM6" s="5" t="e">
        <f t="shared" ref="GM6" si="331">BS6-ED6</f>
        <v>#N/A</v>
      </c>
      <c r="GN6" s="5" t="e">
        <f t="shared" ref="GN6" si="332">BT6-EE6</f>
        <v>#N/A</v>
      </c>
      <c r="GO6" s="5" t="e">
        <f t="shared" ref="GO6" si="333">BU6-EF6</f>
        <v>#N/A</v>
      </c>
      <c r="GP6" s="5" t="e">
        <f t="shared" ref="GP6" si="334">BV6-EG6</f>
        <v>#N/A</v>
      </c>
      <c r="GQ6" s="5" t="e">
        <f t="shared" ref="GQ6" si="335">BW6-EH6</f>
        <v>#N/A</v>
      </c>
      <c r="GR6" s="5" t="e">
        <f t="shared" ref="GR6" si="336">BX6-EI6</f>
        <v>#N/A</v>
      </c>
      <c r="GS6" s="5" t="e">
        <f t="shared" ref="GS6" si="337">BY6-EJ6</f>
        <v>#N/A</v>
      </c>
      <c r="GT6" s="5" t="e">
        <f t="shared" ref="GT6" si="338">BZ6-EK6</f>
        <v>#N/A</v>
      </c>
      <c r="GU6" s="5" t="e">
        <f t="shared" ref="GU6" si="339">CA6-EL6</f>
        <v>#N/A</v>
      </c>
      <c r="GV6" s="5" t="e">
        <f t="shared" ref="GV6" si="340">CB6-EM6</f>
        <v>#N/A</v>
      </c>
      <c r="GW6" s="5" t="e">
        <f t="shared" ref="GW6" si="341">CC6-EN6</f>
        <v>#N/A</v>
      </c>
      <c r="GX6" s="5" t="e">
        <f t="shared" ref="GX6" si="342">CD6-EO6</f>
        <v>#N/A</v>
      </c>
      <c r="GY6" s="5" t="e">
        <f t="shared" ref="GY6" si="343">CE6-EP6</f>
        <v>#N/A</v>
      </c>
      <c r="GZ6" s="5" t="e">
        <f t="shared" ref="GZ6" si="344">CF6-EQ6</f>
        <v>#N/A</v>
      </c>
      <c r="HA6" s="5" t="e">
        <f t="shared" ref="HA6" si="345">CG6-ER6</f>
        <v>#N/A</v>
      </c>
      <c r="HC6" s="6" t="e">
        <f t="shared" ref="HC6" si="346">V6</f>
        <v>#N/A</v>
      </c>
      <c r="HD6" s="5" t="e">
        <f t="shared" ref="HD6" si="347">V6-ET6</f>
        <v>#N/A</v>
      </c>
      <c r="HE6" s="5" t="e">
        <f t="shared" ref="HE6" si="348">HD6-EU6</f>
        <v>#N/A</v>
      </c>
      <c r="HF6" s="5" t="e">
        <f t="shared" ref="HF6" si="349">HE6-EV6</f>
        <v>#N/A</v>
      </c>
      <c r="HG6" s="5" t="e">
        <f t="shared" ref="HG6" si="350">HF6-EW6</f>
        <v>#N/A</v>
      </c>
      <c r="HH6" s="5" t="e">
        <f t="shared" ref="HH6" si="351">HG6-EX6</f>
        <v>#N/A</v>
      </c>
      <c r="HI6" s="5" t="e">
        <f t="shared" ref="HI6" si="352">HH6-EY6</f>
        <v>#N/A</v>
      </c>
      <c r="HJ6" s="5" t="e">
        <f t="shared" ref="HJ6" si="353">HI6-EZ6</f>
        <v>#N/A</v>
      </c>
      <c r="HK6" s="5" t="e">
        <f t="shared" ref="HK6" si="354">HJ6-FA6</f>
        <v>#N/A</v>
      </c>
      <c r="HL6" s="5" t="e">
        <f t="shared" ref="HL6" si="355">HK6-FB6</f>
        <v>#N/A</v>
      </c>
      <c r="HM6" s="5" t="e">
        <f t="shared" ref="HM6" si="356">HL6-FC6</f>
        <v>#N/A</v>
      </c>
      <c r="HN6" s="5" t="e">
        <f t="shared" ref="HN6" si="357">HM6-FD6</f>
        <v>#N/A</v>
      </c>
      <c r="HO6" s="5" t="e">
        <f t="shared" ref="HO6" si="358">HN6-FE6</f>
        <v>#N/A</v>
      </c>
      <c r="HP6" s="5" t="e">
        <f t="shared" ref="HP6" si="359">HO6-FF6</f>
        <v>#N/A</v>
      </c>
      <c r="HQ6" s="5" t="e">
        <f t="shared" ref="HQ6" si="360">HP6-FG6</f>
        <v>#N/A</v>
      </c>
      <c r="HR6" s="5" t="e">
        <f t="shared" ref="HR6" si="361">HQ6-FH6</f>
        <v>#N/A</v>
      </c>
      <c r="HS6" s="5" t="e">
        <f t="shared" ref="HS6" si="362">HR6-FI6</f>
        <v>#N/A</v>
      </c>
      <c r="HT6" s="5" t="e">
        <f t="shared" ref="HT6" si="363">HS6-FJ6</f>
        <v>#N/A</v>
      </c>
      <c r="HU6" s="5" t="e">
        <f t="shared" ref="HU6" si="364">HT6-FK6</f>
        <v>#N/A</v>
      </c>
      <c r="HV6" s="5" t="e">
        <f t="shared" ref="HV6" si="365">HU6-FL6</f>
        <v>#N/A</v>
      </c>
      <c r="HW6" s="5" t="e">
        <f t="shared" ref="HW6" si="366">HV6-FM6</f>
        <v>#N/A</v>
      </c>
      <c r="HX6" s="5" t="e">
        <f t="shared" ref="HX6" si="367">HW6-FN6</f>
        <v>#N/A</v>
      </c>
      <c r="HY6" s="5" t="e">
        <f t="shared" ref="HY6" si="368">HX6-FO6</f>
        <v>#N/A</v>
      </c>
      <c r="HZ6" s="5" t="e">
        <f t="shared" ref="HZ6" si="369">HY6-FP6</f>
        <v>#N/A</v>
      </c>
      <c r="IA6" s="5" t="e">
        <f t="shared" ref="IA6" si="370">HZ6-FQ6</f>
        <v>#N/A</v>
      </c>
      <c r="IB6" s="5" t="e">
        <f t="shared" ref="IB6" si="371">IA6-FR6</f>
        <v>#N/A</v>
      </c>
      <c r="IC6" s="5" t="e">
        <f t="shared" ref="IC6" si="372">IB6-FS6</f>
        <v>#N/A</v>
      </c>
      <c r="ID6" s="5" t="e">
        <f t="shared" ref="ID6" si="373">IC6-FT6</f>
        <v>#N/A</v>
      </c>
      <c r="IE6" s="5" t="e">
        <f t="shared" ref="IE6" si="374">ID6-FU6</f>
        <v>#N/A</v>
      </c>
      <c r="IF6" s="5" t="e">
        <f t="shared" ref="IF6" si="375">IE6-FV6</f>
        <v>#N/A</v>
      </c>
      <c r="IG6" s="5" t="e">
        <f t="shared" ref="IG6" si="376">IF6-FW6</f>
        <v>#N/A</v>
      </c>
      <c r="IH6" s="5" t="e">
        <f t="shared" ref="IH6" si="377">IG6-FX6</f>
        <v>#N/A</v>
      </c>
      <c r="II6" s="5" t="e">
        <f t="shared" ref="II6" si="378">IH6-FY6</f>
        <v>#N/A</v>
      </c>
      <c r="IJ6" s="5" t="e">
        <f t="shared" ref="IJ6" si="379">II6-FZ6</f>
        <v>#N/A</v>
      </c>
      <c r="IK6" s="5" t="e">
        <f t="shared" ref="IK6" si="380">IJ6-GA6</f>
        <v>#N/A</v>
      </c>
      <c r="IL6" s="5" t="e">
        <f t="shared" ref="IL6" si="381">IK6-GB6</f>
        <v>#N/A</v>
      </c>
      <c r="IM6" s="5" t="e">
        <f t="shared" ref="IM6" si="382">IL6-GC6</f>
        <v>#N/A</v>
      </c>
      <c r="IN6" s="5" t="e">
        <f t="shared" ref="IN6" si="383">IM6-GD6</f>
        <v>#N/A</v>
      </c>
      <c r="IO6" s="5" t="e">
        <f t="shared" ref="IO6" si="384">IN6-GE6</f>
        <v>#N/A</v>
      </c>
      <c r="IP6" s="5" t="e">
        <f t="shared" ref="IP6" si="385">IO6-GF6</f>
        <v>#N/A</v>
      </c>
      <c r="IQ6" s="5" t="e">
        <f t="shared" ref="IQ6" si="386">IP6-GG6</f>
        <v>#N/A</v>
      </c>
      <c r="IR6" s="5" t="e">
        <f t="shared" ref="IR6" si="387">IQ6-GH6</f>
        <v>#N/A</v>
      </c>
      <c r="IS6" s="5" t="e">
        <f t="shared" ref="IS6" si="388">IR6-GI6</f>
        <v>#N/A</v>
      </c>
      <c r="IT6" s="5" t="e">
        <f t="shared" ref="IT6" si="389">IS6-GJ6</f>
        <v>#N/A</v>
      </c>
      <c r="IU6" s="5" t="e">
        <f t="shared" ref="IU6" si="390">IT6-GK6</f>
        <v>#N/A</v>
      </c>
      <c r="IV6" s="5" t="e">
        <f t="shared" ref="IV6" si="391">IU6-GL6</f>
        <v>#N/A</v>
      </c>
      <c r="IW6" s="5" t="e">
        <f t="shared" ref="IW6" si="392">IV6-GM6</f>
        <v>#N/A</v>
      </c>
      <c r="IX6" s="5" t="e">
        <f t="shared" ref="IX6" si="393">IW6-GN6</f>
        <v>#N/A</v>
      </c>
      <c r="IY6" s="5" t="e">
        <f t="shared" ref="IY6" si="394">IX6-GO6</f>
        <v>#N/A</v>
      </c>
      <c r="IZ6" s="5" t="e">
        <f t="shared" ref="IZ6" si="395">IY6-GP6</f>
        <v>#N/A</v>
      </c>
      <c r="JA6" s="5" t="e">
        <f t="shared" ref="JA6" si="396">IZ6-GQ6</f>
        <v>#N/A</v>
      </c>
      <c r="JB6" s="5" t="e">
        <f t="shared" ref="JB6" si="397">JA6-GR6</f>
        <v>#N/A</v>
      </c>
      <c r="JC6" s="5" t="e">
        <f t="shared" ref="JC6" si="398">JB6-GS6</f>
        <v>#N/A</v>
      </c>
      <c r="JD6" s="5" t="e">
        <f t="shared" ref="JD6" si="399">JC6-GT6</f>
        <v>#N/A</v>
      </c>
      <c r="JE6" s="5" t="e">
        <f t="shared" ref="JE6" si="400">JD6-GU6</f>
        <v>#N/A</v>
      </c>
      <c r="JF6" s="5" t="e">
        <f t="shared" ref="JF6" si="401">JE6-GV6</f>
        <v>#N/A</v>
      </c>
      <c r="JG6" s="5" t="e">
        <f t="shared" ref="JG6" si="402">JF6-GW6</f>
        <v>#N/A</v>
      </c>
      <c r="JH6" s="5" t="e">
        <f t="shared" ref="JH6" si="403">JG6-GX6</f>
        <v>#N/A</v>
      </c>
      <c r="JI6" s="5" t="e">
        <f t="shared" ref="JI6" si="404">JH6-GY6</f>
        <v>#N/A</v>
      </c>
      <c r="JJ6" s="5" t="e">
        <f t="shared" ref="JJ6" si="405">JI6-GZ6</f>
        <v>#N/A</v>
      </c>
      <c r="JK6" s="5" t="e">
        <f t="shared" ref="JK6" si="406">JJ6-HA6</f>
        <v>#N/A</v>
      </c>
      <c r="JM6" s="19" t="e">
        <f>KC6</f>
        <v>#N/A</v>
      </c>
      <c r="JN6" s="1">
        <v>4</v>
      </c>
      <c r="JO6" s="5" t="e">
        <f>HLOOKUP(JM6,HC$2:JK6,2+JN5,0)+IF(S6&gt;0,S6,0)-IF(KE6&gt;0,KE6,0)</f>
        <v>#N/A</v>
      </c>
      <c r="JP6" s="5" t="e">
        <f>JO6*($X6/360)</f>
        <v>#N/A</v>
      </c>
      <c r="JQ6" s="17">
        <v>45813</v>
      </c>
      <c r="JR6" s="26">
        <v>46081</v>
      </c>
      <c r="JS6" s="6">
        <f>JR6-JQ6</f>
        <v>268</v>
      </c>
      <c r="JT6" s="5" t="e">
        <f>(JS6)*JP6</f>
        <v>#N/A</v>
      </c>
      <c r="JU6" s="13">
        <f t="shared" ca="1" si="20"/>
        <v>46161</v>
      </c>
      <c r="JV6" s="6" t="e">
        <f t="shared" ref="JV6" si="407">JT6+JO6</f>
        <v>#N/A</v>
      </c>
      <c r="JW6" s="6"/>
      <c r="JX6" s="6">
        <v>25928</v>
      </c>
      <c r="JY6" s="6">
        <f>JX6-JW6</f>
        <v>25928</v>
      </c>
      <c r="JZ6" s="10" t="e">
        <f>JY6/U6</f>
        <v>#N/A</v>
      </c>
      <c r="KA6" s="10" t="e">
        <f>JZ6-J6</f>
        <v>#N/A</v>
      </c>
      <c r="KB6" s="10" t="e">
        <f>ROUNDDOWN(JZ6,0)</f>
        <v>#N/A</v>
      </c>
      <c r="KC6" s="10" t="e">
        <f>KB6-J6</f>
        <v>#N/A</v>
      </c>
      <c r="KD6" s="5" t="e">
        <f>KB6*U6</f>
        <v>#N/A</v>
      </c>
      <c r="KE6" s="6" t="e">
        <f>JY6-KD6</f>
        <v>#N/A</v>
      </c>
    </row>
    <row r="7" spans="1:291" ht="14.4" customHeight="1" x14ac:dyDescent="0.3">
      <c r="A7" s="1" t="s">
        <v>58</v>
      </c>
      <c r="C7" s="1" t="e">
        <f>VLOOKUP(B7,DD!A:B,2,0)</f>
        <v>#N/A</v>
      </c>
      <c r="D7" s="1" t="e">
        <f>VLOOKUP(B7,DD!A:K,11,0)</f>
        <v>#N/A</v>
      </c>
      <c r="E7" s="1" t="e">
        <f>VLOOKUP(B7,DD!A:L,12,0)</f>
        <v>#N/A</v>
      </c>
      <c r="F7" s="17" t="e">
        <f>VLOOKUP(B7,DD!A:D,4,0)</f>
        <v>#N/A</v>
      </c>
      <c r="G7" s="9">
        <v>1</v>
      </c>
      <c r="H7" s="3" t="e">
        <f>VLOOKUP(B7,DD!A:E,5,0)</f>
        <v>#N/A</v>
      </c>
      <c r="I7" s="3" t="e">
        <f t="shared" ref="I7" si="408">H7-J7</f>
        <v>#N/A</v>
      </c>
      <c r="J7" s="3" t="e">
        <f>VLOOKUP(B7,DD!A:F,6,0)</f>
        <v>#N/A</v>
      </c>
      <c r="K7" s="3" t="e">
        <f>VLOOKUP(B7,DD!A:H,8,0)</f>
        <v>#N/A</v>
      </c>
      <c r="L7" s="3" t="e">
        <f>VLOOKUP(B7,DD!A:I,9,0)</f>
        <v>#N/A</v>
      </c>
      <c r="M7" s="3" t="e">
        <f>VLOOKUP(B7,DD!A:J,10,0)</f>
        <v>#N/A</v>
      </c>
      <c r="N7" s="3" t="s">
        <v>8</v>
      </c>
      <c r="O7" s="3" t="s">
        <v>9</v>
      </c>
      <c r="P7" s="4" t="e">
        <f>VLOOKUP(B7,DD!A:C,3,0)</f>
        <v>#N/A</v>
      </c>
      <c r="Q7" s="5" t="e">
        <f t="shared" ref="Q7" si="409">K7/100*P7</f>
        <v>#N/A</v>
      </c>
      <c r="R7" s="5" t="e">
        <f t="shared" ref="R7" si="410">L7/100*P7</f>
        <v>#N/A</v>
      </c>
      <c r="S7" s="5" t="e">
        <f t="shared" ref="S7" si="411">M7/100*(P7-Q7)</f>
        <v>#N/A</v>
      </c>
      <c r="T7" s="6" t="e">
        <f t="shared" ref="T7" si="412">Q7+R7</f>
        <v>#N/A</v>
      </c>
      <c r="U7" s="5" t="e">
        <f t="shared" ref="U7" si="413">(P7/H7)+(R7/H7)</f>
        <v>#N/A</v>
      </c>
      <c r="V7" s="6" t="e">
        <f t="shared" ref="V7" si="414">P7-Q7-S7-W7</f>
        <v>#N/A</v>
      </c>
      <c r="W7" s="7" t="e">
        <f t="shared" ref="W7" si="415">IF(J7&gt;=1,U7*J7,0)</f>
        <v>#N/A</v>
      </c>
      <c r="X7" s="8" t="e">
        <f t="shared" ref="X7" si="416">IRR(Y7:CG7)*12</f>
        <v>#VALUE!</v>
      </c>
      <c r="Y7" s="6" t="e">
        <f t="shared" ref="Y7" si="417">-V7</f>
        <v>#N/A</v>
      </c>
      <c r="Z7" s="7" t="e">
        <f t="shared" si="10"/>
        <v>#N/A</v>
      </c>
      <c r="AA7" s="7" t="e">
        <f t="shared" si="10"/>
        <v>#N/A</v>
      </c>
      <c r="AB7" s="7" t="e">
        <f t="shared" si="10"/>
        <v>#N/A</v>
      </c>
      <c r="AC7" s="7" t="e">
        <f t="shared" si="10"/>
        <v>#N/A</v>
      </c>
      <c r="AD7" s="7" t="e">
        <f t="shared" si="10"/>
        <v>#N/A</v>
      </c>
      <c r="AE7" s="7" t="e">
        <f t="shared" si="10"/>
        <v>#N/A</v>
      </c>
      <c r="AF7" s="7" t="e">
        <f t="shared" si="10"/>
        <v>#N/A</v>
      </c>
      <c r="AG7" s="7" t="e">
        <f t="shared" si="10"/>
        <v>#N/A</v>
      </c>
      <c r="AH7" s="7" t="e">
        <f t="shared" si="10"/>
        <v>#N/A</v>
      </c>
      <c r="AI7" s="7" t="e">
        <f t="shared" si="10"/>
        <v>#N/A</v>
      </c>
      <c r="AJ7" s="7" t="e">
        <f t="shared" si="10"/>
        <v>#N/A</v>
      </c>
      <c r="AK7" s="7" t="e">
        <f t="shared" si="10"/>
        <v>#N/A</v>
      </c>
      <c r="AL7" s="7" t="e">
        <f t="shared" si="10"/>
        <v>#N/A</v>
      </c>
      <c r="AM7" s="7" t="e">
        <f t="shared" si="10"/>
        <v>#N/A</v>
      </c>
      <c r="AN7" s="7" t="e">
        <f t="shared" si="10"/>
        <v>#N/A</v>
      </c>
      <c r="AO7" s="7" t="e">
        <f t="shared" si="10"/>
        <v>#N/A</v>
      </c>
      <c r="AP7" s="7" t="e">
        <f t="shared" si="10"/>
        <v>#N/A</v>
      </c>
      <c r="AQ7" s="7" t="e">
        <f t="shared" si="10"/>
        <v>#N/A</v>
      </c>
      <c r="AR7" s="7" t="e">
        <f t="shared" si="10"/>
        <v>#N/A</v>
      </c>
      <c r="AS7" s="7" t="e">
        <f t="shared" si="10"/>
        <v>#N/A</v>
      </c>
      <c r="AT7" s="7" t="e">
        <f t="shared" si="10"/>
        <v>#N/A</v>
      </c>
      <c r="AU7" s="7" t="e">
        <f t="shared" si="10"/>
        <v>#N/A</v>
      </c>
      <c r="AV7" s="7" t="e">
        <f t="shared" si="10"/>
        <v>#N/A</v>
      </c>
      <c r="AW7" s="7" t="e">
        <f t="shared" si="10"/>
        <v>#N/A</v>
      </c>
      <c r="AX7" s="7" t="e">
        <f t="shared" si="10"/>
        <v>#N/A</v>
      </c>
      <c r="AY7" s="7" t="e">
        <f t="shared" si="10"/>
        <v>#N/A</v>
      </c>
      <c r="AZ7" s="7" t="e">
        <f t="shared" si="10"/>
        <v>#N/A</v>
      </c>
      <c r="BA7" s="7" t="e">
        <f t="shared" si="10"/>
        <v>#N/A</v>
      </c>
      <c r="BB7" s="7" t="e">
        <f t="shared" si="10"/>
        <v>#N/A</v>
      </c>
      <c r="BC7" s="7" t="e">
        <f t="shared" si="10"/>
        <v>#N/A</v>
      </c>
      <c r="BD7" s="7" t="e">
        <f t="shared" si="10"/>
        <v>#N/A</v>
      </c>
      <c r="BE7" s="7" t="e">
        <f t="shared" si="10"/>
        <v>#N/A</v>
      </c>
      <c r="BF7" s="7" t="e">
        <f t="shared" si="11"/>
        <v>#N/A</v>
      </c>
      <c r="BG7" s="7" t="e">
        <f t="shared" si="11"/>
        <v>#N/A</v>
      </c>
      <c r="BH7" s="7" t="e">
        <f t="shared" si="11"/>
        <v>#N/A</v>
      </c>
      <c r="BI7" s="7" t="e">
        <f t="shared" si="11"/>
        <v>#N/A</v>
      </c>
      <c r="BJ7" s="7" t="e">
        <f t="shared" si="11"/>
        <v>#N/A</v>
      </c>
      <c r="BK7" s="7" t="e">
        <f t="shared" si="11"/>
        <v>#N/A</v>
      </c>
      <c r="BL7" s="7" t="e">
        <f t="shared" si="11"/>
        <v>#N/A</v>
      </c>
      <c r="BM7" s="7" t="e">
        <f t="shared" si="11"/>
        <v>#N/A</v>
      </c>
      <c r="BN7" s="7" t="e">
        <f t="shared" si="11"/>
        <v>#N/A</v>
      </c>
      <c r="BO7" s="7" t="e">
        <f t="shared" si="11"/>
        <v>#N/A</v>
      </c>
      <c r="BP7" s="7" t="e">
        <f t="shared" si="11"/>
        <v>#N/A</v>
      </c>
      <c r="BQ7" s="7" t="e">
        <f t="shared" si="11"/>
        <v>#N/A</v>
      </c>
      <c r="BR7" s="7" t="e">
        <f t="shared" si="11"/>
        <v>#N/A</v>
      </c>
      <c r="BS7" s="7" t="e">
        <f t="shared" si="11"/>
        <v>#N/A</v>
      </c>
      <c r="BT7" s="7" t="e">
        <f t="shared" si="11"/>
        <v>#N/A</v>
      </c>
      <c r="BU7" s="7" t="e">
        <f t="shared" si="11"/>
        <v>#N/A</v>
      </c>
      <c r="BV7" s="7" t="e">
        <f t="shared" si="11"/>
        <v>#N/A</v>
      </c>
      <c r="BW7" s="7" t="e">
        <f t="shared" si="11"/>
        <v>#N/A</v>
      </c>
      <c r="BX7" s="7" t="e">
        <f t="shared" si="11"/>
        <v>#N/A</v>
      </c>
      <c r="BY7" s="7" t="e">
        <f t="shared" si="11"/>
        <v>#N/A</v>
      </c>
      <c r="BZ7" s="7" t="e">
        <f t="shared" si="11"/>
        <v>#N/A</v>
      </c>
      <c r="CA7" s="7" t="e">
        <f t="shared" si="11"/>
        <v>#N/A</v>
      </c>
      <c r="CB7" s="7" t="e">
        <f t="shared" si="11"/>
        <v>#N/A</v>
      </c>
      <c r="CC7" s="7" t="e">
        <f t="shared" si="11"/>
        <v>#N/A</v>
      </c>
      <c r="CD7" s="7" t="e">
        <f t="shared" si="11"/>
        <v>#N/A</v>
      </c>
      <c r="CE7" s="7" t="e">
        <f t="shared" si="11"/>
        <v>#N/A</v>
      </c>
      <c r="CF7" s="7" t="e">
        <f t="shared" si="11"/>
        <v>#N/A</v>
      </c>
      <c r="CG7" s="7" t="e">
        <f t="shared" si="11"/>
        <v>#N/A</v>
      </c>
      <c r="CH7" s="6" t="e">
        <f t="shared" ref="CH7" si="418">SUM(Y7:CG7)</f>
        <v>#N/A</v>
      </c>
      <c r="CI7" s="5" t="e">
        <f t="shared" ref="CI7" si="419">CH7-T7</f>
        <v>#N/A</v>
      </c>
      <c r="CK7" s="5" t="e">
        <f>V7*($X7/12)</f>
        <v>#N/A</v>
      </c>
      <c r="CL7" s="5" t="e">
        <f t="shared" ref="CL7" si="420">HD7*($X7/12)</f>
        <v>#N/A</v>
      </c>
      <c r="CM7" s="5" t="e">
        <f t="shared" ref="CM7" si="421">HE7*($X7/12)</f>
        <v>#N/A</v>
      </c>
      <c r="CN7" s="5" t="e">
        <f t="shared" ref="CN7" si="422">HF7*($X7/12)</f>
        <v>#N/A</v>
      </c>
      <c r="CO7" s="5" t="e">
        <f t="shared" ref="CO7" si="423">HG7*($X7/12)</f>
        <v>#N/A</v>
      </c>
      <c r="CP7" s="5" t="e">
        <f t="shared" ref="CP7" si="424">HH7*($X7/12)</f>
        <v>#N/A</v>
      </c>
      <c r="CQ7" s="5" t="e">
        <f t="shared" ref="CQ7" si="425">HI7*($X7/12)</f>
        <v>#N/A</v>
      </c>
      <c r="CR7" s="5" t="e">
        <f t="shared" ref="CR7" si="426">HJ7*($X7/12)</f>
        <v>#N/A</v>
      </c>
      <c r="CS7" s="5" t="e">
        <f t="shared" ref="CS7" si="427">HK7*($X7/12)</f>
        <v>#N/A</v>
      </c>
      <c r="CT7" s="5" t="e">
        <f t="shared" ref="CT7" si="428">HL7*($X7/12)</f>
        <v>#N/A</v>
      </c>
      <c r="CU7" s="5" t="e">
        <f t="shared" ref="CU7" si="429">HM7*($X7/12)</f>
        <v>#N/A</v>
      </c>
      <c r="CV7" s="5" t="e">
        <f t="shared" ref="CV7" si="430">HN7*($X7/12)</f>
        <v>#N/A</v>
      </c>
      <c r="CW7" s="5" t="e">
        <f t="shared" ref="CW7" si="431">HO7*($X7/12)</f>
        <v>#N/A</v>
      </c>
      <c r="CX7" s="5" t="e">
        <f t="shared" ref="CX7" si="432">HP7*($X7/12)</f>
        <v>#N/A</v>
      </c>
      <c r="CY7" s="5" t="e">
        <f t="shared" ref="CY7" si="433">HQ7*($X7/12)</f>
        <v>#N/A</v>
      </c>
      <c r="CZ7" s="5" t="e">
        <f t="shared" ref="CZ7" si="434">HR7*($X7/12)</f>
        <v>#N/A</v>
      </c>
      <c r="DA7" s="5" t="e">
        <f t="shared" ref="DA7" si="435">HS7*($X7/12)</f>
        <v>#N/A</v>
      </c>
      <c r="DB7" s="5" t="e">
        <f t="shared" ref="DB7" si="436">HT7*($X7/12)</f>
        <v>#N/A</v>
      </c>
      <c r="DC7" s="5" t="e">
        <f t="shared" ref="DC7" si="437">HU7*($X7/12)</f>
        <v>#N/A</v>
      </c>
      <c r="DD7" s="5" t="e">
        <f t="shared" ref="DD7" si="438">HV7*($X7/12)</f>
        <v>#N/A</v>
      </c>
      <c r="DE7" s="5" t="e">
        <f t="shared" ref="DE7" si="439">HW7*($X7/12)</f>
        <v>#N/A</v>
      </c>
      <c r="DF7" s="5" t="e">
        <f t="shared" ref="DF7" si="440">HX7*($X7/12)</f>
        <v>#N/A</v>
      </c>
      <c r="DG7" s="5" t="e">
        <f t="shared" ref="DG7" si="441">HY7*($X7/12)</f>
        <v>#N/A</v>
      </c>
      <c r="DH7" s="5" t="e">
        <f t="shared" ref="DH7" si="442">HZ7*($X7/12)</f>
        <v>#N/A</v>
      </c>
      <c r="DI7" s="5" t="e">
        <f t="shared" ref="DI7" si="443">IA7*($X7/12)</f>
        <v>#N/A</v>
      </c>
      <c r="DJ7" s="5" t="e">
        <f t="shared" ref="DJ7" si="444">IB7*($X7/12)</f>
        <v>#N/A</v>
      </c>
      <c r="DK7" s="5" t="e">
        <f t="shared" ref="DK7" si="445">IC7*($X7/12)</f>
        <v>#N/A</v>
      </c>
      <c r="DL7" s="5" t="e">
        <f t="shared" ref="DL7" si="446">ID7*($X7/12)</f>
        <v>#N/A</v>
      </c>
      <c r="DM7" s="5" t="e">
        <f t="shared" ref="DM7" si="447">IE7*($X7/12)</f>
        <v>#N/A</v>
      </c>
      <c r="DN7" s="5" t="e">
        <f t="shared" ref="DN7" si="448">IF7*($X7/12)</f>
        <v>#N/A</v>
      </c>
      <c r="DO7" s="5" t="e">
        <f t="shared" ref="DO7" si="449">IG7*($X7/12)</f>
        <v>#N/A</v>
      </c>
      <c r="DP7" s="5" t="e">
        <f t="shared" ref="DP7" si="450">IH7*($X7/12)</f>
        <v>#N/A</v>
      </c>
      <c r="DQ7" s="5" t="e">
        <f t="shared" ref="DQ7" si="451">II7*($X7/12)</f>
        <v>#N/A</v>
      </c>
      <c r="DR7" s="5" t="e">
        <f t="shared" ref="DR7" si="452">IJ7*($X7/12)</f>
        <v>#N/A</v>
      </c>
      <c r="DS7" s="5" t="e">
        <f t="shared" ref="DS7" si="453">IK7*($X7/12)</f>
        <v>#N/A</v>
      </c>
      <c r="DT7" s="5" t="e">
        <f t="shared" ref="DT7" si="454">IL7*($X7/12)</f>
        <v>#N/A</v>
      </c>
      <c r="DU7" s="5" t="e">
        <f t="shared" ref="DU7" si="455">IM7*($X7/12)</f>
        <v>#N/A</v>
      </c>
      <c r="DV7" s="5" t="e">
        <f t="shared" ref="DV7" si="456">IN7*($X7/12)</f>
        <v>#N/A</v>
      </c>
      <c r="DW7" s="5" t="e">
        <f t="shared" ref="DW7" si="457">IO7*($X7/12)</f>
        <v>#N/A</v>
      </c>
      <c r="DX7" s="5" t="e">
        <f t="shared" ref="DX7" si="458">IP7*($X7/12)</f>
        <v>#N/A</v>
      </c>
      <c r="DY7" s="5" t="e">
        <f t="shared" ref="DY7" si="459">IQ7*($X7/12)</f>
        <v>#N/A</v>
      </c>
      <c r="DZ7" s="5" t="e">
        <f t="shared" ref="DZ7" si="460">IR7*($X7/12)</f>
        <v>#N/A</v>
      </c>
      <c r="EA7" s="5" t="e">
        <f t="shared" ref="EA7" si="461">IS7*($X7/12)</f>
        <v>#N/A</v>
      </c>
      <c r="EB7" s="5" t="e">
        <f t="shared" ref="EB7" si="462">IT7*($X7/12)</f>
        <v>#N/A</v>
      </c>
      <c r="EC7" s="5" t="e">
        <f t="shared" ref="EC7" si="463">IU7*($X7/12)</f>
        <v>#N/A</v>
      </c>
      <c r="ED7" s="5" t="e">
        <f t="shared" ref="ED7" si="464">IV7*($X7/12)</f>
        <v>#N/A</v>
      </c>
      <c r="EE7" s="5" t="e">
        <f t="shared" ref="EE7" si="465">IW7*($X7/12)</f>
        <v>#N/A</v>
      </c>
      <c r="EF7" s="5" t="e">
        <f t="shared" ref="EF7" si="466">IX7*($X7/12)</f>
        <v>#N/A</v>
      </c>
      <c r="EG7" s="5" t="e">
        <f t="shared" ref="EG7" si="467">IY7*($X7/12)</f>
        <v>#N/A</v>
      </c>
      <c r="EH7" s="5" t="e">
        <f t="shared" ref="EH7" si="468">IZ7*($X7/12)</f>
        <v>#N/A</v>
      </c>
      <c r="EI7" s="5" t="e">
        <f t="shared" ref="EI7" si="469">JA7*($X7/12)</f>
        <v>#N/A</v>
      </c>
      <c r="EJ7" s="5" t="e">
        <f t="shared" ref="EJ7" si="470">JB7*($X7/12)</f>
        <v>#N/A</v>
      </c>
      <c r="EK7" s="5" t="e">
        <f t="shared" ref="EK7" si="471">JC7*($X7/12)</f>
        <v>#N/A</v>
      </c>
      <c r="EL7" s="5" t="e">
        <f t="shared" ref="EL7" si="472">JD7*($X7/12)</f>
        <v>#N/A</v>
      </c>
      <c r="EM7" s="5" t="e">
        <f t="shared" ref="EM7" si="473">JE7*($X7/12)</f>
        <v>#N/A</v>
      </c>
      <c r="EN7" s="5" t="e">
        <f t="shared" ref="EN7" si="474">JF7*($X7/12)</f>
        <v>#N/A</v>
      </c>
      <c r="EO7" s="5" t="e">
        <f t="shared" ref="EO7" si="475">JG7*($X7/12)</f>
        <v>#N/A</v>
      </c>
      <c r="EP7" s="5" t="e">
        <f t="shared" ref="EP7" si="476">JH7*($X7/12)</f>
        <v>#N/A</v>
      </c>
      <c r="EQ7" s="5" t="e">
        <f t="shared" ref="EQ7" si="477">JI7*($X7/12)</f>
        <v>#N/A</v>
      </c>
      <c r="ER7" s="5" t="e">
        <f t="shared" ref="ER7" si="478">JJ7*($X7/12)</f>
        <v>#N/A</v>
      </c>
      <c r="ET7" s="5" t="e">
        <f t="shared" ref="ET7" si="479">Z7-CK7</f>
        <v>#N/A</v>
      </c>
      <c r="EU7" s="5" t="e">
        <f t="shared" ref="EU7" si="480">AA7-CL7</f>
        <v>#N/A</v>
      </c>
      <c r="EV7" s="5" t="e">
        <f t="shared" ref="EV7" si="481">AB7-CM7</f>
        <v>#N/A</v>
      </c>
      <c r="EW7" s="5" t="e">
        <f t="shared" ref="EW7" si="482">AC7-CN7</f>
        <v>#N/A</v>
      </c>
      <c r="EX7" s="5" t="e">
        <f t="shared" ref="EX7" si="483">AD7-CO7</f>
        <v>#N/A</v>
      </c>
      <c r="EY7" s="5" t="e">
        <f t="shared" ref="EY7" si="484">AE7-CP7</f>
        <v>#N/A</v>
      </c>
      <c r="EZ7" s="5" t="e">
        <f t="shared" ref="EZ7" si="485">AF7-CQ7</f>
        <v>#N/A</v>
      </c>
      <c r="FA7" s="5" t="e">
        <f t="shared" ref="FA7" si="486">AG7-CR7</f>
        <v>#N/A</v>
      </c>
      <c r="FB7" s="5" t="e">
        <f t="shared" ref="FB7" si="487">AH7-CS7</f>
        <v>#N/A</v>
      </c>
      <c r="FC7" s="5" t="e">
        <f t="shared" ref="FC7" si="488">AI7-CT7</f>
        <v>#N/A</v>
      </c>
      <c r="FD7" s="5" t="e">
        <f t="shared" ref="FD7" si="489">AJ7-CU7</f>
        <v>#N/A</v>
      </c>
      <c r="FE7" s="5" t="e">
        <f t="shared" ref="FE7" si="490">AK7-CV7</f>
        <v>#N/A</v>
      </c>
      <c r="FF7" s="5" t="e">
        <f t="shared" ref="FF7" si="491">AL7-CW7</f>
        <v>#N/A</v>
      </c>
      <c r="FG7" s="5" t="e">
        <f t="shared" ref="FG7" si="492">AM7-CX7</f>
        <v>#N/A</v>
      </c>
      <c r="FH7" s="5" t="e">
        <f t="shared" ref="FH7" si="493">AN7-CY7</f>
        <v>#N/A</v>
      </c>
      <c r="FI7" s="5" t="e">
        <f t="shared" ref="FI7" si="494">AO7-CZ7</f>
        <v>#N/A</v>
      </c>
      <c r="FJ7" s="5" t="e">
        <f t="shared" ref="FJ7" si="495">AP7-DA7</f>
        <v>#N/A</v>
      </c>
      <c r="FK7" s="5" t="e">
        <f t="shared" ref="FK7" si="496">AQ7-DB7</f>
        <v>#N/A</v>
      </c>
      <c r="FL7" s="5" t="e">
        <f t="shared" ref="FL7" si="497">AR7-DC7</f>
        <v>#N/A</v>
      </c>
      <c r="FM7" s="5" t="e">
        <f t="shared" ref="FM7" si="498">AS7-DD7</f>
        <v>#N/A</v>
      </c>
      <c r="FN7" s="5" t="e">
        <f t="shared" ref="FN7" si="499">AT7-DE7</f>
        <v>#N/A</v>
      </c>
      <c r="FO7" s="5" t="e">
        <f t="shared" ref="FO7" si="500">AU7-DF7</f>
        <v>#N/A</v>
      </c>
      <c r="FP7" s="5" t="e">
        <f t="shared" ref="FP7" si="501">AV7-DG7</f>
        <v>#N/A</v>
      </c>
      <c r="FQ7" s="5" t="e">
        <f t="shared" ref="FQ7" si="502">AW7-DH7</f>
        <v>#N/A</v>
      </c>
      <c r="FR7" s="5" t="e">
        <f t="shared" ref="FR7" si="503">AX7-DI7</f>
        <v>#N/A</v>
      </c>
      <c r="FS7" s="5" t="e">
        <f t="shared" ref="FS7" si="504">AY7-DJ7</f>
        <v>#N/A</v>
      </c>
      <c r="FT7" s="5" t="e">
        <f t="shared" ref="FT7" si="505">AZ7-DK7</f>
        <v>#N/A</v>
      </c>
      <c r="FU7" s="5" t="e">
        <f t="shared" ref="FU7" si="506">BA7-DL7</f>
        <v>#N/A</v>
      </c>
      <c r="FV7" s="5" t="e">
        <f t="shared" ref="FV7" si="507">BB7-DM7</f>
        <v>#N/A</v>
      </c>
      <c r="FW7" s="5" t="e">
        <f t="shared" ref="FW7" si="508">BC7-DN7</f>
        <v>#N/A</v>
      </c>
      <c r="FX7" s="5" t="e">
        <f t="shared" ref="FX7" si="509">BD7-DO7</f>
        <v>#N/A</v>
      </c>
      <c r="FY7" s="5" t="e">
        <f t="shared" ref="FY7" si="510">BE7-DP7</f>
        <v>#N/A</v>
      </c>
      <c r="FZ7" s="5" t="e">
        <f t="shared" ref="FZ7" si="511">BF7-DQ7</f>
        <v>#N/A</v>
      </c>
      <c r="GA7" s="5" t="e">
        <f t="shared" ref="GA7" si="512">BG7-DR7</f>
        <v>#N/A</v>
      </c>
      <c r="GB7" s="5" t="e">
        <f t="shared" ref="GB7" si="513">BH7-DS7</f>
        <v>#N/A</v>
      </c>
      <c r="GC7" s="5" t="e">
        <f t="shared" ref="GC7" si="514">BI7-DT7</f>
        <v>#N/A</v>
      </c>
      <c r="GD7" s="5" t="e">
        <f t="shared" ref="GD7" si="515">BJ7-DU7</f>
        <v>#N/A</v>
      </c>
      <c r="GE7" s="5" t="e">
        <f t="shared" ref="GE7" si="516">BK7-DV7</f>
        <v>#N/A</v>
      </c>
      <c r="GF7" s="5" t="e">
        <f t="shared" ref="GF7" si="517">BL7-DW7</f>
        <v>#N/A</v>
      </c>
      <c r="GG7" s="5" t="e">
        <f t="shared" ref="GG7" si="518">BM7-DX7</f>
        <v>#N/A</v>
      </c>
      <c r="GH7" s="5" t="e">
        <f t="shared" ref="GH7" si="519">BN7-DY7</f>
        <v>#N/A</v>
      </c>
      <c r="GI7" s="5" t="e">
        <f t="shared" ref="GI7" si="520">BO7-DZ7</f>
        <v>#N/A</v>
      </c>
      <c r="GJ7" s="5" t="e">
        <f t="shared" ref="GJ7" si="521">BP7-EA7</f>
        <v>#N/A</v>
      </c>
      <c r="GK7" s="5" t="e">
        <f t="shared" ref="GK7" si="522">BQ7-EB7</f>
        <v>#N/A</v>
      </c>
      <c r="GL7" s="5" t="e">
        <f t="shared" ref="GL7" si="523">BR7-EC7</f>
        <v>#N/A</v>
      </c>
      <c r="GM7" s="5" t="e">
        <f t="shared" ref="GM7" si="524">BS7-ED7</f>
        <v>#N/A</v>
      </c>
      <c r="GN7" s="5" t="e">
        <f t="shared" ref="GN7" si="525">BT7-EE7</f>
        <v>#N/A</v>
      </c>
      <c r="GO7" s="5" t="e">
        <f t="shared" ref="GO7" si="526">BU7-EF7</f>
        <v>#N/A</v>
      </c>
      <c r="GP7" s="5" t="e">
        <f t="shared" ref="GP7" si="527">BV7-EG7</f>
        <v>#N/A</v>
      </c>
      <c r="GQ7" s="5" t="e">
        <f t="shared" ref="GQ7" si="528">BW7-EH7</f>
        <v>#N/A</v>
      </c>
      <c r="GR7" s="5" t="e">
        <f t="shared" ref="GR7" si="529">BX7-EI7</f>
        <v>#N/A</v>
      </c>
      <c r="GS7" s="5" t="e">
        <f t="shared" ref="GS7" si="530">BY7-EJ7</f>
        <v>#N/A</v>
      </c>
      <c r="GT7" s="5" t="e">
        <f t="shared" ref="GT7" si="531">BZ7-EK7</f>
        <v>#N/A</v>
      </c>
      <c r="GU7" s="5" t="e">
        <f t="shared" ref="GU7" si="532">CA7-EL7</f>
        <v>#N/A</v>
      </c>
      <c r="GV7" s="5" t="e">
        <f t="shared" ref="GV7" si="533">CB7-EM7</f>
        <v>#N/A</v>
      </c>
      <c r="GW7" s="5" t="e">
        <f t="shared" ref="GW7" si="534">CC7-EN7</f>
        <v>#N/A</v>
      </c>
      <c r="GX7" s="5" t="e">
        <f t="shared" ref="GX7" si="535">CD7-EO7</f>
        <v>#N/A</v>
      </c>
      <c r="GY7" s="5" t="e">
        <f t="shared" ref="GY7" si="536">CE7-EP7</f>
        <v>#N/A</v>
      </c>
      <c r="GZ7" s="5" t="e">
        <f t="shared" ref="GZ7" si="537">CF7-EQ7</f>
        <v>#N/A</v>
      </c>
      <c r="HA7" s="5" t="e">
        <f t="shared" ref="HA7" si="538">CG7-ER7</f>
        <v>#N/A</v>
      </c>
      <c r="HC7" s="6" t="e">
        <f t="shared" ref="HC7" si="539">V7</f>
        <v>#N/A</v>
      </c>
      <c r="HD7" s="5" t="e">
        <f t="shared" ref="HD7" si="540">V7-ET7</f>
        <v>#N/A</v>
      </c>
      <c r="HE7" s="5" t="e">
        <f t="shared" ref="HE7" si="541">HD7-EU7</f>
        <v>#N/A</v>
      </c>
      <c r="HF7" s="5" t="e">
        <f t="shared" ref="HF7" si="542">HE7-EV7</f>
        <v>#N/A</v>
      </c>
      <c r="HG7" s="5" t="e">
        <f t="shared" ref="HG7" si="543">HF7-EW7</f>
        <v>#N/A</v>
      </c>
      <c r="HH7" s="5" t="e">
        <f t="shared" ref="HH7" si="544">HG7-EX7</f>
        <v>#N/A</v>
      </c>
      <c r="HI7" s="5" t="e">
        <f t="shared" ref="HI7" si="545">HH7-EY7</f>
        <v>#N/A</v>
      </c>
      <c r="HJ7" s="5" t="e">
        <f t="shared" ref="HJ7" si="546">HI7-EZ7</f>
        <v>#N/A</v>
      </c>
      <c r="HK7" s="5" t="e">
        <f t="shared" ref="HK7" si="547">HJ7-FA7</f>
        <v>#N/A</v>
      </c>
      <c r="HL7" s="5" t="e">
        <f t="shared" ref="HL7" si="548">HK7-FB7</f>
        <v>#N/A</v>
      </c>
      <c r="HM7" s="5" t="e">
        <f t="shared" ref="HM7" si="549">HL7-FC7</f>
        <v>#N/A</v>
      </c>
      <c r="HN7" s="5" t="e">
        <f t="shared" ref="HN7" si="550">HM7-FD7</f>
        <v>#N/A</v>
      </c>
      <c r="HO7" s="5" t="e">
        <f t="shared" ref="HO7" si="551">HN7-FE7</f>
        <v>#N/A</v>
      </c>
      <c r="HP7" s="5" t="e">
        <f t="shared" ref="HP7" si="552">HO7-FF7</f>
        <v>#N/A</v>
      </c>
      <c r="HQ7" s="5" t="e">
        <f t="shared" ref="HQ7" si="553">HP7-FG7</f>
        <v>#N/A</v>
      </c>
      <c r="HR7" s="5" t="e">
        <f t="shared" ref="HR7" si="554">HQ7-FH7</f>
        <v>#N/A</v>
      </c>
      <c r="HS7" s="5" t="e">
        <f t="shared" ref="HS7" si="555">HR7-FI7</f>
        <v>#N/A</v>
      </c>
      <c r="HT7" s="5" t="e">
        <f t="shared" ref="HT7" si="556">HS7-FJ7</f>
        <v>#N/A</v>
      </c>
      <c r="HU7" s="5" t="e">
        <f t="shared" ref="HU7" si="557">HT7-FK7</f>
        <v>#N/A</v>
      </c>
      <c r="HV7" s="5" t="e">
        <f t="shared" ref="HV7" si="558">HU7-FL7</f>
        <v>#N/A</v>
      </c>
      <c r="HW7" s="5" t="e">
        <f t="shared" ref="HW7" si="559">HV7-FM7</f>
        <v>#N/A</v>
      </c>
      <c r="HX7" s="5" t="e">
        <f t="shared" ref="HX7" si="560">HW7-FN7</f>
        <v>#N/A</v>
      </c>
      <c r="HY7" s="5" t="e">
        <f t="shared" ref="HY7" si="561">HX7-FO7</f>
        <v>#N/A</v>
      </c>
      <c r="HZ7" s="5" t="e">
        <f t="shared" ref="HZ7" si="562">HY7-FP7</f>
        <v>#N/A</v>
      </c>
      <c r="IA7" s="5" t="e">
        <f t="shared" ref="IA7" si="563">HZ7-FQ7</f>
        <v>#N/A</v>
      </c>
      <c r="IB7" s="5" t="e">
        <f t="shared" ref="IB7" si="564">IA7-FR7</f>
        <v>#N/A</v>
      </c>
      <c r="IC7" s="5" t="e">
        <f t="shared" ref="IC7" si="565">IB7-FS7</f>
        <v>#N/A</v>
      </c>
      <c r="ID7" s="5" t="e">
        <f t="shared" ref="ID7" si="566">IC7-FT7</f>
        <v>#N/A</v>
      </c>
      <c r="IE7" s="5" t="e">
        <f t="shared" ref="IE7" si="567">ID7-FU7</f>
        <v>#N/A</v>
      </c>
      <c r="IF7" s="5" t="e">
        <f t="shared" ref="IF7" si="568">IE7-FV7</f>
        <v>#N/A</v>
      </c>
      <c r="IG7" s="5" t="e">
        <f t="shared" ref="IG7" si="569">IF7-FW7</f>
        <v>#N/A</v>
      </c>
      <c r="IH7" s="5" t="e">
        <f t="shared" ref="IH7" si="570">IG7-FX7</f>
        <v>#N/A</v>
      </c>
      <c r="II7" s="5" t="e">
        <f t="shared" ref="II7" si="571">IH7-FY7</f>
        <v>#N/A</v>
      </c>
      <c r="IJ7" s="5" t="e">
        <f t="shared" ref="IJ7" si="572">II7-FZ7</f>
        <v>#N/A</v>
      </c>
      <c r="IK7" s="5" t="e">
        <f t="shared" ref="IK7" si="573">IJ7-GA7</f>
        <v>#N/A</v>
      </c>
      <c r="IL7" s="5" t="e">
        <f t="shared" ref="IL7" si="574">IK7-GB7</f>
        <v>#N/A</v>
      </c>
      <c r="IM7" s="5" t="e">
        <f t="shared" ref="IM7" si="575">IL7-GC7</f>
        <v>#N/A</v>
      </c>
      <c r="IN7" s="5" t="e">
        <f t="shared" ref="IN7" si="576">IM7-GD7</f>
        <v>#N/A</v>
      </c>
      <c r="IO7" s="5" t="e">
        <f t="shared" ref="IO7" si="577">IN7-GE7</f>
        <v>#N/A</v>
      </c>
      <c r="IP7" s="5" t="e">
        <f t="shared" ref="IP7" si="578">IO7-GF7</f>
        <v>#N/A</v>
      </c>
      <c r="IQ7" s="5" t="e">
        <f t="shared" ref="IQ7" si="579">IP7-GG7</f>
        <v>#N/A</v>
      </c>
      <c r="IR7" s="5" t="e">
        <f t="shared" ref="IR7" si="580">IQ7-GH7</f>
        <v>#N/A</v>
      </c>
      <c r="IS7" s="5" t="e">
        <f t="shared" ref="IS7" si="581">IR7-GI7</f>
        <v>#N/A</v>
      </c>
      <c r="IT7" s="5" t="e">
        <f t="shared" ref="IT7" si="582">IS7-GJ7</f>
        <v>#N/A</v>
      </c>
      <c r="IU7" s="5" t="e">
        <f t="shared" ref="IU7" si="583">IT7-GK7</f>
        <v>#N/A</v>
      </c>
      <c r="IV7" s="5" t="e">
        <f t="shared" ref="IV7" si="584">IU7-GL7</f>
        <v>#N/A</v>
      </c>
      <c r="IW7" s="5" t="e">
        <f t="shared" ref="IW7" si="585">IV7-GM7</f>
        <v>#N/A</v>
      </c>
      <c r="IX7" s="5" t="e">
        <f t="shared" ref="IX7" si="586">IW7-GN7</f>
        <v>#N/A</v>
      </c>
      <c r="IY7" s="5" t="e">
        <f t="shared" ref="IY7" si="587">IX7-GO7</f>
        <v>#N/A</v>
      </c>
      <c r="IZ7" s="5" t="e">
        <f t="shared" ref="IZ7" si="588">IY7-GP7</f>
        <v>#N/A</v>
      </c>
      <c r="JA7" s="5" t="e">
        <f t="shared" ref="JA7" si="589">IZ7-GQ7</f>
        <v>#N/A</v>
      </c>
      <c r="JB7" s="5" t="e">
        <f t="shared" ref="JB7" si="590">JA7-GR7</f>
        <v>#N/A</v>
      </c>
      <c r="JC7" s="5" t="e">
        <f t="shared" ref="JC7" si="591">JB7-GS7</f>
        <v>#N/A</v>
      </c>
      <c r="JD7" s="5" t="e">
        <f t="shared" ref="JD7" si="592">JC7-GT7</f>
        <v>#N/A</v>
      </c>
      <c r="JE7" s="5" t="e">
        <f t="shared" ref="JE7" si="593">JD7-GU7</f>
        <v>#N/A</v>
      </c>
      <c r="JF7" s="5" t="e">
        <f t="shared" ref="JF7" si="594">JE7-GV7</f>
        <v>#N/A</v>
      </c>
      <c r="JG7" s="5" t="e">
        <f t="shared" ref="JG7" si="595">JF7-GW7</f>
        <v>#N/A</v>
      </c>
      <c r="JH7" s="5" t="e">
        <f t="shared" ref="JH7" si="596">JG7-GX7</f>
        <v>#N/A</v>
      </c>
      <c r="JI7" s="5" t="e">
        <f t="shared" ref="JI7" si="597">JH7-GY7</f>
        <v>#N/A</v>
      </c>
      <c r="JJ7" s="5" t="e">
        <f t="shared" ref="JJ7" si="598">JI7-GZ7</f>
        <v>#N/A</v>
      </c>
      <c r="JK7" s="5" t="e">
        <f t="shared" ref="JK7" si="599">JJ7-HA7</f>
        <v>#N/A</v>
      </c>
      <c r="JM7" s="19" t="e">
        <f>KC7</f>
        <v>#N/A</v>
      </c>
      <c r="JN7" s="1">
        <v>5</v>
      </c>
      <c r="JO7" s="5" t="e">
        <f>HLOOKUP(JM7,HC$2:JK7,2+JN6,0)+IF(S7&gt;0,S7,0)-IF(KE7&gt;0,KE7,0)</f>
        <v>#N/A</v>
      </c>
      <c r="JP7" s="5" t="e">
        <f>JO7*($X7/360)</f>
        <v>#N/A</v>
      </c>
      <c r="JQ7" s="17"/>
      <c r="JR7" s="26"/>
      <c r="JS7" s="6">
        <f>JR7-JQ7</f>
        <v>0</v>
      </c>
      <c r="JT7" s="5" t="e">
        <f>(JS7)*JP7</f>
        <v>#N/A</v>
      </c>
      <c r="JU7" s="13">
        <f t="shared" ca="1" si="20"/>
        <v>46161</v>
      </c>
      <c r="JV7" s="6" t="e">
        <f t="shared" ref="JV7" si="600">JT7+JO7</f>
        <v>#N/A</v>
      </c>
      <c r="JW7" s="6"/>
      <c r="JX7" s="6"/>
      <c r="JY7" s="6">
        <f>JX7-JW7</f>
        <v>0</v>
      </c>
      <c r="JZ7" s="10" t="e">
        <f>JY7/U7</f>
        <v>#N/A</v>
      </c>
      <c r="KA7" s="10" t="e">
        <f>JZ7-J7</f>
        <v>#N/A</v>
      </c>
      <c r="KB7" s="10" t="e">
        <f>ROUNDDOWN(JZ7,0)</f>
        <v>#N/A</v>
      </c>
      <c r="KC7" s="10" t="e">
        <f>KB7-J7</f>
        <v>#N/A</v>
      </c>
      <c r="KD7" s="5" t="e">
        <f>KB7*U7</f>
        <v>#N/A</v>
      </c>
      <c r="KE7" s="6" t="e">
        <f>JY7-KD7</f>
        <v>#N/A</v>
      </c>
    </row>
    <row r="8" spans="1:291" ht="14.4" customHeight="1" x14ac:dyDescent="0.3">
      <c r="A8" s="1" t="s">
        <v>58</v>
      </c>
      <c r="C8" s="1" t="e">
        <f>VLOOKUP(B8,DD!A:B,2,0)</f>
        <v>#N/A</v>
      </c>
      <c r="D8" s="1" t="e">
        <f>VLOOKUP(B8,DD!A:K,11,0)</f>
        <v>#N/A</v>
      </c>
      <c r="E8" s="1" t="e">
        <f>VLOOKUP(B8,DD!A:L,12,0)</f>
        <v>#N/A</v>
      </c>
      <c r="F8" s="17" t="e">
        <f>VLOOKUP(B8,DD!A:D,4,0)</f>
        <v>#N/A</v>
      </c>
      <c r="G8" s="9">
        <v>1</v>
      </c>
      <c r="H8" s="3" t="e">
        <f>VLOOKUP(B8,DD!A:E,5,0)</f>
        <v>#N/A</v>
      </c>
      <c r="I8" s="3" t="e">
        <f t="shared" ref="I8:I17" si="601">H8-J8</f>
        <v>#N/A</v>
      </c>
      <c r="J8" s="3" t="e">
        <f>VLOOKUP(B8,DD!A:F,6,0)</f>
        <v>#N/A</v>
      </c>
      <c r="K8" s="3" t="e">
        <f>VLOOKUP(B8,DD!A:H,8,0)</f>
        <v>#N/A</v>
      </c>
      <c r="L8" s="3" t="e">
        <f>VLOOKUP(B8,DD!A:I,9,0)</f>
        <v>#N/A</v>
      </c>
      <c r="M8" s="3" t="e">
        <f>VLOOKUP(B8,DD!A:J,10,0)</f>
        <v>#N/A</v>
      </c>
      <c r="N8" s="3" t="s">
        <v>8</v>
      </c>
      <c r="O8" s="3" t="s">
        <v>9</v>
      </c>
      <c r="P8" s="4" t="e">
        <f>VLOOKUP(B8,DD!A:C,3,0)</f>
        <v>#N/A</v>
      </c>
      <c r="Q8" s="5" t="e">
        <f t="shared" ref="Q8:Q17" si="602">K8/100*P8</f>
        <v>#N/A</v>
      </c>
      <c r="R8" s="5" t="e">
        <f t="shared" ref="R8:R17" si="603">L8/100*P8</f>
        <v>#N/A</v>
      </c>
      <c r="S8" s="5" t="e">
        <f t="shared" ref="S8:S17" si="604">M8/100*(P8-Q8)</f>
        <v>#N/A</v>
      </c>
      <c r="T8" s="6" t="e">
        <f t="shared" ref="T8:T17" si="605">Q8+R8</f>
        <v>#N/A</v>
      </c>
      <c r="U8" s="5" t="e">
        <f t="shared" ref="U8:U17" si="606">(P8/H8)+(R8/H8)</f>
        <v>#N/A</v>
      </c>
      <c r="V8" s="6" t="e">
        <f t="shared" ref="V8:V17" si="607">P8-Q8-S8-W8</f>
        <v>#N/A</v>
      </c>
      <c r="W8" s="7" t="e">
        <f t="shared" ref="W8:W17" si="608">IF(J8&gt;=1,U8*J8,0)</f>
        <v>#N/A</v>
      </c>
      <c r="X8" s="8" t="e">
        <f t="shared" ref="X8:X17" si="609">IRR(Y8:CG8)*12</f>
        <v>#VALUE!</v>
      </c>
      <c r="Y8" s="6" t="e">
        <f t="shared" ref="Y8:Y17" si="610">-V8</f>
        <v>#N/A</v>
      </c>
      <c r="Z8" s="7" t="e">
        <f t="shared" si="10"/>
        <v>#N/A</v>
      </c>
      <c r="AA8" s="7" t="e">
        <f t="shared" si="10"/>
        <v>#N/A</v>
      </c>
      <c r="AB8" s="7" t="e">
        <f t="shared" si="10"/>
        <v>#N/A</v>
      </c>
      <c r="AC8" s="7" t="e">
        <f t="shared" si="10"/>
        <v>#N/A</v>
      </c>
      <c r="AD8" s="7" t="e">
        <f t="shared" si="10"/>
        <v>#N/A</v>
      </c>
      <c r="AE8" s="7" t="e">
        <f t="shared" si="10"/>
        <v>#N/A</v>
      </c>
      <c r="AF8" s="7" t="e">
        <f t="shared" si="10"/>
        <v>#N/A</v>
      </c>
      <c r="AG8" s="7" t="e">
        <f t="shared" si="10"/>
        <v>#N/A</v>
      </c>
      <c r="AH8" s="7" t="e">
        <f t="shared" si="10"/>
        <v>#N/A</v>
      </c>
      <c r="AI8" s="7" t="e">
        <f t="shared" si="10"/>
        <v>#N/A</v>
      </c>
      <c r="AJ8" s="7" t="e">
        <f t="shared" si="10"/>
        <v>#N/A</v>
      </c>
      <c r="AK8" s="7" t="e">
        <f t="shared" si="10"/>
        <v>#N/A</v>
      </c>
      <c r="AL8" s="7" t="e">
        <f t="shared" si="10"/>
        <v>#N/A</v>
      </c>
      <c r="AM8" s="7" t="e">
        <f t="shared" si="10"/>
        <v>#N/A</v>
      </c>
      <c r="AN8" s="7" t="e">
        <f t="shared" si="10"/>
        <v>#N/A</v>
      </c>
      <c r="AO8" s="7" t="e">
        <f t="shared" si="10"/>
        <v>#N/A</v>
      </c>
      <c r="AP8" s="7" t="e">
        <f t="shared" si="10"/>
        <v>#N/A</v>
      </c>
      <c r="AQ8" s="7" t="e">
        <f t="shared" si="10"/>
        <v>#N/A</v>
      </c>
      <c r="AR8" s="7" t="e">
        <f t="shared" si="10"/>
        <v>#N/A</v>
      </c>
      <c r="AS8" s="7" t="e">
        <f t="shared" si="10"/>
        <v>#N/A</v>
      </c>
      <c r="AT8" s="7" t="e">
        <f t="shared" si="10"/>
        <v>#N/A</v>
      </c>
      <c r="AU8" s="7" t="e">
        <f t="shared" si="10"/>
        <v>#N/A</v>
      </c>
      <c r="AV8" s="7" t="e">
        <f t="shared" si="10"/>
        <v>#N/A</v>
      </c>
      <c r="AW8" s="7" t="e">
        <f t="shared" si="10"/>
        <v>#N/A</v>
      </c>
      <c r="AX8" s="7" t="e">
        <f t="shared" si="10"/>
        <v>#N/A</v>
      </c>
      <c r="AY8" s="7" t="e">
        <f t="shared" si="10"/>
        <v>#N/A</v>
      </c>
      <c r="AZ8" s="7" t="e">
        <f t="shared" si="10"/>
        <v>#N/A</v>
      </c>
      <c r="BA8" s="7" t="e">
        <f t="shared" si="10"/>
        <v>#N/A</v>
      </c>
      <c r="BB8" s="7" t="e">
        <f t="shared" si="10"/>
        <v>#N/A</v>
      </c>
      <c r="BC8" s="7" t="e">
        <f t="shared" si="10"/>
        <v>#N/A</v>
      </c>
      <c r="BD8" s="7" t="e">
        <f t="shared" si="10"/>
        <v>#N/A</v>
      </c>
      <c r="BE8" s="7" t="e">
        <f t="shared" si="10"/>
        <v>#N/A</v>
      </c>
      <c r="BF8" s="7" t="e">
        <f t="shared" si="11"/>
        <v>#N/A</v>
      </c>
      <c r="BG8" s="7" t="e">
        <f t="shared" si="11"/>
        <v>#N/A</v>
      </c>
      <c r="BH8" s="7" t="e">
        <f t="shared" si="11"/>
        <v>#N/A</v>
      </c>
      <c r="BI8" s="7" t="e">
        <f t="shared" si="11"/>
        <v>#N/A</v>
      </c>
      <c r="BJ8" s="7" t="e">
        <f t="shared" si="11"/>
        <v>#N/A</v>
      </c>
      <c r="BK8" s="7" t="e">
        <f t="shared" si="11"/>
        <v>#N/A</v>
      </c>
      <c r="BL8" s="7" t="e">
        <f t="shared" si="11"/>
        <v>#N/A</v>
      </c>
      <c r="BM8" s="7" t="e">
        <f t="shared" si="11"/>
        <v>#N/A</v>
      </c>
      <c r="BN8" s="7" t="e">
        <f t="shared" si="11"/>
        <v>#N/A</v>
      </c>
      <c r="BO8" s="7" t="e">
        <f t="shared" si="11"/>
        <v>#N/A</v>
      </c>
      <c r="BP8" s="7" t="e">
        <f t="shared" si="11"/>
        <v>#N/A</v>
      </c>
      <c r="BQ8" s="7" t="e">
        <f t="shared" si="11"/>
        <v>#N/A</v>
      </c>
      <c r="BR8" s="7" t="e">
        <f t="shared" si="11"/>
        <v>#N/A</v>
      </c>
      <c r="BS8" s="7" t="e">
        <f t="shared" si="11"/>
        <v>#N/A</v>
      </c>
      <c r="BT8" s="7" t="e">
        <f t="shared" si="11"/>
        <v>#N/A</v>
      </c>
      <c r="BU8" s="7" t="e">
        <f t="shared" si="11"/>
        <v>#N/A</v>
      </c>
      <c r="BV8" s="7" t="e">
        <f t="shared" si="11"/>
        <v>#N/A</v>
      </c>
      <c r="BW8" s="7" t="e">
        <f t="shared" si="11"/>
        <v>#N/A</v>
      </c>
      <c r="BX8" s="7" t="e">
        <f t="shared" si="11"/>
        <v>#N/A</v>
      </c>
      <c r="BY8" s="7" t="e">
        <f t="shared" si="11"/>
        <v>#N/A</v>
      </c>
      <c r="BZ8" s="7" t="e">
        <f t="shared" si="11"/>
        <v>#N/A</v>
      </c>
      <c r="CA8" s="7" t="e">
        <f t="shared" si="11"/>
        <v>#N/A</v>
      </c>
      <c r="CB8" s="7" t="e">
        <f t="shared" si="11"/>
        <v>#N/A</v>
      </c>
      <c r="CC8" s="7" t="e">
        <f t="shared" si="11"/>
        <v>#N/A</v>
      </c>
      <c r="CD8" s="7" t="e">
        <f t="shared" si="11"/>
        <v>#N/A</v>
      </c>
      <c r="CE8" s="7" t="e">
        <f t="shared" si="11"/>
        <v>#N/A</v>
      </c>
      <c r="CF8" s="7" t="e">
        <f t="shared" si="11"/>
        <v>#N/A</v>
      </c>
      <c r="CG8" s="7" t="e">
        <f t="shared" si="11"/>
        <v>#N/A</v>
      </c>
      <c r="CH8" s="6" t="e">
        <f t="shared" ref="CH8:CH17" si="611">SUM(Y8:CG8)</f>
        <v>#N/A</v>
      </c>
      <c r="CI8" s="5" t="e">
        <f t="shared" ref="CI8:CI17" si="612">CH8-T8</f>
        <v>#N/A</v>
      </c>
      <c r="CK8" s="5" t="e">
        <f t="shared" ref="CK8:CK17" si="613">V8*($X8/12)</f>
        <v>#N/A</v>
      </c>
      <c r="CL8" s="5" t="e">
        <f t="shared" ref="CL8:CL17" si="614">HD8*($X8/12)</f>
        <v>#N/A</v>
      </c>
      <c r="CM8" s="5" t="e">
        <f t="shared" ref="CM8:CM17" si="615">HE8*($X8/12)</f>
        <v>#N/A</v>
      </c>
      <c r="CN8" s="5" t="e">
        <f t="shared" ref="CN8:CN17" si="616">HF8*($X8/12)</f>
        <v>#N/A</v>
      </c>
      <c r="CO8" s="5" t="e">
        <f t="shared" ref="CO8:CO17" si="617">HG8*($X8/12)</f>
        <v>#N/A</v>
      </c>
      <c r="CP8" s="5" t="e">
        <f t="shared" ref="CP8:CP17" si="618">HH8*($X8/12)</f>
        <v>#N/A</v>
      </c>
      <c r="CQ8" s="5" t="e">
        <f t="shared" ref="CQ8:CQ17" si="619">HI8*($X8/12)</f>
        <v>#N/A</v>
      </c>
      <c r="CR8" s="5" t="e">
        <f t="shared" ref="CR8:CR17" si="620">HJ8*($X8/12)</f>
        <v>#N/A</v>
      </c>
      <c r="CS8" s="5" t="e">
        <f t="shared" ref="CS8:CS17" si="621">HK8*($X8/12)</f>
        <v>#N/A</v>
      </c>
      <c r="CT8" s="5" t="e">
        <f t="shared" ref="CT8:CT17" si="622">HL8*($X8/12)</f>
        <v>#N/A</v>
      </c>
      <c r="CU8" s="5" t="e">
        <f t="shared" ref="CU8:CU17" si="623">HM8*($X8/12)</f>
        <v>#N/A</v>
      </c>
      <c r="CV8" s="5" t="e">
        <f t="shared" ref="CV8:CV17" si="624">HN8*($X8/12)</f>
        <v>#N/A</v>
      </c>
      <c r="CW8" s="5" t="e">
        <f t="shared" ref="CW8:CW17" si="625">HO8*($X8/12)</f>
        <v>#N/A</v>
      </c>
      <c r="CX8" s="5" t="e">
        <f t="shared" ref="CX8:CX17" si="626">HP8*($X8/12)</f>
        <v>#N/A</v>
      </c>
      <c r="CY8" s="5" t="e">
        <f t="shared" ref="CY8:CY17" si="627">HQ8*($X8/12)</f>
        <v>#N/A</v>
      </c>
      <c r="CZ8" s="5" t="e">
        <f t="shared" ref="CZ8:CZ17" si="628">HR8*($X8/12)</f>
        <v>#N/A</v>
      </c>
      <c r="DA8" s="5" t="e">
        <f t="shared" ref="DA8:DA17" si="629">HS8*($X8/12)</f>
        <v>#N/A</v>
      </c>
      <c r="DB8" s="5" t="e">
        <f t="shared" ref="DB8:DB17" si="630">HT8*($X8/12)</f>
        <v>#N/A</v>
      </c>
      <c r="DC8" s="5" t="e">
        <f t="shared" ref="DC8:DC17" si="631">HU8*($X8/12)</f>
        <v>#N/A</v>
      </c>
      <c r="DD8" s="5" t="e">
        <f t="shared" ref="DD8:DD17" si="632">HV8*($X8/12)</f>
        <v>#N/A</v>
      </c>
      <c r="DE8" s="5" t="e">
        <f t="shared" ref="DE8:DE17" si="633">HW8*($X8/12)</f>
        <v>#N/A</v>
      </c>
      <c r="DF8" s="5" t="e">
        <f t="shared" ref="DF8:DF17" si="634">HX8*($X8/12)</f>
        <v>#N/A</v>
      </c>
      <c r="DG8" s="5" t="e">
        <f t="shared" ref="DG8:DG17" si="635">HY8*($X8/12)</f>
        <v>#N/A</v>
      </c>
      <c r="DH8" s="5" t="e">
        <f t="shared" ref="DH8:DH17" si="636">HZ8*($X8/12)</f>
        <v>#N/A</v>
      </c>
      <c r="DI8" s="5" t="e">
        <f t="shared" ref="DI8:DI17" si="637">IA8*($X8/12)</f>
        <v>#N/A</v>
      </c>
      <c r="DJ8" s="5" t="e">
        <f t="shared" ref="DJ8:DJ17" si="638">IB8*($X8/12)</f>
        <v>#N/A</v>
      </c>
      <c r="DK8" s="5" t="e">
        <f t="shared" ref="DK8:DK17" si="639">IC8*($X8/12)</f>
        <v>#N/A</v>
      </c>
      <c r="DL8" s="5" t="e">
        <f t="shared" ref="DL8:DL17" si="640">ID8*($X8/12)</f>
        <v>#N/A</v>
      </c>
      <c r="DM8" s="5" t="e">
        <f t="shared" ref="DM8:DM17" si="641">IE8*($X8/12)</f>
        <v>#N/A</v>
      </c>
      <c r="DN8" s="5" t="e">
        <f t="shared" ref="DN8:DN17" si="642">IF8*($X8/12)</f>
        <v>#N/A</v>
      </c>
      <c r="DO8" s="5" t="e">
        <f t="shared" ref="DO8:DO17" si="643">IG8*($X8/12)</f>
        <v>#N/A</v>
      </c>
      <c r="DP8" s="5" t="e">
        <f t="shared" ref="DP8:DP17" si="644">IH8*($X8/12)</f>
        <v>#N/A</v>
      </c>
      <c r="DQ8" s="5" t="e">
        <f t="shared" ref="DQ8:DQ17" si="645">II8*($X8/12)</f>
        <v>#N/A</v>
      </c>
      <c r="DR8" s="5" t="e">
        <f t="shared" ref="DR8:DR17" si="646">IJ8*($X8/12)</f>
        <v>#N/A</v>
      </c>
      <c r="DS8" s="5" t="e">
        <f t="shared" ref="DS8:DS17" si="647">IK8*($X8/12)</f>
        <v>#N/A</v>
      </c>
      <c r="DT8" s="5" t="e">
        <f t="shared" ref="DT8:DT17" si="648">IL8*($X8/12)</f>
        <v>#N/A</v>
      </c>
      <c r="DU8" s="5" t="e">
        <f t="shared" ref="DU8:DU17" si="649">IM8*($X8/12)</f>
        <v>#N/A</v>
      </c>
      <c r="DV8" s="5" t="e">
        <f t="shared" ref="DV8:DV17" si="650">IN8*($X8/12)</f>
        <v>#N/A</v>
      </c>
      <c r="DW8" s="5" t="e">
        <f t="shared" ref="DW8:DW17" si="651">IO8*($X8/12)</f>
        <v>#N/A</v>
      </c>
      <c r="DX8" s="5" t="e">
        <f t="shared" ref="DX8:DX17" si="652">IP8*($X8/12)</f>
        <v>#N/A</v>
      </c>
      <c r="DY8" s="5" t="e">
        <f t="shared" ref="DY8:DY17" si="653">IQ8*($X8/12)</f>
        <v>#N/A</v>
      </c>
      <c r="DZ8" s="5" t="e">
        <f t="shared" ref="DZ8:DZ17" si="654">IR8*($X8/12)</f>
        <v>#N/A</v>
      </c>
      <c r="EA8" s="5" t="e">
        <f t="shared" ref="EA8:EA17" si="655">IS8*($X8/12)</f>
        <v>#N/A</v>
      </c>
      <c r="EB8" s="5" t="e">
        <f t="shared" ref="EB8:EB17" si="656">IT8*($X8/12)</f>
        <v>#N/A</v>
      </c>
      <c r="EC8" s="5" t="e">
        <f t="shared" ref="EC8:EC17" si="657">IU8*($X8/12)</f>
        <v>#N/A</v>
      </c>
      <c r="ED8" s="5" t="e">
        <f t="shared" ref="ED8:ED17" si="658">IV8*($X8/12)</f>
        <v>#N/A</v>
      </c>
      <c r="EE8" s="5" t="e">
        <f t="shared" ref="EE8:EE17" si="659">IW8*($X8/12)</f>
        <v>#N/A</v>
      </c>
      <c r="EF8" s="5" t="e">
        <f t="shared" ref="EF8:EF17" si="660">IX8*($X8/12)</f>
        <v>#N/A</v>
      </c>
      <c r="EG8" s="5" t="e">
        <f t="shared" ref="EG8:EG17" si="661">IY8*($X8/12)</f>
        <v>#N/A</v>
      </c>
      <c r="EH8" s="5" t="e">
        <f t="shared" ref="EH8:EH17" si="662">IZ8*($X8/12)</f>
        <v>#N/A</v>
      </c>
      <c r="EI8" s="5" t="e">
        <f t="shared" ref="EI8:EI17" si="663">JA8*($X8/12)</f>
        <v>#N/A</v>
      </c>
      <c r="EJ8" s="5" t="e">
        <f t="shared" ref="EJ8:EJ17" si="664">JB8*($X8/12)</f>
        <v>#N/A</v>
      </c>
      <c r="EK8" s="5" t="e">
        <f t="shared" ref="EK8:EK17" si="665">JC8*($X8/12)</f>
        <v>#N/A</v>
      </c>
      <c r="EL8" s="5" t="e">
        <f t="shared" ref="EL8:EL17" si="666">JD8*($X8/12)</f>
        <v>#N/A</v>
      </c>
      <c r="EM8" s="5" t="e">
        <f t="shared" ref="EM8:EM17" si="667">JE8*($X8/12)</f>
        <v>#N/A</v>
      </c>
      <c r="EN8" s="5" t="e">
        <f t="shared" ref="EN8:EN17" si="668">JF8*($X8/12)</f>
        <v>#N/A</v>
      </c>
      <c r="EO8" s="5" t="e">
        <f t="shared" ref="EO8:EO17" si="669">JG8*($X8/12)</f>
        <v>#N/A</v>
      </c>
      <c r="EP8" s="5" t="e">
        <f t="shared" ref="EP8:EP17" si="670">JH8*($X8/12)</f>
        <v>#N/A</v>
      </c>
      <c r="EQ8" s="5" t="e">
        <f t="shared" ref="EQ8:EQ17" si="671">JI8*($X8/12)</f>
        <v>#N/A</v>
      </c>
      <c r="ER8" s="5" t="e">
        <f t="shared" ref="ER8:ER17" si="672">JJ8*($X8/12)</f>
        <v>#N/A</v>
      </c>
      <c r="ET8" s="5" t="e">
        <f t="shared" ref="ET8:ET17" si="673">Z8-CK8</f>
        <v>#N/A</v>
      </c>
      <c r="EU8" s="5" t="e">
        <f t="shared" ref="EU8:EU17" si="674">AA8-CL8</f>
        <v>#N/A</v>
      </c>
      <c r="EV8" s="5" t="e">
        <f t="shared" ref="EV8:EV17" si="675">AB8-CM8</f>
        <v>#N/A</v>
      </c>
      <c r="EW8" s="5" t="e">
        <f t="shared" ref="EW8:EW17" si="676">AC8-CN8</f>
        <v>#N/A</v>
      </c>
      <c r="EX8" s="5" t="e">
        <f t="shared" ref="EX8:EX17" si="677">AD8-CO8</f>
        <v>#N/A</v>
      </c>
      <c r="EY8" s="5" t="e">
        <f t="shared" ref="EY8:EY17" si="678">AE8-CP8</f>
        <v>#N/A</v>
      </c>
      <c r="EZ8" s="5" t="e">
        <f t="shared" ref="EZ8:EZ17" si="679">AF8-CQ8</f>
        <v>#N/A</v>
      </c>
      <c r="FA8" s="5" t="e">
        <f t="shared" ref="FA8:FA17" si="680">AG8-CR8</f>
        <v>#N/A</v>
      </c>
      <c r="FB8" s="5" t="e">
        <f t="shared" ref="FB8:FB17" si="681">AH8-CS8</f>
        <v>#N/A</v>
      </c>
      <c r="FC8" s="5" t="e">
        <f t="shared" ref="FC8:FC17" si="682">AI8-CT8</f>
        <v>#N/A</v>
      </c>
      <c r="FD8" s="5" t="e">
        <f t="shared" ref="FD8:FD17" si="683">AJ8-CU8</f>
        <v>#N/A</v>
      </c>
      <c r="FE8" s="5" t="e">
        <f t="shared" ref="FE8:FE17" si="684">AK8-CV8</f>
        <v>#N/A</v>
      </c>
      <c r="FF8" s="5" t="e">
        <f t="shared" ref="FF8:FF17" si="685">AL8-CW8</f>
        <v>#N/A</v>
      </c>
      <c r="FG8" s="5" t="e">
        <f t="shared" ref="FG8:FG17" si="686">AM8-CX8</f>
        <v>#N/A</v>
      </c>
      <c r="FH8" s="5" t="e">
        <f t="shared" ref="FH8:FH17" si="687">AN8-CY8</f>
        <v>#N/A</v>
      </c>
      <c r="FI8" s="5" t="e">
        <f t="shared" ref="FI8:FI17" si="688">AO8-CZ8</f>
        <v>#N/A</v>
      </c>
      <c r="FJ8" s="5" t="e">
        <f t="shared" ref="FJ8:FJ17" si="689">AP8-DA8</f>
        <v>#N/A</v>
      </c>
      <c r="FK8" s="5" t="e">
        <f t="shared" ref="FK8:FK17" si="690">AQ8-DB8</f>
        <v>#N/A</v>
      </c>
      <c r="FL8" s="5" t="e">
        <f t="shared" ref="FL8:FL17" si="691">AR8-DC8</f>
        <v>#N/A</v>
      </c>
      <c r="FM8" s="5" t="e">
        <f t="shared" ref="FM8:FM17" si="692">AS8-DD8</f>
        <v>#N/A</v>
      </c>
      <c r="FN8" s="5" t="e">
        <f t="shared" ref="FN8:FN17" si="693">AT8-DE8</f>
        <v>#N/A</v>
      </c>
      <c r="FO8" s="5" t="e">
        <f t="shared" ref="FO8:FO17" si="694">AU8-DF8</f>
        <v>#N/A</v>
      </c>
      <c r="FP8" s="5" t="e">
        <f t="shared" ref="FP8:FP17" si="695">AV8-DG8</f>
        <v>#N/A</v>
      </c>
      <c r="FQ8" s="5" t="e">
        <f t="shared" ref="FQ8:FQ17" si="696">AW8-DH8</f>
        <v>#N/A</v>
      </c>
      <c r="FR8" s="5" t="e">
        <f t="shared" ref="FR8:FR17" si="697">AX8-DI8</f>
        <v>#N/A</v>
      </c>
      <c r="FS8" s="5" t="e">
        <f t="shared" ref="FS8:FS17" si="698">AY8-DJ8</f>
        <v>#N/A</v>
      </c>
      <c r="FT8" s="5" t="e">
        <f t="shared" ref="FT8:FT17" si="699">AZ8-DK8</f>
        <v>#N/A</v>
      </c>
      <c r="FU8" s="5" t="e">
        <f t="shared" ref="FU8:FU17" si="700">BA8-DL8</f>
        <v>#N/A</v>
      </c>
      <c r="FV8" s="5" t="e">
        <f t="shared" ref="FV8:FV17" si="701">BB8-DM8</f>
        <v>#N/A</v>
      </c>
      <c r="FW8" s="5" t="e">
        <f t="shared" ref="FW8:FW17" si="702">BC8-DN8</f>
        <v>#N/A</v>
      </c>
      <c r="FX8" s="5" t="e">
        <f t="shared" ref="FX8:FX17" si="703">BD8-DO8</f>
        <v>#N/A</v>
      </c>
      <c r="FY8" s="5" t="e">
        <f t="shared" ref="FY8:FY17" si="704">BE8-DP8</f>
        <v>#N/A</v>
      </c>
      <c r="FZ8" s="5" t="e">
        <f t="shared" ref="FZ8:FZ17" si="705">BF8-DQ8</f>
        <v>#N/A</v>
      </c>
      <c r="GA8" s="5" t="e">
        <f t="shared" ref="GA8:GA17" si="706">BG8-DR8</f>
        <v>#N/A</v>
      </c>
      <c r="GB8" s="5" t="e">
        <f t="shared" ref="GB8:GB17" si="707">BH8-DS8</f>
        <v>#N/A</v>
      </c>
      <c r="GC8" s="5" t="e">
        <f t="shared" ref="GC8:GC17" si="708">BI8-DT8</f>
        <v>#N/A</v>
      </c>
      <c r="GD8" s="5" t="e">
        <f t="shared" ref="GD8:GD17" si="709">BJ8-DU8</f>
        <v>#N/A</v>
      </c>
      <c r="GE8" s="5" t="e">
        <f t="shared" ref="GE8:GE17" si="710">BK8-DV8</f>
        <v>#N/A</v>
      </c>
      <c r="GF8" s="5" t="e">
        <f t="shared" ref="GF8:GF17" si="711">BL8-DW8</f>
        <v>#N/A</v>
      </c>
      <c r="GG8" s="5" t="e">
        <f t="shared" ref="GG8:GG17" si="712">BM8-DX8</f>
        <v>#N/A</v>
      </c>
      <c r="GH8" s="5" t="e">
        <f t="shared" ref="GH8:GH17" si="713">BN8-DY8</f>
        <v>#N/A</v>
      </c>
      <c r="GI8" s="5" t="e">
        <f t="shared" ref="GI8:GI17" si="714">BO8-DZ8</f>
        <v>#N/A</v>
      </c>
      <c r="GJ8" s="5" t="e">
        <f t="shared" ref="GJ8:GJ17" si="715">BP8-EA8</f>
        <v>#N/A</v>
      </c>
      <c r="GK8" s="5" t="e">
        <f t="shared" ref="GK8:GK17" si="716">BQ8-EB8</f>
        <v>#N/A</v>
      </c>
      <c r="GL8" s="5" t="e">
        <f t="shared" ref="GL8:GL17" si="717">BR8-EC8</f>
        <v>#N/A</v>
      </c>
      <c r="GM8" s="5" t="e">
        <f t="shared" ref="GM8:GM17" si="718">BS8-ED8</f>
        <v>#N/A</v>
      </c>
      <c r="GN8" s="5" t="e">
        <f t="shared" ref="GN8:GN17" si="719">BT8-EE8</f>
        <v>#N/A</v>
      </c>
      <c r="GO8" s="5" t="e">
        <f t="shared" ref="GO8:GO17" si="720">BU8-EF8</f>
        <v>#N/A</v>
      </c>
      <c r="GP8" s="5" t="e">
        <f t="shared" ref="GP8:GP17" si="721">BV8-EG8</f>
        <v>#N/A</v>
      </c>
      <c r="GQ8" s="5" t="e">
        <f t="shared" ref="GQ8:GQ17" si="722">BW8-EH8</f>
        <v>#N/A</v>
      </c>
      <c r="GR8" s="5" t="e">
        <f t="shared" ref="GR8:GR17" si="723">BX8-EI8</f>
        <v>#N/A</v>
      </c>
      <c r="GS8" s="5" t="e">
        <f t="shared" ref="GS8:GS17" si="724">BY8-EJ8</f>
        <v>#N/A</v>
      </c>
      <c r="GT8" s="5" t="e">
        <f t="shared" ref="GT8:GT17" si="725">BZ8-EK8</f>
        <v>#N/A</v>
      </c>
      <c r="GU8" s="5" t="e">
        <f t="shared" ref="GU8:GU17" si="726">CA8-EL8</f>
        <v>#N/A</v>
      </c>
      <c r="GV8" s="5" t="e">
        <f t="shared" ref="GV8:GV17" si="727">CB8-EM8</f>
        <v>#N/A</v>
      </c>
      <c r="GW8" s="5" t="e">
        <f t="shared" ref="GW8:GW17" si="728">CC8-EN8</f>
        <v>#N/A</v>
      </c>
      <c r="GX8" s="5" t="e">
        <f t="shared" ref="GX8:GX17" si="729">CD8-EO8</f>
        <v>#N/A</v>
      </c>
      <c r="GY8" s="5" t="e">
        <f t="shared" ref="GY8:GY17" si="730">CE8-EP8</f>
        <v>#N/A</v>
      </c>
      <c r="GZ8" s="5" t="e">
        <f t="shared" ref="GZ8:GZ17" si="731">CF8-EQ8</f>
        <v>#N/A</v>
      </c>
      <c r="HA8" s="5" t="e">
        <f t="shared" ref="HA8:HA17" si="732">CG8-ER8</f>
        <v>#N/A</v>
      </c>
      <c r="HC8" s="6" t="e">
        <f t="shared" ref="HC8:HC17" si="733">V8</f>
        <v>#N/A</v>
      </c>
      <c r="HD8" s="5" t="e">
        <f t="shared" ref="HD8:HD17" si="734">V8-ET8</f>
        <v>#N/A</v>
      </c>
      <c r="HE8" s="5" t="e">
        <f t="shared" ref="HE8:HE17" si="735">HD8-EU8</f>
        <v>#N/A</v>
      </c>
      <c r="HF8" s="5" t="e">
        <f t="shared" ref="HF8:HF17" si="736">HE8-EV8</f>
        <v>#N/A</v>
      </c>
      <c r="HG8" s="5" t="e">
        <f t="shared" ref="HG8:HG17" si="737">HF8-EW8</f>
        <v>#N/A</v>
      </c>
      <c r="HH8" s="5" t="e">
        <f t="shared" ref="HH8:HH17" si="738">HG8-EX8</f>
        <v>#N/A</v>
      </c>
      <c r="HI8" s="5" t="e">
        <f t="shared" ref="HI8:HI17" si="739">HH8-EY8</f>
        <v>#N/A</v>
      </c>
      <c r="HJ8" s="5" t="e">
        <f t="shared" ref="HJ8:HJ17" si="740">HI8-EZ8</f>
        <v>#N/A</v>
      </c>
      <c r="HK8" s="5" t="e">
        <f t="shared" ref="HK8:HK17" si="741">HJ8-FA8</f>
        <v>#N/A</v>
      </c>
      <c r="HL8" s="5" t="e">
        <f t="shared" ref="HL8:HL17" si="742">HK8-FB8</f>
        <v>#N/A</v>
      </c>
      <c r="HM8" s="5" t="e">
        <f t="shared" ref="HM8:HM17" si="743">HL8-FC8</f>
        <v>#N/A</v>
      </c>
      <c r="HN8" s="5" t="e">
        <f t="shared" ref="HN8:HN17" si="744">HM8-FD8</f>
        <v>#N/A</v>
      </c>
      <c r="HO8" s="5" t="e">
        <f t="shared" ref="HO8:HO17" si="745">HN8-FE8</f>
        <v>#N/A</v>
      </c>
      <c r="HP8" s="5" t="e">
        <f t="shared" ref="HP8:HP17" si="746">HO8-FF8</f>
        <v>#N/A</v>
      </c>
      <c r="HQ8" s="5" t="e">
        <f t="shared" ref="HQ8:HQ17" si="747">HP8-FG8</f>
        <v>#N/A</v>
      </c>
      <c r="HR8" s="5" t="e">
        <f t="shared" ref="HR8:HR17" si="748">HQ8-FH8</f>
        <v>#N/A</v>
      </c>
      <c r="HS8" s="5" t="e">
        <f t="shared" ref="HS8:HS17" si="749">HR8-FI8</f>
        <v>#N/A</v>
      </c>
      <c r="HT8" s="5" t="e">
        <f t="shared" ref="HT8:HT17" si="750">HS8-FJ8</f>
        <v>#N/A</v>
      </c>
      <c r="HU8" s="5" t="e">
        <f t="shared" ref="HU8:HU17" si="751">HT8-FK8</f>
        <v>#N/A</v>
      </c>
      <c r="HV8" s="5" t="e">
        <f t="shared" ref="HV8:HV17" si="752">HU8-FL8</f>
        <v>#N/A</v>
      </c>
      <c r="HW8" s="5" t="e">
        <f t="shared" ref="HW8:HW17" si="753">HV8-FM8</f>
        <v>#N/A</v>
      </c>
      <c r="HX8" s="5" t="e">
        <f t="shared" ref="HX8:HX17" si="754">HW8-FN8</f>
        <v>#N/A</v>
      </c>
      <c r="HY8" s="5" t="e">
        <f t="shared" ref="HY8:HY17" si="755">HX8-FO8</f>
        <v>#N/A</v>
      </c>
      <c r="HZ8" s="5" t="e">
        <f t="shared" ref="HZ8:HZ17" si="756">HY8-FP8</f>
        <v>#N/A</v>
      </c>
      <c r="IA8" s="5" t="e">
        <f t="shared" ref="IA8:IA17" si="757">HZ8-FQ8</f>
        <v>#N/A</v>
      </c>
      <c r="IB8" s="5" t="e">
        <f t="shared" ref="IB8:IB17" si="758">IA8-FR8</f>
        <v>#N/A</v>
      </c>
      <c r="IC8" s="5" t="e">
        <f t="shared" ref="IC8:IC17" si="759">IB8-FS8</f>
        <v>#N/A</v>
      </c>
      <c r="ID8" s="5" t="e">
        <f t="shared" ref="ID8:ID17" si="760">IC8-FT8</f>
        <v>#N/A</v>
      </c>
      <c r="IE8" s="5" t="e">
        <f t="shared" ref="IE8:IE17" si="761">ID8-FU8</f>
        <v>#N/A</v>
      </c>
      <c r="IF8" s="5" t="e">
        <f t="shared" ref="IF8:IF17" si="762">IE8-FV8</f>
        <v>#N/A</v>
      </c>
      <c r="IG8" s="5" t="e">
        <f t="shared" ref="IG8:IG17" si="763">IF8-FW8</f>
        <v>#N/A</v>
      </c>
      <c r="IH8" s="5" t="e">
        <f t="shared" ref="IH8:IH17" si="764">IG8-FX8</f>
        <v>#N/A</v>
      </c>
      <c r="II8" s="5" t="e">
        <f t="shared" ref="II8:II17" si="765">IH8-FY8</f>
        <v>#N/A</v>
      </c>
      <c r="IJ8" s="5" t="e">
        <f t="shared" ref="IJ8:IJ17" si="766">II8-FZ8</f>
        <v>#N/A</v>
      </c>
      <c r="IK8" s="5" t="e">
        <f t="shared" ref="IK8:IK17" si="767">IJ8-GA8</f>
        <v>#N/A</v>
      </c>
      <c r="IL8" s="5" t="e">
        <f t="shared" ref="IL8:IL17" si="768">IK8-GB8</f>
        <v>#N/A</v>
      </c>
      <c r="IM8" s="5" t="e">
        <f t="shared" ref="IM8:IM17" si="769">IL8-GC8</f>
        <v>#N/A</v>
      </c>
      <c r="IN8" s="5" t="e">
        <f t="shared" ref="IN8:IN17" si="770">IM8-GD8</f>
        <v>#N/A</v>
      </c>
      <c r="IO8" s="5" t="e">
        <f t="shared" ref="IO8:IO17" si="771">IN8-GE8</f>
        <v>#N/A</v>
      </c>
      <c r="IP8" s="5" t="e">
        <f t="shared" ref="IP8:IP17" si="772">IO8-GF8</f>
        <v>#N/A</v>
      </c>
      <c r="IQ8" s="5" t="e">
        <f t="shared" ref="IQ8:IQ17" si="773">IP8-GG8</f>
        <v>#N/A</v>
      </c>
      <c r="IR8" s="5" t="e">
        <f t="shared" ref="IR8:IR17" si="774">IQ8-GH8</f>
        <v>#N/A</v>
      </c>
      <c r="IS8" s="5" t="e">
        <f t="shared" ref="IS8:IS17" si="775">IR8-GI8</f>
        <v>#N/A</v>
      </c>
      <c r="IT8" s="5" t="e">
        <f t="shared" ref="IT8:IT17" si="776">IS8-GJ8</f>
        <v>#N/A</v>
      </c>
      <c r="IU8" s="5" t="e">
        <f t="shared" ref="IU8:IU17" si="777">IT8-GK8</f>
        <v>#N/A</v>
      </c>
      <c r="IV8" s="5" t="e">
        <f t="shared" ref="IV8:IV17" si="778">IU8-GL8</f>
        <v>#N/A</v>
      </c>
      <c r="IW8" s="5" t="e">
        <f t="shared" ref="IW8:IW17" si="779">IV8-GM8</f>
        <v>#N/A</v>
      </c>
      <c r="IX8" s="5" t="e">
        <f t="shared" ref="IX8:IX17" si="780">IW8-GN8</f>
        <v>#N/A</v>
      </c>
      <c r="IY8" s="5" t="e">
        <f t="shared" ref="IY8:IY17" si="781">IX8-GO8</f>
        <v>#N/A</v>
      </c>
      <c r="IZ8" s="5" t="e">
        <f t="shared" ref="IZ8:IZ17" si="782">IY8-GP8</f>
        <v>#N/A</v>
      </c>
      <c r="JA8" s="5" t="e">
        <f t="shared" ref="JA8:JA17" si="783">IZ8-GQ8</f>
        <v>#N/A</v>
      </c>
      <c r="JB8" s="5" t="e">
        <f t="shared" ref="JB8:JB17" si="784">JA8-GR8</f>
        <v>#N/A</v>
      </c>
      <c r="JC8" s="5" t="e">
        <f t="shared" ref="JC8:JC17" si="785">JB8-GS8</f>
        <v>#N/A</v>
      </c>
      <c r="JD8" s="5" t="e">
        <f t="shared" ref="JD8:JD17" si="786">JC8-GT8</f>
        <v>#N/A</v>
      </c>
      <c r="JE8" s="5" t="e">
        <f t="shared" ref="JE8:JE17" si="787">JD8-GU8</f>
        <v>#N/A</v>
      </c>
      <c r="JF8" s="5" t="e">
        <f t="shared" ref="JF8:JF17" si="788">JE8-GV8</f>
        <v>#N/A</v>
      </c>
      <c r="JG8" s="5" t="e">
        <f t="shared" ref="JG8:JG17" si="789">JF8-GW8</f>
        <v>#N/A</v>
      </c>
      <c r="JH8" s="5" t="e">
        <f t="shared" ref="JH8:JH17" si="790">JG8-GX8</f>
        <v>#N/A</v>
      </c>
      <c r="JI8" s="5" t="e">
        <f t="shared" ref="JI8:JI17" si="791">JH8-GY8</f>
        <v>#N/A</v>
      </c>
      <c r="JJ8" s="5" t="e">
        <f t="shared" ref="JJ8:JJ17" si="792">JI8-GZ8</f>
        <v>#N/A</v>
      </c>
      <c r="JK8" s="5" t="e">
        <f t="shared" ref="JK8:JK17" si="793">JJ8-HA8</f>
        <v>#N/A</v>
      </c>
      <c r="JM8" s="19" t="e">
        <f t="shared" ref="JM8:JM17" si="794">KC8</f>
        <v>#N/A</v>
      </c>
      <c r="JN8" s="1">
        <v>6</v>
      </c>
      <c r="JO8" s="5" t="e">
        <f>HLOOKUP(JM8,HC$2:JK8,2+JN7,0)+IF(S8&gt;0,S8,0)-IF(KE8&gt;0,KE8,0)</f>
        <v>#N/A</v>
      </c>
      <c r="JP8" s="5" t="e">
        <f t="shared" ref="JP8:JP17" si="795">JO8*($X8/360)</f>
        <v>#N/A</v>
      </c>
      <c r="JQ8" s="17"/>
      <c r="JR8" s="26"/>
      <c r="JS8" s="6">
        <f t="shared" ref="JS8:JS17" si="796">JR8-JQ8</f>
        <v>0</v>
      </c>
      <c r="JT8" s="5" t="e">
        <f t="shared" ref="JT8:JT17" si="797">(JS8)*JP8</f>
        <v>#N/A</v>
      </c>
      <c r="JU8" s="13">
        <f t="shared" ca="1" si="20"/>
        <v>46161</v>
      </c>
      <c r="JV8" s="6" t="e">
        <f t="shared" ref="JV8:JV17" si="798">JT8+JO8</f>
        <v>#N/A</v>
      </c>
      <c r="JW8" s="6"/>
      <c r="JX8" s="6"/>
      <c r="JY8" s="6">
        <f t="shared" ref="JY8:JY17" si="799">JX8-JW8</f>
        <v>0</v>
      </c>
      <c r="JZ8" s="10" t="e">
        <f t="shared" ref="JZ8:JZ17" si="800">JY8/U8</f>
        <v>#N/A</v>
      </c>
      <c r="KA8" s="10" t="e">
        <f t="shared" ref="KA8:KA17" si="801">JZ8-J8</f>
        <v>#N/A</v>
      </c>
      <c r="KB8" s="10" t="e">
        <f t="shared" ref="KB8:KB17" si="802">ROUNDDOWN(JZ8,0)</f>
        <v>#N/A</v>
      </c>
      <c r="KC8" s="10" t="e">
        <f t="shared" ref="KC8:KC17" si="803">KB8-J8</f>
        <v>#N/A</v>
      </c>
      <c r="KD8" s="5" t="e">
        <f t="shared" ref="KD8:KD17" si="804">KB8*U8</f>
        <v>#N/A</v>
      </c>
      <c r="KE8" s="6" t="e">
        <f t="shared" ref="KE8:KE17" si="805">JY8-KD8</f>
        <v>#N/A</v>
      </c>
    </row>
    <row r="9" spans="1:291" x14ac:dyDescent="0.3">
      <c r="A9" s="1" t="s">
        <v>58</v>
      </c>
      <c r="C9" s="1" t="e">
        <f>VLOOKUP(B9,DD!A:B,2,0)</f>
        <v>#N/A</v>
      </c>
      <c r="D9" s="1" t="e">
        <f>VLOOKUP(B9,DD!A:K,11,0)</f>
        <v>#N/A</v>
      </c>
      <c r="E9" s="1" t="e">
        <f>VLOOKUP(B9,DD!A:L,12,0)</f>
        <v>#N/A</v>
      </c>
      <c r="F9" s="17" t="e">
        <f>VLOOKUP(B9,DD!A:D,4,0)</f>
        <v>#N/A</v>
      </c>
      <c r="G9" s="9">
        <v>1</v>
      </c>
      <c r="H9" s="3" t="e">
        <f>VLOOKUP(B9,DD!A:E,5,0)</f>
        <v>#N/A</v>
      </c>
      <c r="I9" s="3" t="e">
        <f t="shared" si="601"/>
        <v>#N/A</v>
      </c>
      <c r="J9" s="3" t="e">
        <f>VLOOKUP(B9,DD!A:F,6,0)</f>
        <v>#N/A</v>
      </c>
      <c r="K9" s="3" t="e">
        <f>VLOOKUP(B9,DD!A:H,8,0)</f>
        <v>#N/A</v>
      </c>
      <c r="L9" s="3" t="e">
        <f>VLOOKUP(B9,DD!A:I,9,0)</f>
        <v>#N/A</v>
      </c>
      <c r="M9" s="3" t="e">
        <f>VLOOKUP(B9,DD!A:J,10,0)</f>
        <v>#N/A</v>
      </c>
      <c r="N9" s="3" t="s">
        <v>8</v>
      </c>
      <c r="O9" s="3" t="s">
        <v>9</v>
      </c>
      <c r="P9" s="4" t="e">
        <f>VLOOKUP(B9,DD!A:C,3,0)</f>
        <v>#N/A</v>
      </c>
      <c r="Q9" s="5" t="e">
        <f t="shared" si="602"/>
        <v>#N/A</v>
      </c>
      <c r="R9" s="5" t="e">
        <f t="shared" si="603"/>
        <v>#N/A</v>
      </c>
      <c r="S9" s="5" t="e">
        <f t="shared" si="604"/>
        <v>#N/A</v>
      </c>
      <c r="T9" s="6" t="e">
        <f t="shared" si="605"/>
        <v>#N/A</v>
      </c>
      <c r="U9" s="5" t="e">
        <f t="shared" si="606"/>
        <v>#N/A</v>
      </c>
      <c r="V9" s="6" t="e">
        <f t="shared" si="607"/>
        <v>#N/A</v>
      </c>
      <c r="W9" s="7" t="e">
        <f t="shared" si="608"/>
        <v>#N/A</v>
      </c>
      <c r="X9" s="8" t="e">
        <f t="shared" si="609"/>
        <v>#VALUE!</v>
      </c>
      <c r="Y9" s="6" t="e">
        <f t="shared" si="610"/>
        <v>#N/A</v>
      </c>
      <c r="Z9" s="7" t="e">
        <f t="shared" si="10"/>
        <v>#N/A</v>
      </c>
      <c r="AA9" s="7" t="e">
        <f t="shared" si="10"/>
        <v>#N/A</v>
      </c>
      <c r="AB9" s="7" t="e">
        <f t="shared" si="10"/>
        <v>#N/A</v>
      </c>
      <c r="AC9" s="7" t="e">
        <f t="shared" si="10"/>
        <v>#N/A</v>
      </c>
      <c r="AD9" s="7" t="e">
        <f t="shared" si="10"/>
        <v>#N/A</v>
      </c>
      <c r="AE9" s="7" t="e">
        <f t="shared" si="10"/>
        <v>#N/A</v>
      </c>
      <c r="AF9" s="7" t="e">
        <f t="shared" si="10"/>
        <v>#N/A</v>
      </c>
      <c r="AG9" s="7" t="e">
        <f t="shared" si="10"/>
        <v>#N/A</v>
      </c>
      <c r="AH9" s="7" t="e">
        <f t="shared" si="10"/>
        <v>#N/A</v>
      </c>
      <c r="AI9" s="7" t="e">
        <f t="shared" si="10"/>
        <v>#N/A</v>
      </c>
      <c r="AJ9" s="7" t="e">
        <f t="shared" si="10"/>
        <v>#N/A</v>
      </c>
      <c r="AK9" s="7" t="e">
        <f t="shared" si="10"/>
        <v>#N/A</v>
      </c>
      <c r="AL9" s="7" t="e">
        <f t="shared" si="10"/>
        <v>#N/A</v>
      </c>
      <c r="AM9" s="7" t="e">
        <f t="shared" si="10"/>
        <v>#N/A</v>
      </c>
      <c r="AN9" s="7" t="e">
        <f t="shared" si="10"/>
        <v>#N/A</v>
      </c>
      <c r="AO9" s="7" t="e">
        <f t="shared" si="10"/>
        <v>#N/A</v>
      </c>
      <c r="AP9" s="7" t="e">
        <f t="shared" si="10"/>
        <v>#N/A</v>
      </c>
      <c r="AQ9" s="7" t="e">
        <f t="shared" si="10"/>
        <v>#N/A</v>
      </c>
      <c r="AR9" s="7" t="e">
        <f t="shared" si="10"/>
        <v>#N/A</v>
      </c>
      <c r="AS9" s="7" t="e">
        <f t="shared" si="10"/>
        <v>#N/A</v>
      </c>
      <c r="AT9" s="7" t="e">
        <f t="shared" si="10"/>
        <v>#N/A</v>
      </c>
      <c r="AU9" s="7" t="e">
        <f t="shared" si="10"/>
        <v>#N/A</v>
      </c>
      <c r="AV9" s="7" t="e">
        <f t="shared" si="10"/>
        <v>#N/A</v>
      </c>
      <c r="AW9" s="7" t="e">
        <f t="shared" si="10"/>
        <v>#N/A</v>
      </c>
      <c r="AX9" s="7" t="e">
        <f t="shared" si="10"/>
        <v>#N/A</v>
      </c>
      <c r="AY9" s="7" t="e">
        <f t="shared" si="10"/>
        <v>#N/A</v>
      </c>
      <c r="AZ9" s="7" t="e">
        <f t="shared" si="10"/>
        <v>#N/A</v>
      </c>
      <c r="BA9" s="7" t="e">
        <f t="shared" si="10"/>
        <v>#N/A</v>
      </c>
      <c r="BB9" s="7" t="e">
        <f t="shared" si="10"/>
        <v>#N/A</v>
      </c>
      <c r="BC9" s="7" t="e">
        <f t="shared" si="10"/>
        <v>#N/A</v>
      </c>
      <c r="BD9" s="7" t="e">
        <f t="shared" si="10"/>
        <v>#N/A</v>
      </c>
      <c r="BE9" s="7" t="e">
        <f t="shared" si="10"/>
        <v>#N/A</v>
      </c>
      <c r="BF9" s="7" t="e">
        <f t="shared" si="11"/>
        <v>#N/A</v>
      </c>
      <c r="BG9" s="7" t="e">
        <f t="shared" si="11"/>
        <v>#N/A</v>
      </c>
      <c r="BH9" s="7" t="e">
        <f t="shared" si="11"/>
        <v>#N/A</v>
      </c>
      <c r="BI9" s="7" t="e">
        <f t="shared" si="11"/>
        <v>#N/A</v>
      </c>
      <c r="BJ9" s="7" t="e">
        <f t="shared" si="11"/>
        <v>#N/A</v>
      </c>
      <c r="BK9" s="7" t="e">
        <f t="shared" si="11"/>
        <v>#N/A</v>
      </c>
      <c r="BL9" s="7" t="e">
        <f t="shared" si="11"/>
        <v>#N/A</v>
      </c>
      <c r="BM9" s="7" t="e">
        <f t="shared" si="11"/>
        <v>#N/A</v>
      </c>
      <c r="BN9" s="7" t="e">
        <f t="shared" si="11"/>
        <v>#N/A</v>
      </c>
      <c r="BO9" s="7" t="e">
        <f t="shared" si="11"/>
        <v>#N/A</v>
      </c>
      <c r="BP9" s="7" t="e">
        <f t="shared" si="11"/>
        <v>#N/A</v>
      </c>
      <c r="BQ9" s="7" t="e">
        <f t="shared" si="11"/>
        <v>#N/A</v>
      </c>
      <c r="BR9" s="7" t="e">
        <f t="shared" si="11"/>
        <v>#N/A</v>
      </c>
      <c r="BS9" s="7" t="e">
        <f t="shared" si="11"/>
        <v>#N/A</v>
      </c>
      <c r="BT9" s="7" t="e">
        <f t="shared" si="11"/>
        <v>#N/A</v>
      </c>
      <c r="BU9" s="7" t="e">
        <f t="shared" si="11"/>
        <v>#N/A</v>
      </c>
      <c r="BV9" s="7" t="e">
        <f t="shared" si="11"/>
        <v>#N/A</v>
      </c>
      <c r="BW9" s="7" t="e">
        <f t="shared" si="11"/>
        <v>#N/A</v>
      </c>
      <c r="BX9" s="7" t="e">
        <f t="shared" si="11"/>
        <v>#N/A</v>
      </c>
      <c r="BY9" s="7" t="e">
        <f t="shared" si="11"/>
        <v>#N/A</v>
      </c>
      <c r="BZ9" s="7" t="e">
        <f t="shared" si="11"/>
        <v>#N/A</v>
      </c>
      <c r="CA9" s="7" t="e">
        <f t="shared" si="11"/>
        <v>#N/A</v>
      </c>
      <c r="CB9" s="7" t="e">
        <f t="shared" si="11"/>
        <v>#N/A</v>
      </c>
      <c r="CC9" s="7" t="e">
        <f t="shared" si="11"/>
        <v>#N/A</v>
      </c>
      <c r="CD9" s="7" t="e">
        <f t="shared" si="11"/>
        <v>#N/A</v>
      </c>
      <c r="CE9" s="7" t="e">
        <f t="shared" si="11"/>
        <v>#N/A</v>
      </c>
      <c r="CF9" s="7" t="e">
        <f t="shared" si="11"/>
        <v>#N/A</v>
      </c>
      <c r="CG9" s="7" t="e">
        <f t="shared" si="11"/>
        <v>#N/A</v>
      </c>
      <c r="CH9" s="6" t="e">
        <f t="shared" si="611"/>
        <v>#N/A</v>
      </c>
      <c r="CI9" s="5" t="e">
        <f t="shared" si="612"/>
        <v>#N/A</v>
      </c>
      <c r="CK9" s="5" t="e">
        <f t="shared" si="613"/>
        <v>#N/A</v>
      </c>
      <c r="CL9" s="5" t="e">
        <f t="shared" si="614"/>
        <v>#N/A</v>
      </c>
      <c r="CM9" s="5" t="e">
        <f t="shared" si="615"/>
        <v>#N/A</v>
      </c>
      <c r="CN9" s="5" t="e">
        <f t="shared" si="616"/>
        <v>#N/A</v>
      </c>
      <c r="CO9" s="5" t="e">
        <f t="shared" si="617"/>
        <v>#N/A</v>
      </c>
      <c r="CP9" s="5" t="e">
        <f t="shared" si="618"/>
        <v>#N/A</v>
      </c>
      <c r="CQ9" s="5" t="e">
        <f t="shared" si="619"/>
        <v>#N/A</v>
      </c>
      <c r="CR9" s="5" t="e">
        <f t="shared" si="620"/>
        <v>#N/A</v>
      </c>
      <c r="CS9" s="5" t="e">
        <f t="shared" si="621"/>
        <v>#N/A</v>
      </c>
      <c r="CT9" s="5" t="e">
        <f t="shared" si="622"/>
        <v>#N/A</v>
      </c>
      <c r="CU9" s="5" t="e">
        <f t="shared" si="623"/>
        <v>#N/A</v>
      </c>
      <c r="CV9" s="5" t="e">
        <f t="shared" si="624"/>
        <v>#N/A</v>
      </c>
      <c r="CW9" s="5" t="e">
        <f t="shared" si="625"/>
        <v>#N/A</v>
      </c>
      <c r="CX9" s="5" t="e">
        <f t="shared" si="626"/>
        <v>#N/A</v>
      </c>
      <c r="CY9" s="5" t="e">
        <f t="shared" si="627"/>
        <v>#N/A</v>
      </c>
      <c r="CZ9" s="5" t="e">
        <f t="shared" si="628"/>
        <v>#N/A</v>
      </c>
      <c r="DA9" s="5" t="e">
        <f t="shared" si="629"/>
        <v>#N/A</v>
      </c>
      <c r="DB9" s="5" t="e">
        <f t="shared" si="630"/>
        <v>#N/A</v>
      </c>
      <c r="DC9" s="5" t="e">
        <f t="shared" si="631"/>
        <v>#N/A</v>
      </c>
      <c r="DD9" s="5" t="e">
        <f t="shared" si="632"/>
        <v>#N/A</v>
      </c>
      <c r="DE9" s="5" t="e">
        <f t="shared" si="633"/>
        <v>#N/A</v>
      </c>
      <c r="DF9" s="5" t="e">
        <f t="shared" si="634"/>
        <v>#N/A</v>
      </c>
      <c r="DG9" s="5" t="e">
        <f t="shared" si="635"/>
        <v>#N/A</v>
      </c>
      <c r="DH9" s="5" t="e">
        <f t="shared" si="636"/>
        <v>#N/A</v>
      </c>
      <c r="DI9" s="5" t="e">
        <f t="shared" si="637"/>
        <v>#N/A</v>
      </c>
      <c r="DJ9" s="5" t="e">
        <f t="shared" si="638"/>
        <v>#N/A</v>
      </c>
      <c r="DK9" s="5" t="e">
        <f t="shared" si="639"/>
        <v>#N/A</v>
      </c>
      <c r="DL9" s="5" t="e">
        <f t="shared" si="640"/>
        <v>#N/A</v>
      </c>
      <c r="DM9" s="5" t="e">
        <f t="shared" si="641"/>
        <v>#N/A</v>
      </c>
      <c r="DN9" s="5" t="e">
        <f t="shared" si="642"/>
        <v>#N/A</v>
      </c>
      <c r="DO9" s="5" t="e">
        <f t="shared" si="643"/>
        <v>#N/A</v>
      </c>
      <c r="DP9" s="5" t="e">
        <f t="shared" si="644"/>
        <v>#N/A</v>
      </c>
      <c r="DQ9" s="5" t="e">
        <f t="shared" si="645"/>
        <v>#N/A</v>
      </c>
      <c r="DR9" s="5" t="e">
        <f t="shared" si="646"/>
        <v>#N/A</v>
      </c>
      <c r="DS9" s="5" t="e">
        <f t="shared" si="647"/>
        <v>#N/A</v>
      </c>
      <c r="DT9" s="5" t="e">
        <f t="shared" si="648"/>
        <v>#N/A</v>
      </c>
      <c r="DU9" s="5" t="e">
        <f t="shared" si="649"/>
        <v>#N/A</v>
      </c>
      <c r="DV9" s="5" t="e">
        <f t="shared" si="650"/>
        <v>#N/A</v>
      </c>
      <c r="DW9" s="5" t="e">
        <f t="shared" si="651"/>
        <v>#N/A</v>
      </c>
      <c r="DX9" s="5" t="e">
        <f t="shared" si="652"/>
        <v>#N/A</v>
      </c>
      <c r="DY9" s="5" t="e">
        <f t="shared" si="653"/>
        <v>#N/A</v>
      </c>
      <c r="DZ9" s="5" t="e">
        <f t="shared" si="654"/>
        <v>#N/A</v>
      </c>
      <c r="EA9" s="5" t="e">
        <f t="shared" si="655"/>
        <v>#N/A</v>
      </c>
      <c r="EB9" s="5" t="e">
        <f t="shared" si="656"/>
        <v>#N/A</v>
      </c>
      <c r="EC9" s="5" t="e">
        <f t="shared" si="657"/>
        <v>#N/A</v>
      </c>
      <c r="ED9" s="5" t="e">
        <f t="shared" si="658"/>
        <v>#N/A</v>
      </c>
      <c r="EE9" s="5" t="e">
        <f t="shared" si="659"/>
        <v>#N/A</v>
      </c>
      <c r="EF9" s="5" t="e">
        <f t="shared" si="660"/>
        <v>#N/A</v>
      </c>
      <c r="EG9" s="5" t="e">
        <f t="shared" si="661"/>
        <v>#N/A</v>
      </c>
      <c r="EH9" s="5" t="e">
        <f t="shared" si="662"/>
        <v>#N/A</v>
      </c>
      <c r="EI9" s="5" t="e">
        <f t="shared" si="663"/>
        <v>#N/A</v>
      </c>
      <c r="EJ9" s="5" t="e">
        <f t="shared" si="664"/>
        <v>#N/A</v>
      </c>
      <c r="EK9" s="5" t="e">
        <f t="shared" si="665"/>
        <v>#N/A</v>
      </c>
      <c r="EL9" s="5" t="e">
        <f t="shared" si="666"/>
        <v>#N/A</v>
      </c>
      <c r="EM9" s="5" t="e">
        <f t="shared" si="667"/>
        <v>#N/A</v>
      </c>
      <c r="EN9" s="5" t="e">
        <f t="shared" si="668"/>
        <v>#N/A</v>
      </c>
      <c r="EO9" s="5" t="e">
        <f t="shared" si="669"/>
        <v>#N/A</v>
      </c>
      <c r="EP9" s="5" t="e">
        <f t="shared" si="670"/>
        <v>#N/A</v>
      </c>
      <c r="EQ9" s="5" t="e">
        <f t="shared" si="671"/>
        <v>#N/A</v>
      </c>
      <c r="ER9" s="5" t="e">
        <f t="shared" si="672"/>
        <v>#N/A</v>
      </c>
      <c r="ET9" s="5" t="e">
        <f t="shared" si="673"/>
        <v>#N/A</v>
      </c>
      <c r="EU9" s="5" t="e">
        <f t="shared" si="674"/>
        <v>#N/A</v>
      </c>
      <c r="EV9" s="5" t="e">
        <f t="shared" si="675"/>
        <v>#N/A</v>
      </c>
      <c r="EW9" s="5" t="e">
        <f t="shared" si="676"/>
        <v>#N/A</v>
      </c>
      <c r="EX9" s="5" t="e">
        <f t="shared" si="677"/>
        <v>#N/A</v>
      </c>
      <c r="EY9" s="5" t="e">
        <f t="shared" si="678"/>
        <v>#N/A</v>
      </c>
      <c r="EZ9" s="5" t="e">
        <f t="shared" si="679"/>
        <v>#N/A</v>
      </c>
      <c r="FA9" s="5" t="e">
        <f t="shared" si="680"/>
        <v>#N/A</v>
      </c>
      <c r="FB9" s="5" t="e">
        <f t="shared" si="681"/>
        <v>#N/A</v>
      </c>
      <c r="FC9" s="5" t="e">
        <f t="shared" si="682"/>
        <v>#N/A</v>
      </c>
      <c r="FD9" s="5" t="e">
        <f t="shared" si="683"/>
        <v>#N/A</v>
      </c>
      <c r="FE9" s="5" t="e">
        <f t="shared" si="684"/>
        <v>#N/A</v>
      </c>
      <c r="FF9" s="5" t="e">
        <f t="shared" si="685"/>
        <v>#N/A</v>
      </c>
      <c r="FG9" s="5" t="e">
        <f t="shared" si="686"/>
        <v>#N/A</v>
      </c>
      <c r="FH9" s="5" t="e">
        <f t="shared" si="687"/>
        <v>#N/A</v>
      </c>
      <c r="FI9" s="5" t="e">
        <f t="shared" si="688"/>
        <v>#N/A</v>
      </c>
      <c r="FJ9" s="5" t="e">
        <f t="shared" si="689"/>
        <v>#N/A</v>
      </c>
      <c r="FK9" s="5" t="e">
        <f t="shared" si="690"/>
        <v>#N/A</v>
      </c>
      <c r="FL9" s="5" t="e">
        <f t="shared" si="691"/>
        <v>#N/A</v>
      </c>
      <c r="FM9" s="5" t="e">
        <f t="shared" si="692"/>
        <v>#N/A</v>
      </c>
      <c r="FN9" s="5" t="e">
        <f t="shared" si="693"/>
        <v>#N/A</v>
      </c>
      <c r="FO9" s="5" t="e">
        <f t="shared" si="694"/>
        <v>#N/A</v>
      </c>
      <c r="FP9" s="5" t="e">
        <f t="shared" si="695"/>
        <v>#N/A</v>
      </c>
      <c r="FQ9" s="5" t="e">
        <f t="shared" si="696"/>
        <v>#N/A</v>
      </c>
      <c r="FR9" s="5" t="e">
        <f t="shared" si="697"/>
        <v>#N/A</v>
      </c>
      <c r="FS9" s="5" t="e">
        <f t="shared" si="698"/>
        <v>#N/A</v>
      </c>
      <c r="FT9" s="5" t="e">
        <f t="shared" si="699"/>
        <v>#N/A</v>
      </c>
      <c r="FU9" s="5" t="e">
        <f t="shared" si="700"/>
        <v>#N/A</v>
      </c>
      <c r="FV9" s="5" t="e">
        <f t="shared" si="701"/>
        <v>#N/A</v>
      </c>
      <c r="FW9" s="5" t="e">
        <f t="shared" si="702"/>
        <v>#N/A</v>
      </c>
      <c r="FX9" s="5" t="e">
        <f t="shared" si="703"/>
        <v>#N/A</v>
      </c>
      <c r="FY9" s="5" t="e">
        <f t="shared" si="704"/>
        <v>#N/A</v>
      </c>
      <c r="FZ9" s="5" t="e">
        <f t="shared" si="705"/>
        <v>#N/A</v>
      </c>
      <c r="GA9" s="5" t="e">
        <f t="shared" si="706"/>
        <v>#N/A</v>
      </c>
      <c r="GB9" s="5" t="e">
        <f t="shared" si="707"/>
        <v>#N/A</v>
      </c>
      <c r="GC9" s="5" t="e">
        <f t="shared" si="708"/>
        <v>#N/A</v>
      </c>
      <c r="GD9" s="5" t="e">
        <f t="shared" si="709"/>
        <v>#N/A</v>
      </c>
      <c r="GE9" s="5" t="e">
        <f t="shared" si="710"/>
        <v>#N/A</v>
      </c>
      <c r="GF9" s="5" t="e">
        <f t="shared" si="711"/>
        <v>#N/A</v>
      </c>
      <c r="GG9" s="5" t="e">
        <f t="shared" si="712"/>
        <v>#N/A</v>
      </c>
      <c r="GH9" s="5" t="e">
        <f t="shared" si="713"/>
        <v>#N/A</v>
      </c>
      <c r="GI9" s="5" t="e">
        <f t="shared" si="714"/>
        <v>#N/A</v>
      </c>
      <c r="GJ9" s="5" t="e">
        <f t="shared" si="715"/>
        <v>#N/A</v>
      </c>
      <c r="GK9" s="5" t="e">
        <f t="shared" si="716"/>
        <v>#N/A</v>
      </c>
      <c r="GL9" s="5" t="e">
        <f t="shared" si="717"/>
        <v>#N/A</v>
      </c>
      <c r="GM9" s="5" t="e">
        <f t="shared" si="718"/>
        <v>#N/A</v>
      </c>
      <c r="GN9" s="5" t="e">
        <f t="shared" si="719"/>
        <v>#N/A</v>
      </c>
      <c r="GO9" s="5" t="e">
        <f t="shared" si="720"/>
        <v>#N/A</v>
      </c>
      <c r="GP9" s="5" t="e">
        <f t="shared" si="721"/>
        <v>#N/A</v>
      </c>
      <c r="GQ9" s="5" t="e">
        <f t="shared" si="722"/>
        <v>#N/A</v>
      </c>
      <c r="GR9" s="5" t="e">
        <f t="shared" si="723"/>
        <v>#N/A</v>
      </c>
      <c r="GS9" s="5" t="e">
        <f t="shared" si="724"/>
        <v>#N/A</v>
      </c>
      <c r="GT9" s="5" t="e">
        <f t="shared" si="725"/>
        <v>#N/A</v>
      </c>
      <c r="GU9" s="5" t="e">
        <f t="shared" si="726"/>
        <v>#N/A</v>
      </c>
      <c r="GV9" s="5" t="e">
        <f t="shared" si="727"/>
        <v>#N/A</v>
      </c>
      <c r="GW9" s="5" t="e">
        <f t="shared" si="728"/>
        <v>#N/A</v>
      </c>
      <c r="GX9" s="5" t="e">
        <f t="shared" si="729"/>
        <v>#N/A</v>
      </c>
      <c r="GY9" s="5" t="e">
        <f t="shared" si="730"/>
        <v>#N/A</v>
      </c>
      <c r="GZ9" s="5" t="e">
        <f t="shared" si="731"/>
        <v>#N/A</v>
      </c>
      <c r="HA9" s="5" t="e">
        <f t="shared" si="732"/>
        <v>#N/A</v>
      </c>
      <c r="HC9" s="6" t="e">
        <f t="shared" si="733"/>
        <v>#N/A</v>
      </c>
      <c r="HD9" s="5" t="e">
        <f t="shared" si="734"/>
        <v>#N/A</v>
      </c>
      <c r="HE9" s="5" t="e">
        <f t="shared" si="735"/>
        <v>#N/A</v>
      </c>
      <c r="HF9" s="5" t="e">
        <f t="shared" si="736"/>
        <v>#N/A</v>
      </c>
      <c r="HG9" s="5" t="e">
        <f t="shared" si="737"/>
        <v>#N/A</v>
      </c>
      <c r="HH9" s="5" t="e">
        <f t="shared" si="738"/>
        <v>#N/A</v>
      </c>
      <c r="HI9" s="5" t="e">
        <f t="shared" si="739"/>
        <v>#N/A</v>
      </c>
      <c r="HJ9" s="5" t="e">
        <f t="shared" si="740"/>
        <v>#N/A</v>
      </c>
      <c r="HK9" s="5" t="e">
        <f t="shared" si="741"/>
        <v>#N/A</v>
      </c>
      <c r="HL9" s="5" t="e">
        <f t="shared" si="742"/>
        <v>#N/A</v>
      </c>
      <c r="HM9" s="5" t="e">
        <f t="shared" si="743"/>
        <v>#N/A</v>
      </c>
      <c r="HN9" s="5" t="e">
        <f t="shared" si="744"/>
        <v>#N/A</v>
      </c>
      <c r="HO9" s="5" t="e">
        <f t="shared" si="745"/>
        <v>#N/A</v>
      </c>
      <c r="HP9" s="5" t="e">
        <f t="shared" si="746"/>
        <v>#N/A</v>
      </c>
      <c r="HQ9" s="5" t="e">
        <f t="shared" si="747"/>
        <v>#N/A</v>
      </c>
      <c r="HR9" s="5" t="e">
        <f t="shared" si="748"/>
        <v>#N/A</v>
      </c>
      <c r="HS9" s="5" t="e">
        <f t="shared" si="749"/>
        <v>#N/A</v>
      </c>
      <c r="HT9" s="5" t="e">
        <f t="shared" si="750"/>
        <v>#N/A</v>
      </c>
      <c r="HU9" s="5" t="e">
        <f t="shared" si="751"/>
        <v>#N/A</v>
      </c>
      <c r="HV9" s="5" t="e">
        <f t="shared" si="752"/>
        <v>#N/A</v>
      </c>
      <c r="HW9" s="5" t="e">
        <f t="shared" si="753"/>
        <v>#N/A</v>
      </c>
      <c r="HX9" s="5" t="e">
        <f t="shared" si="754"/>
        <v>#N/A</v>
      </c>
      <c r="HY9" s="5" t="e">
        <f t="shared" si="755"/>
        <v>#N/A</v>
      </c>
      <c r="HZ9" s="5" t="e">
        <f t="shared" si="756"/>
        <v>#N/A</v>
      </c>
      <c r="IA9" s="5" t="e">
        <f t="shared" si="757"/>
        <v>#N/A</v>
      </c>
      <c r="IB9" s="5" t="e">
        <f t="shared" si="758"/>
        <v>#N/A</v>
      </c>
      <c r="IC9" s="5" t="e">
        <f t="shared" si="759"/>
        <v>#N/A</v>
      </c>
      <c r="ID9" s="5" t="e">
        <f t="shared" si="760"/>
        <v>#N/A</v>
      </c>
      <c r="IE9" s="5" t="e">
        <f t="shared" si="761"/>
        <v>#N/A</v>
      </c>
      <c r="IF9" s="5" t="e">
        <f t="shared" si="762"/>
        <v>#N/A</v>
      </c>
      <c r="IG9" s="5" t="e">
        <f t="shared" si="763"/>
        <v>#N/A</v>
      </c>
      <c r="IH9" s="5" t="e">
        <f t="shared" si="764"/>
        <v>#N/A</v>
      </c>
      <c r="II9" s="5" t="e">
        <f t="shared" si="765"/>
        <v>#N/A</v>
      </c>
      <c r="IJ9" s="5" t="e">
        <f t="shared" si="766"/>
        <v>#N/A</v>
      </c>
      <c r="IK9" s="5" t="e">
        <f t="shared" si="767"/>
        <v>#N/A</v>
      </c>
      <c r="IL9" s="5" t="e">
        <f t="shared" si="768"/>
        <v>#N/A</v>
      </c>
      <c r="IM9" s="5" t="e">
        <f t="shared" si="769"/>
        <v>#N/A</v>
      </c>
      <c r="IN9" s="5" t="e">
        <f t="shared" si="770"/>
        <v>#N/A</v>
      </c>
      <c r="IO9" s="5" t="e">
        <f t="shared" si="771"/>
        <v>#N/A</v>
      </c>
      <c r="IP9" s="5" t="e">
        <f t="shared" si="772"/>
        <v>#N/A</v>
      </c>
      <c r="IQ9" s="5" t="e">
        <f t="shared" si="773"/>
        <v>#N/A</v>
      </c>
      <c r="IR9" s="5" t="e">
        <f t="shared" si="774"/>
        <v>#N/A</v>
      </c>
      <c r="IS9" s="5" t="e">
        <f t="shared" si="775"/>
        <v>#N/A</v>
      </c>
      <c r="IT9" s="5" t="e">
        <f t="shared" si="776"/>
        <v>#N/A</v>
      </c>
      <c r="IU9" s="5" t="e">
        <f t="shared" si="777"/>
        <v>#N/A</v>
      </c>
      <c r="IV9" s="5" t="e">
        <f t="shared" si="778"/>
        <v>#N/A</v>
      </c>
      <c r="IW9" s="5" t="e">
        <f t="shared" si="779"/>
        <v>#N/A</v>
      </c>
      <c r="IX9" s="5" t="e">
        <f t="shared" si="780"/>
        <v>#N/A</v>
      </c>
      <c r="IY9" s="5" t="e">
        <f t="shared" si="781"/>
        <v>#N/A</v>
      </c>
      <c r="IZ9" s="5" t="e">
        <f t="shared" si="782"/>
        <v>#N/A</v>
      </c>
      <c r="JA9" s="5" t="e">
        <f t="shared" si="783"/>
        <v>#N/A</v>
      </c>
      <c r="JB9" s="5" t="e">
        <f t="shared" si="784"/>
        <v>#N/A</v>
      </c>
      <c r="JC9" s="5" t="e">
        <f t="shared" si="785"/>
        <v>#N/A</v>
      </c>
      <c r="JD9" s="5" t="e">
        <f t="shared" si="786"/>
        <v>#N/A</v>
      </c>
      <c r="JE9" s="5" t="e">
        <f t="shared" si="787"/>
        <v>#N/A</v>
      </c>
      <c r="JF9" s="5" t="e">
        <f t="shared" si="788"/>
        <v>#N/A</v>
      </c>
      <c r="JG9" s="5" t="e">
        <f t="shared" si="789"/>
        <v>#N/A</v>
      </c>
      <c r="JH9" s="5" t="e">
        <f t="shared" si="790"/>
        <v>#N/A</v>
      </c>
      <c r="JI9" s="5" t="e">
        <f t="shared" si="791"/>
        <v>#N/A</v>
      </c>
      <c r="JJ9" s="5" t="e">
        <f t="shared" si="792"/>
        <v>#N/A</v>
      </c>
      <c r="JK9" s="5" t="e">
        <f t="shared" si="793"/>
        <v>#N/A</v>
      </c>
      <c r="JM9" s="19" t="e">
        <f t="shared" si="794"/>
        <v>#N/A</v>
      </c>
      <c r="JN9" s="1">
        <v>7</v>
      </c>
      <c r="JO9" s="5" t="e">
        <f>HLOOKUP(JM9,HC$2:JK9,2+JN8,0)+IF(S9&gt;0,S9,0)-IF(KE9&gt;0,KE9,0)</f>
        <v>#N/A</v>
      </c>
      <c r="JP9" s="5" t="e">
        <f t="shared" si="795"/>
        <v>#N/A</v>
      </c>
      <c r="JQ9" s="17"/>
      <c r="JR9" s="26"/>
      <c r="JS9" s="6">
        <f t="shared" si="796"/>
        <v>0</v>
      </c>
      <c r="JT9" s="5" t="e">
        <f t="shared" si="797"/>
        <v>#N/A</v>
      </c>
      <c r="JU9" s="13">
        <f t="shared" ca="1" si="20"/>
        <v>46161</v>
      </c>
      <c r="JV9" s="6" t="e">
        <f t="shared" si="798"/>
        <v>#N/A</v>
      </c>
      <c r="JW9" s="6"/>
      <c r="JX9" s="6"/>
      <c r="JY9" s="6">
        <f t="shared" si="799"/>
        <v>0</v>
      </c>
      <c r="JZ9" s="10" t="e">
        <f t="shared" si="800"/>
        <v>#N/A</v>
      </c>
      <c r="KA9" s="10" t="e">
        <f t="shared" si="801"/>
        <v>#N/A</v>
      </c>
      <c r="KB9" s="10" t="e">
        <f t="shared" si="802"/>
        <v>#N/A</v>
      </c>
      <c r="KC9" s="10" t="e">
        <f t="shared" si="803"/>
        <v>#N/A</v>
      </c>
      <c r="KD9" s="5" t="e">
        <f t="shared" si="804"/>
        <v>#N/A</v>
      </c>
      <c r="KE9" s="6" t="e">
        <f t="shared" si="805"/>
        <v>#N/A</v>
      </c>
    </row>
    <row r="10" spans="1:291" x14ac:dyDescent="0.3">
      <c r="A10" s="1" t="s">
        <v>58</v>
      </c>
      <c r="C10" s="1" t="e">
        <f>VLOOKUP(B10,DD!A:B,2,0)</f>
        <v>#N/A</v>
      </c>
      <c r="D10" s="1" t="e">
        <f>VLOOKUP(B10,DD!A:K,11,0)</f>
        <v>#N/A</v>
      </c>
      <c r="E10" s="1" t="e">
        <f>VLOOKUP(B10,DD!A:L,12,0)</f>
        <v>#N/A</v>
      </c>
      <c r="F10" s="17" t="e">
        <f>VLOOKUP(B10,DD!A:D,4,0)</f>
        <v>#N/A</v>
      </c>
      <c r="G10" s="9">
        <v>1</v>
      </c>
      <c r="H10" s="3" t="e">
        <f>VLOOKUP(B10,DD!A:E,5,0)</f>
        <v>#N/A</v>
      </c>
      <c r="I10" s="3" t="e">
        <f t="shared" si="601"/>
        <v>#N/A</v>
      </c>
      <c r="J10" s="3" t="e">
        <f>VLOOKUP(B10,DD!A:F,6,0)</f>
        <v>#N/A</v>
      </c>
      <c r="K10" s="3" t="e">
        <f>VLOOKUP(B10,DD!A:H,8,0)</f>
        <v>#N/A</v>
      </c>
      <c r="L10" s="3" t="e">
        <f>VLOOKUP(B10,DD!A:I,9,0)</f>
        <v>#N/A</v>
      </c>
      <c r="M10" s="3" t="e">
        <f>VLOOKUP(B10,DD!A:J,10,0)</f>
        <v>#N/A</v>
      </c>
      <c r="N10" s="3" t="s">
        <v>8</v>
      </c>
      <c r="O10" s="3" t="s">
        <v>9</v>
      </c>
      <c r="P10" s="4" t="e">
        <f>VLOOKUP(B10,DD!A:C,3,0)</f>
        <v>#N/A</v>
      </c>
      <c r="Q10" s="5" t="e">
        <f t="shared" si="602"/>
        <v>#N/A</v>
      </c>
      <c r="R10" s="5" t="e">
        <f t="shared" si="603"/>
        <v>#N/A</v>
      </c>
      <c r="S10" s="5" t="e">
        <f t="shared" si="604"/>
        <v>#N/A</v>
      </c>
      <c r="T10" s="6" t="e">
        <f t="shared" si="605"/>
        <v>#N/A</v>
      </c>
      <c r="U10" s="5" t="e">
        <f t="shared" si="606"/>
        <v>#N/A</v>
      </c>
      <c r="V10" s="6" t="e">
        <f t="shared" si="607"/>
        <v>#N/A</v>
      </c>
      <c r="W10" s="7" t="e">
        <f t="shared" si="608"/>
        <v>#N/A</v>
      </c>
      <c r="X10" s="8" t="e">
        <f t="shared" si="609"/>
        <v>#VALUE!</v>
      </c>
      <c r="Y10" s="6" t="e">
        <f t="shared" si="610"/>
        <v>#N/A</v>
      </c>
      <c r="Z10" s="7" t="e">
        <f t="shared" si="10"/>
        <v>#N/A</v>
      </c>
      <c r="AA10" s="7" t="e">
        <f t="shared" si="10"/>
        <v>#N/A</v>
      </c>
      <c r="AB10" s="7" t="e">
        <f t="shared" si="10"/>
        <v>#N/A</v>
      </c>
      <c r="AC10" s="7" t="e">
        <f t="shared" si="10"/>
        <v>#N/A</v>
      </c>
      <c r="AD10" s="7" t="e">
        <f t="shared" si="10"/>
        <v>#N/A</v>
      </c>
      <c r="AE10" s="7" t="e">
        <f t="shared" si="10"/>
        <v>#N/A</v>
      </c>
      <c r="AF10" s="7" t="e">
        <f t="shared" si="10"/>
        <v>#N/A</v>
      </c>
      <c r="AG10" s="7" t="e">
        <f t="shared" si="10"/>
        <v>#N/A</v>
      </c>
      <c r="AH10" s="7" t="e">
        <f t="shared" si="10"/>
        <v>#N/A</v>
      </c>
      <c r="AI10" s="7" t="e">
        <f t="shared" si="10"/>
        <v>#N/A</v>
      </c>
      <c r="AJ10" s="7" t="e">
        <f t="shared" si="10"/>
        <v>#N/A</v>
      </c>
      <c r="AK10" s="7" t="e">
        <f t="shared" si="10"/>
        <v>#N/A</v>
      </c>
      <c r="AL10" s="7" t="e">
        <f t="shared" si="10"/>
        <v>#N/A</v>
      </c>
      <c r="AM10" s="7" t="e">
        <f t="shared" si="10"/>
        <v>#N/A</v>
      </c>
      <c r="AN10" s="7" t="e">
        <f t="shared" si="10"/>
        <v>#N/A</v>
      </c>
      <c r="AO10" s="7" t="e">
        <f t="shared" si="10"/>
        <v>#N/A</v>
      </c>
      <c r="AP10" s="7" t="e">
        <f t="shared" si="10"/>
        <v>#N/A</v>
      </c>
      <c r="AQ10" s="7" t="e">
        <f t="shared" si="10"/>
        <v>#N/A</v>
      </c>
      <c r="AR10" s="7" t="e">
        <f t="shared" si="10"/>
        <v>#N/A</v>
      </c>
      <c r="AS10" s="7" t="e">
        <f t="shared" si="10"/>
        <v>#N/A</v>
      </c>
      <c r="AT10" s="7" t="e">
        <f t="shared" si="10"/>
        <v>#N/A</v>
      </c>
      <c r="AU10" s="7" t="e">
        <f t="shared" si="10"/>
        <v>#N/A</v>
      </c>
      <c r="AV10" s="7" t="e">
        <f t="shared" si="10"/>
        <v>#N/A</v>
      </c>
      <c r="AW10" s="7" t="e">
        <f t="shared" si="10"/>
        <v>#N/A</v>
      </c>
      <c r="AX10" s="7" t="e">
        <f t="shared" si="10"/>
        <v>#N/A</v>
      </c>
      <c r="AY10" s="7" t="e">
        <f t="shared" si="10"/>
        <v>#N/A</v>
      </c>
      <c r="AZ10" s="7" t="e">
        <f t="shared" si="10"/>
        <v>#N/A</v>
      </c>
      <c r="BA10" s="7" t="e">
        <f t="shared" si="10"/>
        <v>#N/A</v>
      </c>
      <c r="BB10" s="7" t="e">
        <f t="shared" si="10"/>
        <v>#N/A</v>
      </c>
      <c r="BC10" s="7" t="e">
        <f t="shared" si="10"/>
        <v>#N/A</v>
      </c>
      <c r="BD10" s="7" t="e">
        <f t="shared" si="10"/>
        <v>#N/A</v>
      </c>
      <c r="BE10" s="7" t="e">
        <f t="shared" ref="Z10:BE17" si="806">IF($I10&gt;=BE$2,$U10,0)-IF($I10=BE$2,$S10)-IF($S10&gt;1,$S10,0)+$S10</f>
        <v>#N/A</v>
      </c>
      <c r="BF10" s="7" t="e">
        <f t="shared" si="11"/>
        <v>#N/A</v>
      </c>
      <c r="BG10" s="7" t="e">
        <f t="shared" si="11"/>
        <v>#N/A</v>
      </c>
      <c r="BH10" s="7" t="e">
        <f t="shared" si="11"/>
        <v>#N/A</v>
      </c>
      <c r="BI10" s="7" t="e">
        <f t="shared" si="11"/>
        <v>#N/A</v>
      </c>
      <c r="BJ10" s="7" t="e">
        <f t="shared" si="11"/>
        <v>#N/A</v>
      </c>
      <c r="BK10" s="7" t="e">
        <f t="shared" si="11"/>
        <v>#N/A</v>
      </c>
      <c r="BL10" s="7" t="e">
        <f t="shared" si="11"/>
        <v>#N/A</v>
      </c>
      <c r="BM10" s="7" t="e">
        <f t="shared" si="11"/>
        <v>#N/A</v>
      </c>
      <c r="BN10" s="7" t="e">
        <f t="shared" si="11"/>
        <v>#N/A</v>
      </c>
      <c r="BO10" s="7" t="e">
        <f t="shared" si="11"/>
        <v>#N/A</v>
      </c>
      <c r="BP10" s="7" t="e">
        <f t="shared" si="11"/>
        <v>#N/A</v>
      </c>
      <c r="BQ10" s="7" t="e">
        <f t="shared" si="11"/>
        <v>#N/A</v>
      </c>
      <c r="BR10" s="7" t="e">
        <f t="shared" si="11"/>
        <v>#N/A</v>
      </c>
      <c r="BS10" s="7" t="e">
        <f t="shared" si="11"/>
        <v>#N/A</v>
      </c>
      <c r="BT10" s="7" t="e">
        <f t="shared" si="11"/>
        <v>#N/A</v>
      </c>
      <c r="BU10" s="7" t="e">
        <f t="shared" si="11"/>
        <v>#N/A</v>
      </c>
      <c r="BV10" s="7" t="e">
        <f t="shared" si="11"/>
        <v>#N/A</v>
      </c>
      <c r="BW10" s="7" t="e">
        <f t="shared" si="11"/>
        <v>#N/A</v>
      </c>
      <c r="BX10" s="7" t="e">
        <f t="shared" si="11"/>
        <v>#N/A</v>
      </c>
      <c r="BY10" s="7" t="e">
        <f t="shared" si="11"/>
        <v>#N/A</v>
      </c>
      <c r="BZ10" s="7" t="e">
        <f t="shared" si="11"/>
        <v>#N/A</v>
      </c>
      <c r="CA10" s="7" t="e">
        <f t="shared" si="11"/>
        <v>#N/A</v>
      </c>
      <c r="CB10" s="7" t="e">
        <f t="shared" si="11"/>
        <v>#N/A</v>
      </c>
      <c r="CC10" s="7" t="e">
        <f t="shared" si="11"/>
        <v>#N/A</v>
      </c>
      <c r="CD10" s="7" t="e">
        <f t="shared" si="11"/>
        <v>#N/A</v>
      </c>
      <c r="CE10" s="7" t="e">
        <f t="shared" si="11"/>
        <v>#N/A</v>
      </c>
      <c r="CF10" s="7" t="e">
        <f t="shared" si="11"/>
        <v>#N/A</v>
      </c>
      <c r="CG10" s="7" t="e">
        <f t="shared" si="11"/>
        <v>#N/A</v>
      </c>
      <c r="CH10" s="6" t="e">
        <f t="shared" si="611"/>
        <v>#N/A</v>
      </c>
      <c r="CI10" s="5" t="e">
        <f t="shared" si="612"/>
        <v>#N/A</v>
      </c>
      <c r="CK10" s="5" t="e">
        <f t="shared" si="613"/>
        <v>#N/A</v>
      </c>
      <c r="CL10" s="5" t="e">
        <f t="shared" si="614"/>
        <v>#N/A</v>
      </c>
      <c r="CM10" s="5" t="e">
        <f t="shared" si="615"/>
        <v>#N/A</v>
      </c>
      <c r="CN10" s="5" t="e">
        <f t="shared" si="616"/>
        <v>#N/A</v>
      </c>
      <c r="CO10" s="5" t="e">
        <f t="shared" si="617"/>
        <v>#N/A</v>
      </c>
      <c r="CP10" s="5" t="e">
        <f t="shared" si="618"/>
        <v>#N/A</v>
      </c>
      <c r="CQ10" s="5" t="e">
        <f t="shared" si="619"/>
        <v>#N/A</v>
      </c>
      <c r="CR10" s="5" t="e">
        <f t="shared" si="620"/>
        <v>#N/A</v>
      </c>
      <c r="CS10" s="5" t="e">
        <f t="shared" si="621"/>
        <v>#N/A</v>
      </c>
      <c r="CT10" s="5" t="e">
        <f t="shared" si="622"/>
        <v>#N/A</v>
      </c>
      <c r="CU10" s="5" t="e">
        <f t="shared" si="623"/>
        <v>#N/A</v>
      </c>
      <c r="CV10" s="5" t="e">
        <f t="shared" si="624"/>
        <v>#N/A</v>
      </c>
      <c r="CW10" s="5" t="e">
        <f t="shared" si="625"/>
        <v>#N/A</v>
      </c>
      <c r="CX10" s="5" t="e">
        <f t="shared" si="626"/>
        <v>#N/A</v>
      </c>
      <c r="CY10" s="5" t="e">
        <f t="shared" si="627"/>
        <v>#N/A</v>
      </c>
      <c r="CZ10" s="5" t="e">
        <f t="shared" si="628"/>
        <v>#N/A</v>
      </c>
      <c r="DA10" s="5" t="e">
        <f t="shared" si="629"/>
        <v>#N/A</v>
      </c>
      <c r="DB10" s="5" t="e">
        <f t="shared" si="630"/>
        <v>#N/A</v>
      </c>
      <c r="DC10" s="5" t="e">
        <f t="shared" si="631"/>
        <v>#N/A</v>
      </c>
      <c r="DD10" s="5" t="e">
        <f t="shared" si="632"/>
        <v>#N/A</v>
      </c>
      <c r="DE10" s="5" t="e">
        <f t="shared" si="633"/>
        <v>#N/A</v>
      </c>
      <c r="DF10" s="5" t="e">
        <f t="shared" si="634"/>
        <v>#N/A</v>
      </c>
      <c r="DG10" s="5" t="e">
        <f t="shared" si="635"/>
        <v>#N/A</v>
      </c>
      <c r="DH10" s="5" t="e">
        <f t="shared" si="636"/>
        <v>#N/A</v>
      </c>
      <c r="DI10" s="5" t="e">
        <f t="shared" si="637"/>
        <v>#N/A</v>
      </c>
      <c r="DJ10" s="5" t="e">
        <f t="shared" si="638"/>
        <v>#N/A</v>
      </c>
      <c r="DK10" s="5" t="e">
        <f t="shared" si="639"/>
        <v>#N/A</v>
      </c>
      <c r="DL10" s="5" t="e">
        <f t="shared" si="640"/>
        <v>#N/A</v>
      </c>
      <c r="DM10" s="5" t="e">
        <f t="shared" si="641"/>
        <v>#N/A</v>
      </c>
      <c r="DN10" s="5" t="e">
        <f t="shared" si="642"/>
        <v>#N/A</v>
      </c>
      <c r="DO10" s="5" t="e">
        <f t="shared" si="643"/>
        <v>#N/A</v>
      </c>
      <c r="DP10" s="5" t="e">
        <f t="shared" si="644"/>
        <v>#N/A</v>
      </c>
      <c r="DQ10" s="5" t="e">
        <f t="shared" si="645"/>
        <v>#N/A</v>
      </c>
      <c r="DR10" s="5" t="e">
        <f t="shared" si="646"/>
        <v>#N/A</v>
      </c>
      <c r="DS10" s="5" t="e">
        <f t="shared" si="647"/>
        <v>#N/A</v>
      </c>
      <c r="DT10" s="5" t="e">
        <f t="shared" si="648"/>
        <v>#N/A</v>
      </c>
      <c r="DU10" s="5" t="e">
        <f t="shared" si="649"/>
        <v>#N/A</v>
      </c>
      <c r="DV10" s="5" t="e">
        <f t="shared" si="650"/>
        <v>#N/A</v>
      </c>
      <c r="DW10" s="5" t="e">
        <f t="shared" si="651"/>
        <v>#N/A</v>
      </c>
      <c r="DX10" s="5" t="e">
        <f t="shared" si="652"/>
        <v>#N/A</v>
      </c>
      <c r="DY10" s="5" t="e">
        <f t="shared" si="653"/>
        <v>#N/A</v>
      </c>
      <c r="DZ10" s="5" t="e">
        <f t="shared" si="654"/>
        <v>#N/A</v>
      </c>
      <c r="EA10" s="5" t="e">
        <f t="shared" si="655"/>
        <v>#N/A</v>
      </c>
      <c r="EB10" s="5" t="e">
        <f t="shared" si="656"/>
        <v>#N/A</v>
      </c>
      <c r="EC10" s="5" t="e">
        <f t="shared" si="657"/>
        <v>#N/A</v>
      </c>
      <c r="ED10" s="5" t="e">
        <f t="shared" si="658"/>
        <v>#N/A</v>
      </c>
      <c r="EE10" s="5" t="e">
        <f t="shared" si="659"/>
        <v>#N/A</v>
      </c>
      <c r="EF10" s="5" t="e">
        <f t="shared" si="660"/>
        <v>#N/A</v>
      </c>
      <c r="EG10" s="5" t="e">
        <f t="shared" si="661"/>
        <v>#N/A</v>
      </c>
      <c r="EH10" s="5" t="e">
        <f t="shared" si="662"/>
        <v>#N/A</v>
      </c>
      <c r="EI10" s="5" t="e">
        <f t="shared" si="663"/>
        <v>#N/A</v>
      </c>
      <c r="EJ10" s="5" t="e">
        <f t="shared" si="664"/>
        <v>#N/A</v>
      </c>
      <c r="EK10" s="5" t="e">
        <f t="shared" si="665"/>
        <v>#N/A</v>
      </c>
      <c r="EL10" s="5" t="e">
        <f t="shared" si="666"/>
        <v>#N/A</v>
      </c>
      <c r="EM10" s="5" t="e">
        <f t="shared" si="667"/>
        <v>#N/A</v>
      </c>
      <c r="EN10" s="5" t="e">
        <f t="shared" si="668"/>
        <v>#N/A</v>
      </c>
      <c r="EO10" s="5" t="e">
        <f t="shared" si="669"/>
        <v>#N/A</v>
      </c>
      <c r="EP10" s="5" t="e">
        <f t="shared" si="670"/>
        <v>#N/A</v>
      </c>
      <c r="EQ10" s="5" t="e">
        <f t="shared" si="671"/>
        <v>#N/A</v>
      </c>
      <c r="ER10" s="5" t="e">
        <f t="shared" si="672"/>
        <v>#N/A</v>
      </c>
      <c r="ET10" s="5" t="e">
        <f t="shared" si="673"/>
        <v>#N/A</v>
      </c>
      <c r="EU10" s="5" t="e">
        <f t="shared" si="674"/>
        <v>#N/A</v>
      </c>
      <c r="EV10" s="5" t="e">
        <f t="shared" si="675"/>
        <v>#N/A</v>
      </c>
      <c r="EW10" s="5" t="e">
        <f t="shared" si="676"/>
        <v>#N/A</v>
      </c>
      <c r="EX10" s="5" t="e">
        <f t="shared" si="677"/>
        <v>#N/A</v>
      </c>
      <c r="EY10" s="5" t="e">
        <f t="shared" si="678"/>
        <v>#N/A</v>
      </c>
      <c r="EZ10" s="5" t="e">
        <f t="shared" si="679"/>
        <v>#N/A</v>
      </c>
      <c r="FA10" s="5" t="e">
        <f t="shared" si="680"/>
        <v>#N/A</v>
      </c>
      <c r="FB10" s="5" t="e">
        <f t="shared" si="681"/>
        <v>#N/A</v>
      </c>
      <c r="FC10" s="5" t="e">
        <f t="shared" si="682"/>
        <v>#N/A</v>
      </c>
      <c r="FD10" s="5" t="e">
        <f t="shared" si="683"/>
        <v>#N/A</v>
      </c>
      <c r="FE10" s="5" t="e">
        <f t="shared" si="684"/>
        <v>#N/A</v>
      </c>
      <c r="FF10" s="5" t="e">
        <f t="shared" si="685"/>
        <v>#N/A</v>
      </c>
      <c r="FG10" s="5" t="e">
        <f t="shared" si="686"/>
        <v>#N/A</v>
      </c>
      <c r="FH10" s="5" t="e">
        <f t="shared" si="687"/>
        <v>#N/A</v>
      </c>
      <c r="FI10" s="5" t="e">
        <f t="shared" si="688"/>
        <v>#N/A</v>
      </c>
      <c r="FJ10" s="5" t="e">
        <f t="shared" si="689"/>
        <v>#N/A</v>
      </c>
      <c r="FK10" s="5" t="e">
        <f t="shared" si="690"/>
        <v>#N/A</v>
      </c>
      <c r="FL10" s="5" t="e">
        <f t="shared" si="691"/>
        <v>#N/A</v>
      </c>
      <c r="FM10" s="5" t="e">
        <f t="shared" si="692"/>
        <v>#N/A</v>
      </c>
      <c r="FN10" s="5" t="e">
        <f t="shared" si="693"/>
        <v>#N/A</v>
      </c>
      <c r="FO10" s="5" t="e">
        <f t="shared" si="694"/>
        <v>#N/A</v>
      </c>
      <c r="FP10" s="5" t="e">
        <f t="shared" si="695"/>
        <v>#N/A</v>
      </c>
      <c r="FQ10" s="5" t="e">
        <f t="shared" si="696"/>
        <v>#N/A</v>
      </c>
      <c r="FR10" s="5" t="e">
        <f t="shared" si="697"/>
        <v>#N/A</v>
      </c>
      <c r="FS10" s="5" t="e">
        <f t="shared" si="698"/>
        <v>#N/A</v>
      </c>
      <c r="FT10" s="5" t="e">
        <f t="shared" si="699"/>
        <v>#N/A</v>
      </c>
      <c r="FU10" s="5" t="e">
        <f t="shared" si="700"/>
        <v>#N/A</v>
      </c>
      <c r="FV10" s="5" t="e">
        <f t="shared" si="701"/>
        <v>#N/A</v>
      </c>
      <c r="FW10" s="5" t="e">
        <f t="shared" si="702"/>
        <v>#N/A</v>
      </c>
      <c r="FX10" s="5" t="e">
        <f t="shared" si="703"/>
        <v>#N/A</v>
      </c>
      <c r="FY10" s="5" t="e">
        <f t="shared" si="704"/>
        <v>#N/A</v>
      </c>
      <c r="FZ10" s="5" t="e">
        <f t="shared" si="705"/>
        <v>#N/A</v>
      </c>
      <c r="GA10" s="5" t="e">
        <f t="shared" si="706"/>
        <v>#N/A</v>
      </c>
      <c r="GB10" s="5" t="e">
        <f t="shared" si="707"/>
        <v>#N/A</v>
      </c>
      <c r="GC10" s="5" t="e">
        <f t="shared" si="708"/>
        <v>#N/A</v>
      </c>
      <c r="GD10" s="5" t="e">
        <f t="shared" si="709"/>
        <v>#N/A</v>
      </c>
      <c r="GE10" s="5" t="e">
        <f t="shared" si="710"/>
        <v>#N/A</v>
      </c>
      <c r="GF10" s="5" t="e">
        <f t="shared" si="711"/>
        <v>#N/A</v>
      </c>
      <c r="GG10" s="5" t="e">
        <f t="shared" si="712"/>
        <v>#N/A</v>
      </c>
      <c r="GH10" s="5" t="e">
        <f t="shared" si="713"/>
        <v>#N/A</v>
      </c>
      <c r="GI10" s="5" t="e">
        <f t="shared" si="714"/>
        <v>#N/A</v>
      </c>
      <c r="GJ10" s="5" t="e">
        <f t="shared" si="715"/>
        <v>#N/A</v>
      </c>
      <c r="GK10" s="5" t="e">
        <f t="shared" si="716"/>
        <v>#N/A</v>
      </c>
      <c r="GL10" s="5" t="e">
        <f t="shared" si="717"/>
        <v>#N/A</v>
      </c>
      <c r="GM10" s="5" t="e">
        <f t="shared" si="718"/>
        <v>#N/A</v>
      </c>
      <c r="GN10" s="5" t="e">
        <f t="shared" si="719"/>
        <v>#N/A</v>
      </c>
      <c r="GO10" s="5" t="e">
        <f t="shared" si="720"/>
        <v>#N/A</v>
      </c>
      <c r="GP10" s="5" t="e">
        <f t="shared" si="721"/>
        <v>#N/A</v>
      </c>
      <c r="GQ10" s="5" t="e">
        <f t="shared" si="722"/>
        <v>#N/A</v>
      </c>
      <c r="GR10" s="5" t="e">
        <f t="shared" si="723"/>
        <v>#N/A</v>
      </c>
      <c r="GS10" s="5" t="e">
        <f t="shared" si="724"/>
        <v>#N/A</v>
      </c>
      <c r="GT10" s="5" t="e">
        <f t="shared" si="725"/>
        <v>#N/A</v>
      </c>
      <c r="GU10" s="5" t="e">
        <f t="shared" si="726"/>
        <v>#N/A</v>
      </c>
      <c r="GV10" s="5" t="e">
        <f t="shared" si="727"/>
        <v>#N/A</v>
      </c>
      <c r="GW10" s="5" t="e">
        <f t="shared" si="728"/>
        <v>#N/A</v>
      </c>
      <c r="GX10" s="5" t="e">
        <f t="shared" si="729"/>
        <v>#N/A</v>
      </c>
      <c r="GY10" s="5" t="e">
        <f t="shared" si="730"/>
        <v>#N/A</v>
      </c>
      <c r="GZ10" s="5" t="e">
        <f t="shared" si="731"/>
        <v>#N/A</v>
      </c>
      <c r="HA10" s="5" t="e">
        <f t="shared" si="732"/>
        <v>#N/A</v>
      </c>
      <c r="HC10" s="6" t="e">
        <f t="shared" si="733"/>
        <v>#N/A</v>
      </c>
      <c r="HD10" s="5" t="e">
        <f t="shared" si="734"/>
        <v>#N/A</v>
      </c>
      <c r="HE10" s="5" t="e">
        <f t="shared" si="735"/>
        <v>#N/A</v>
      </c>
      <c r="HF10" s="5" t="e">
        <f t="shared" si="736"/>
        <v>#N/A</v>
      </c>
      <c r="HG10" s="5" t="e">
        <f t="shared" si="737"/>
        <v>#N/A</v>
      </c>
      <c r="HH10" s="5" t="e">
        <f t="shared" si="738"/>
        <v>#N/A</v>
      </c>
      <c r="HI10" s="5" t="e">
        <f t="shared" si="739"/>
        <v>#N/A</v>
      </c>
      <c r="HJ10" s="5" t="e">
        <f t="shared" si="740"/>
        <v>#N/A</v>
      </c>
      <c r="HK10" s="5" t="e">
        <f t="shared" si="741"/>
        <v>#N/A</v>
      </c>
      <c r="HL10" s="5" t="e">
        <f t="shared" si="742"/>
        <v>#N/A</v>
      </c>
      <c r="HM10" s="5" t="e">
        <f t="shared" si="743"/>
        <v>#N/A</v>
      </c>
      <c r="HN10" s="5" t="e">
        <f t="shared" si="744"/>
        <v>#N/A</v>
      </c>
      <c r="HO10" s="5" t="e">
        <f t="shared" si="745"/>
        <v>#N/A</v>
      </c>
      <c r="HP10" s="5" t="e">
        <f t="shared" si="746"/>
        <v>#N/A</v>
      </c>
      <c r="HQ10" s="5" t="e">
        <f t="shared" si="747"/>
        <v>#N/A</v>
      </c>
      <c r="HR10" s="5" t="e">
        <f t="shared" si="748"/>
        <v>#N/A</v>
      </c>
      <c r="HS10" s="5" t="e">
        <f t="shared" si="749"/>
        <v>#N/A</v>
      </c>
      <c r="HT10" s="5" t="e">
        <f t="shared" si="750"/>
        <v>#N/A</v>
      </c>
      <c r="HU10" s="5" t="e">
        <f t="shared" si="751"/>
        <v>#N/A</v>
      </c>
      <c r="HV10" s="5" t="e">
        <f t="shared" si="752"/>
        <v>#N/A</v>
      </c>
      <c r="HW10" s="5" t="e">
        <f t="shared" si="753"/>
        <v>#N/A</v>
      </c>
      <c r="HX10" s="5" t="e">
        <f t="shared" si="754"/>
        <v>#N/A</v>
      </c>
      <c r="HY10" s="5" t="e">
        <f t="shared" si="755"/>
        <v>#N/A</v>
      </c>
      <c r="HZ10" s="5" t="e">
        <f t="shared" si="756"/>
        <v>#N/A</v>
      </c>
      <c r="IA10" s="5" t="e">
        <f t="shared" si="757"/>
        <v>#N/A</v>
      </c>
      <c r="IB10" s="5" t="e">
        <f t="shared" si="758"/>
        <v>#N/A</v>
      </c>
      <c r="IC10" s="5" t="e">
        <f t="shared" si="759"/>
        <v>#N/A</v>
      </c>
      <c r="ID10" s="5" t="e">
        <f t="shared" si="760"/>
        <v>#N/A</v>
      </c>
      <c r="IE10" s="5" t="e">
        <f t="shared" si="761"/>
        <v>#N/A</v>
      </c>
      <c r="IF10" s="5" t="e">
        <f t="shared" si="762"/>
        <v>#N/A</v>
      </c>
      <c r="IG10" s="5" t="e">
        <f t="shared" si="763"/>
        <v>#N/A</v>
      </c>
      <c r="IH10" s="5" t="e">
        <f t="shared" si="764"/>
        <v>#N/A</v>
      </c>
      <c r="II10" s="5" t="e">
        <f t="shared" si="765"/>
        <v>#N/A</v>
      </c>
      <c r="IJ10" s="5" t="e">
        <f t="shared" si="766"/>
        <v>#N/A</v>
      </c>
      <c r="IK10" s="5" t="e">
        <f t="shared" si="767"/>
        <v>#N/A</v>
      </c>
      <c r="IL10" s="5" t="e">
        <f t="shared" si="768"/>
        <v>#N/A</v>
      </c>
      <c r="IM10" s="5" t="e">
        <f t="shared" si="769"/>
        <v>#N/A</v>
      </c>
      <c r="IN10" s="5" t="e">
        <f t="shared" si="770"/>
        <v>#N/A</v>
      </c>
      <c r="IO10" s="5" t="e">
        <f t="shared" si="771"/>
        <v>#N/A</v>
      </c>
      <c r="IP10" s="5" t="e">
        <f t="shared" si="772"/>
        <v>#N/A</v>
      </c>
      <c r="IQ10" s="5" t="e">
        <f t="shared" si="773"/>
        <v>#N/A</v>
      </c>
      <c r="IR10" s="5" t="e">
        <f t="shared" si="774"/>
        <v>#N/A</v>
      </c>
      <c r="IS10" s="5" t="e">
        <f t="shared" si="775"/>
        <v>#N/A</v>
      </c>
      <c r="IT10" s="5" t="e">
        <f t="shared" si="776"/>
        <v>#N/A</v>
      </c>
      <c r="IU10" s="5" t="e">
        <f t="shared" si="777"/>
        <v>#N/A</v>
      </c>
      <c r="IV10" s="5" t="e">
        <f t="shared" si="778"/>
        <v>#N/A</v>
      </c>
      <c r="IW10" s="5" t="e">
        <f t="shared" si="779"/>
        <v>#N/A</v>
      </c>
      <c r="IX10" s="5" t="e">
        <f t="shared" si="780"/>
        <v>#N/A</v>
      </c>
      <c r="IY10" s="5" t="e">
        <f t="shared" si="781"/>
        <v>#N/A</v>
      </c>
      <c r="IZ10" s="5" t="e">
        <f t="shared" si="782"/>
        <v>#N/A</v>
      </c>
      <c r="JA10" s="5" t="e">
        <f t="shared" si="783"/>
        <v>#N/A</v>
      </c>
      <c r="JB10" s="5" t="e">
        <f t="shared" si="784"/>
        <v>#N/A</v>
      </c>
      <c r="JC10" s="5" t="e">
        <f t="shared" si="785"/>
        <v>#N/A</v>
      </c>
      <c r="JD10" s="5" t="e">
        <f t="shared" si="786"/>
        <v>#N/A</v>
      </c>
      <c r="JE10" s="5" t="e">
        <f t="shared" si="787"/>
        <v>#N/A</v>
      </c>
      <c r="JF10" s="5" t="e">
        <f t="shared" si="788"/>
        <v>#N/A</v>
      </c>
      <c r="JG10" s="5" t="e">
        <f t="shared" si="789"/>
        <v>#N/A</v>
      </c>
      <c r="JH10" s="5" t="e">
        <f t="shared" si="790"/>
        <v>#N/A</v>
      </c>
      <c r="JI10" s="5" t="e">
        <f t="shared" si="791"/>
        <v>#N/A</v>
      </c>
      <c r="JJ10" s="5" t="e">
        <f t="shared" si="792"/>
        <v>#N/A</v>
      </c>
      <c r="JK10" s="5" t="e">
        <f t="shared" si="793"/>
        <v>#N/A</v>
      </c>
      <c r="JM10" s="19" t="e">
        <f t="shared" si="794"/>
        <v>#N/A</v>
      </c>
      <c r="JN10" s="1">
        <v>8</v>
      </c>
      <c r="JO10" s="5" t="e">
        <f>HLOOKUP(JM10,HC$2:JK10,2+JN9,0)+IF(S10&gt;0,S10,0)-IF(KE10&gt;0,KE10,0)</f>
        <v>#N/A</v>
      </c>
      <c r="JP10" s="5" t="e">
        <f t="shared" si="795"/>
        <v>#N/A</v>
      </c>
      <c r="JQ10" s="17"/>
      <c r="JR10" s="26"/>
      <c r="JS10" s="6">
        <f t="shared" si="796"/>
        <v>0</v>
      </c>
      <c r="JT10" s="5" t="e">
        <f t="shared" si="797"/>
        <v>#N/A</v>
      </c>
      <c r="JU10" s="13">
        <f t="shared" ca="1" si="20"/>
        <v>46161</v>
      </c>
      <c r="JV10" s="6" t="e">
        <f t="shared" si="798"/>
        <v>#N/A</v>
      </c>
      <c r="JW10" s="6"/>
      <c r="JX10" s="6"/>
      <c r="JY10" s="6">
        <f t="shared" si="799"/>
        <v>0</v>
      </c>
      <c r="JZ10" s="10" t="e">
        <f t="shared" si="800"/>
        <v>#N/A</v>
      </c>
      <c r="KA10" s="10" t="e">
        <f t="shared" si="801"/>
        <v>#N/A</v>
      </c>
      <c r="KB10" s="10" t="e">
        <f t="shared" si="802"/>
        <v>#N/A</v>
      </c>
      <c r="KC10" s="10" t="e">
        <f t="shared" si="803"/>
        <v>#N/A</v>
      </c>
      <c r="KD10" s="5" t="e">
        <f t="shared" si="804"/>
        <v>#N/A</v>
      </c>
      <c r="KE10" s="6" t="e">
        <f t="shared" si="805"/>
        <v>#N/A</v>
      </c>
    </row>
    <row r="11" spans="1:291" ht="14.4" customHeight="1" x14ac:dyDescent="0.3">
      <c r="A11" s="1" t="s">
        <v>58</v>
      </c>
      <c r="C11" s="1" t="e">
        <f>VLOOKUP(B11,DD!A:B,2,0)</f>
        <v>#N/A</v>
      </c>
      <c r="D11" s="1" t="e">
        <f>VLOOKUP(B11,DD!A:K,11,0)</f>
        <v>#N/A</v>
      </c>
      <c r="E11" s="1" t="e">
        <f>VLOOKUP(B11,DD!A:L,12,0)</f>
        <v>#N/A</v>
      </c>
      <c r="F11" s="17" t="e">
        <f>VLOOKUP(B11,DD!A:D,4,0)</f>
        <v>#N/A</v>
      </c>
      <c r="G11" s="9">
        <v>1</v>
      </c>
      <c r="H11" s="3" t="e">
        <f>VLOOKUP(B11,DD!A:E,5,0)</f>
        <v>#N/A</v>
      </c>
      <c r="I11" s="3" t="e">
        <f t="shared" si="601"/>
        <v>#N/A</v>
      </c>
      <c r="J11" s="3" t="e">
        <f>VLOOKUP(B11,DD!A:F,6,0)</f>
        <v>#N/A</v>
      </c>
      <c r="K11" s="3" t="e">
        <f>VLOOKUP(B11,DD!A:H,8,0)</f>
        <v>#N/A</v>
      </c>
      <c r="L11" s="3" t="e">
        <f>VLOOKUP(B11,DD!A:I,9,0)</f>
        <v>#N/A</v>
      </c>
      <c r="M11" s="3" t="e">
        <f>VLOOKUP(B11,DD!A:J,10,0)</f>
        <v>#N/A</v>
      </c>
      <c r="N11" s="3" t="s">
        <v>8</v>
      </c>
      <c r="O11" s="3" t="s">
        <v>9</v>
      </c>
      <c r="P11" s="4" t="e">
        <f>VLOOKUP(B11,DD!A:C,3,0)</f>
        <v>#N/A</v>
      </c>
      <c r="Q11" s="5" t="e">
        <f t="shared" si="602"/>
        <v>#N/A</v>
      </c>
      <c r="R11" s="5" t="e">
        <f t="shared" si="603"/>
        <v>#N/A</v>
      </c>
      <c r="S11" s="5" t="e">
        <f t="shared" si="604"/>
        <v>#N/A</v>
      </c>
      <c r="T11" s="6" t="e">
        <f t="shared" si="605"/>
        <v>#N/A</v>
      </c>
      <c r="U11" s="5" t="e">
        <f t="shared" si="606"/>
        <v>#N/A</v>
      </c>
      <c r="V11" s="6" t="e">
        <f t="shared" si="607"/>
        <v>#N/A</v>
      </c>
      <c r="W11" s="7" t="e">
        <f t="shared" si="608"/>
        <v>#N/A</v>
      </c>
      <c r="X11" s="8" t="e">
        <f t="shared" si="609"/>
        <v>#VALUE!</v>
      </c>
      <c r="Y11" s="6" t="e">
        <f t="shared" si="610"/>
        <v>#N/A</v>
      </c>
      <c r="Z11" s="7" t="e">
        <f t="shared" si="806"/>
        <v>#N/A</v>
      </c>
      <c r="AA11" s="7" t="e">
        <f t="shared" si="806"/>
        <v>#N/A</v>
      </c>
      <c r="AB11" s="7" t="e">
        <f t="shared" si="806"/>
        <v>#N/A</v>
      </c>
      <c r="AC11" s="7" t="e">
        <f t="shared" si="806"/>
        <v>#N/A</v>
      </c>
      <c r="AD11" s="7" t="e">
        <f t="shared" si="806"/>
        <v>#N/A</v>
      </c>
      <c r="AE11" s="7" t="e">
        <f t="shared" si="806"/>
        <v>#N/A</v>
      </c>
      <c r="AF11" s="7" t="e">
        <f t="shared" si="806"/>
        <v>#N/A</v>
      </c>
      <c r="AG11" s="7" t="e">
        <f t="shared" si="806"/>
        <v>#N/A</v>
      </c>
      <c r="AH11" s="7" t="e">
        <f t="shared" si="806"/>
        <v>#N/A</v>
      </c>
      <c r="AI11" s="7" t="e">
        <f t="shared" si="806"/>
        <v>#N/A</v>
      </c>
      <c r="AJ11" s="7" t="e">
        <f t="shared" si="806"/>
        <v>#N/A</v>
      </c>
      <c r="AK11" s="7" t="e">
        <f t="shared" si="806"/>
        <v>#N/A</v>
      </c>
      <c r="AL11" s="7" t="e">
        <f t="shared" si="806"/>
        <v>#N/A</v>
      </c>
      <c r="AM11" s="7" t="e">
        <f t="shared" si="806"/>
        <v>#N/A</v>
      </c>
      <c r="AN11" s="7" t="e">
        <f t="shared" si="806"/>
        <v>#N/A</v>
      </c>
      <c r="AO11" s="7" t="e">
        <f t="shared" si="806"/>
        <v>#N/A</v>
      </c>
      <c r="AP11" s="7" t="e">
        <f t="shared" si="806"/>
        <v>#N/A</v>
      </c>
      <c r="AQ11" s="7" t="e">
        <f t="shared" si="806"/>
        <v>#N/A</v>
      </c>
      <c r="AR11" s="7" t="e">
        <f t="shared" si="806"/>
        <v>#N/A</v>
      </c>
      <c r="AS11" s="7" t="e">
        <f t="shared" si="806"/>
        <v>#N/A</v>
      </c>
      <c r="AT11" s="7" t="e">
        <f t="shared" si="806"/>
        <v>#N/A</v>
      </c>
      <c r="AU11" s="7" t="e">
        <f t="shared" si="806"/>
        <v>#N/A</v>
      </c>
      <c r="AV11" s="7" t="e">
        <f t="shared" si="806"/>
        <v>#N/A</v>
      </c>
      <c r="AW11" s="7" t="e">
        <f t="shared" si="806"/>
        <v>#N/A</v>
      </c>
      <c r="AX11" s="7" t="e">
        <f t="shared" si="806"/>
        <v>#N/A</v>
      </c>
      <c r="AY11" s="7" t="e">
        <f t="shared" si="806"/>
        <v>#N/A</v>
      </c>
      <c r="AZ11" s="7" t="e">
        <f t="shared" si="806"/>
        <v>#N/A</v>
      </c>
      <c r="BA11" s="7" t="e">
        <f t="shared" si="806"/>
        <v>#N/A</v>
      </c>
      <c r="BB11" s="7" t="e">
        <f t="shared" si="806"/>
        <v>#N/A</v>
      </c>
      <c r="BC11" s="7" t="e">
        <f t="shared" si="806"/>
        <v>#N/A</v>
      </c>
      <c r="BD11" s="7" t="e">
        <f t="shared" si="806"/>
        <v>#N/A</v>
      </c>
      <c r="BE11" s="7" t="e">
        <f t="shared" si="806"/>
        <v>#N/A</v>
      </c>
      <c r="BF11" s="7" t="e">
        <f t="shared" si="11"/>
        <v>#N/A</v>
      </c>
      <c r="BG11" s="7" t="e">
        <f t="shared" si="11"/>
        <v>#N/A</v>
      </c>
      <c r="BH11" s="7" t="e">
        <f t="shared" si="11"/>
        <v>#N/A</v>
      </c>
      <c r="BI11" s="7" t="e">
        <f t="shared" si="11"/>
        <v>#N/A</v>
      </c>
      <c r="BJ11" s="7" t="e">
        <f t="shared" si="11"/>
        <v>#N/A</v>
      </c>
      <c r="BK11" s="7" t="e">
        <f t="shared" si="11"/>
        <v>#N/A</v>
      </c>
      <c r="BL11" s="7" t="e">
        <f t="shared" si="11"/>
        <v>#N/A</v>
      </c>
      <c r="BM11" s="7" t="e">
        <f t="shared" si="11"/>
        <v>#N/A</v>
      </c>
      <c r="BN11" s="7" t="e">
        <f t="shared" si="11"/>
        <v>#N/A</v>
      </c>
      <c r="BO11" s="7" t="e">
        <f t="shared" si="11"/>
        <v>#N/A</v>
      </c>
      <c r="BP11" s="7" t="e">
        <f t="shared" si="11"/>
        <v>#N/A</v>
      </c>
      <c r="BQ11" s="7" t="e">
        <f t="shared" si="11"/>
        <v>#N/A</v>
      </c>
      <c r="BR11" s="7" t="e">
        <f t="shared" si="11"/>
        <v>#N/A</v>
      </c>
      <c r="BS11" s="7" t="e">
        <f t="shared" si="11"/>
        <v>#N/A</v>
      </c>
      <c r="BT11" s="7" t="e">
        <f t="shared" si="11"/>
        <v>#N/A</v>
      </c>
      <c r="BU11" s="7" t="e">
        <f t="shared" si="11"/>
        <v>#N/A</v>
      </c>
      <c r="BV11" s="7" t="e">
        <f t="shared" si="11"/>
        <v>#N/A</v>
      </c>
      <c r="BW11" s="7" t="e">
        <f t="shared" si="11"/>
        <v>#N/A</v>
      </c>
      <c r="BX11" s="7" t="e">
        <f t="shared" si="11"/>
        <v>#N/A</v>
      </c>
      <c r="BY11" s="7" t="e">
        <f t="shared" si="11"/>
        <v>#N/A</v>
      </c>
      <c r="BZ11" s="7" t="e">
        <f t="shared" si="11"/>
        <v>#N/A</v>
      </c>
      <c r="CA11" s="7" t="e">
        <f t="shared" si="11"/>
        <v>#N/A</v>
      </c>
      <c r="CB11" s="7" t="e">
        <f t="shared" si="11"/>
        <v>#N/A</v>
      </c>
      <c r="CC11" s="7" t="e">
        <f t="shared" si="11"/>
        <v>#N/A</v>
      </c>
      <c r="CD11" s="7" t="e">
        <f t="shared" si="11"/>
        <v>#N/A</v>
      </c>
      <c r="CE11" s="7" t="e">
        <f t="shared" si="11"/>
        <v>#N/A</v>
      </c>
      <c r="CF11" s="7" t="e">
        <f t="shared" si="11"/>
        <v>#N/A</v>
      </c>
      <c r="CG11" s="7" t="e">
        <f t="shared" si="11"/>
        <v>#N/A</v>
      </c>
      <c r="CH11" s="6" t="e">
        <f t="shared" si="611"/>
        <v>#N/A</v>
      </c>
      <c r="CI11" s="5" t="e">
        <f t="shared" si="612"/>
        <v>#N/A</v>
      </c>
      <c r="CK11" s="5" t="e">
        <f t="shared" si="613"/>
        <v>#N/A</v>
      </c>
      <c r="CL11" s="5" t="e">
        <f t="shared" si="614"/>
        <v>#N/A</v>
      </c>
      <c r="CM11" s="5" t="e">
        <f t="shared" si="615"/>
        <v>#N/A</v>
      </c>
      <c r="CN11" s="5" t="e">
        <f t="shared" si="616"/>
        <v>#N/A</v>
      </c>
      <c r="CO11" s="5" t="e">
        <f t="shared" si="617"/>
        <v>#N/A</v>
      </c>
      <c r="CP11" s="5" t="e">
        <f t="shared" si="618"/>
        <v>#N/A</v>
      </c>
      <c r="CQ11" s="5" t="e">
        <f t="shared" si="619"/>
        <v>#N/A</v>
      </c>
      <c r="CR11" s="5" t="e">
        <f t="shared" si="620"/>
        <v>#N/A</v>
      </c>
      <c r="CS11" s="5" t="e">
        <f t="shared" si="621"/>
        <v>#N/A</v>
      </c>
      <c r="CT11" s="5" t="e">
        <f t="shared" si="622"/>
        <v>#N/A</v>
      </c>
      <c r="CU11" s="5" t="e">
        <f t="shared" si="623"/>
        <v>#N/A</v>
      </c>
      <c r="CV11" s="5" t="e">
        <f t="shared" si="624"/>
        <v>#N/A</v>
      </c>
      <c r="CW11" s="5" t="e">
        <f t="shared" si="625"/>
        <v>#N/A</v>
      </c>
      <c r="CX11" s="5" t="e">
        <f t="shared" si="626"/>
        <v>#N/A</v>
      </c>
      <c r="CY11" s="5" t="e">
        <f t="shared" si="627"/>
        <v>#N/A</v>
      </c>
      <c r="CZ11" s="5" t="e">
        <f t="shared" si="628"/>
        <v>#N/A</v>
      </c>
      <c r="DA11" s="5" t="e">
        <f t="shared" si="629"/>
        <v>#N/A</v>
      </c>
      <c r="DB11" s="5" t="e">
        <f t="shared" si="630"/>
        <v>#N/A</v>
      </c>
      <c r="DC11" s="5" t="e">
        <f t="shared" si="631"/>
        <v>#N/A</v>
      </c>
      <c r="DD11" s="5" t="e">
        <f t="shared" si="632"/>
        <v>#N/A</v>
      </c>
      <c r="DE11" s="5" t="e">
        <f t="shared" si="633"/>
        <v>#N/A</v>
      </c>
      <c r="DF11" s="5" t="e">
        <f t="shared" si="634"/>
        <v>#N/A</v>
      </c>
      <c r="DG11" s="5" t="e">
        <f t="shared" si="635"/>
        <v>#N/A</v>
      </c>
      <c r="DH11" s="5" t="e">
        <f t="shared" si="636"/>
        <v>#N/A</v>
      </c>
      <c r="DI11" s="5" t="e">
        <f t="shared" si="637"/>
        <v>#N/A</v>
      </c>
      <c r="DJ11" s="5" t="e">
        <f t="shared" si="638"/>
        <v>#N/A</v>
      </c>
      <c r="DK11" s="5" t="e">
        <f t="shared" si="639"/>
        <v>#N/A</v>
      </c>
      <c r="DL11" s="5" t="e">
        <f t="shared" si="640"/>
        <v>#N/A</v>
      </c>
      <c r="DM11" s="5" t="e">
        <f t="shared" si="641"/>
        <v>#N/A</v>
      </c>
      <c r="DN11" s="5" t="e">
        <f t="shared" si="642"/>
        <v>#N/A</v>
      </c>
      <c r="DO11" s="5" t="e">
        <f t="shared" si="643"/>
        <v>#N/A</v>
      </c>
      <c r="DP11" s="5" t="e">
        <f t="shared" si="644"/>
        <v>#N/A</v>
      </c>
      <c r="DQ11" s="5" t="e">
        <f t="shared" si="645"/>
        <v>#N/A</v>
      </c>
      <c r="DR11" s="5" t="e">
        <f t="shared" si="646"/>
        <v>#N/A</v>
      </c>
      <c r="DS11" s="5" t="e">
        <f t="shared" si="647"/>
        <v>#N/A</v>
      </c>
      <c r="DT11" s="5" t="e">
        <f t="shared" si="648"/>
        <v>#N/A</v>
      </c>
      <c r="DU11" s="5" t="e">
        <f t="shared" si="649"/>
        <v>#N/A</v>
      </c>
      <c r="DV11" s="5" t="e">
        <f t="shared" si="650"/>
        <v>#N/A</v>
      </c>
      <c r="DW11" s="5" t="e">
        <f t="shared" si="651"/>
        <v>#N/A</v>
      </c>
      <c r="DX11" s="5" t="e">
        <f t="shared" si="652"/>
        <v>#N/A</v>
      </c>
      <c r="DY11" s="5" t="e">
        <f t="shared" si="653"/>
        <v>#N/A</v>
      </c>
      <c r="DZ11" s="5" t="e">
        <f t="shared" si="654"/>
        <v>#N/A</v>
      </c>
      <c r="EA11" s="5" t="e">
        <f t="shared" si="655"/>
        <v>#N/A</v>
      </c>
      <c r="EB11" s="5" t="e">
        <f t="shared" si="656"/>
        <v>#N/A</v>
      </c>
      <c r="EC11" s="5" t="e">
        <f t="shared" si="657"/>
        <v>#N/A</v>
      </c>
      <c r="ED11" s="5" t="e">
        <f t="shared" si="658"/>
        <v>#N/A</v>
      </c>
      <c r="EE11" s="5" t="e">
        <f t="shared" si="659"/>
        <v>#N/A</v>
      </c>
      <c r="EF11" s="5" t="e">
        <f t="shared" si="660"/>
        <v>#N/A</v>
      </c>
      <c r="EG11" s="5" t="e">
        <f t="shared" si="661"/>
        <v>#N/A</v>
      </c>
      <c r="EH11" s="5" t="e">
        <f t="shared" si="662"/>
        <v>#N/A</v>
      </c>
      <c r="EI11" s="5" t="e">
        <f t="shared" si="663"/>
        <v>#N/A</v>
      </c>
      <c r="EJ11" s="5" t="e">
        <f t="shared" si="664"/>
        <v>#N/A</v>
      </c>
      <c r="EK11" s="5" t="e">
        <f t="shared" si="665"/>
        <v>#N/A</v>
      </c>
      <c r="EL11" s="5" t="e">
        <f t="shared" si="666"/>
        <v>#N/A</v>
      </c>
      <c r="EM11" s="5" t="e">
        <f t="shared" si="667"/>
        <v>#N/A</v>
      </c>
      <c r="EN11" s="5" t="e">
        <f t="shared" si="668"/>
        <v>#N/A</v>
      </c>
      <c r="EO11" s="5" t="e">
        <f t="shared" si="669"/>
        <v>#N/A</v>
      </c>
      <c r="EP11" s="5" t="e">
        <f t="shared" si="670"/>
        <v>#N/A</v>
      </c>
      <c r="EQ11" s="5" t="e">
        <f t="shared" si="671"/>
        <v>#N/A</v>
      </c>
      <c r="ER11" s="5" t="e">
        <f t="shared" si="672"/>
        <v>#N/A</v>
      </c>
      <c r="ET11" s="5" t="e">
        <f t="shared" si="673"/>
        <v>#N/A</v>
      </c>
      <c r="EU11" s="5" t="e">
        <f t="shared" si="674"/>
        <v>#N/A</v>
      </c>
      <c r="EV11" s="5" t="e">
        <f t="shared" si="675"/>
        <v>#N/A</v>
      </c>
      <c r="EW11" s="5" t="e">
        <f t="shared" si="676"/>
        <v>#N/A</v>
      </c>
      <c r="EX11" s="5" t="e">
        <f t="shared" si="677"/>
        <v>#N/A</v>
      </c>
      <c r="EY11" s="5" t="e">
        <f t="shared" si="678"/>
        <v>#N/A</v>
      </c>
      <c r="EZ11" s="5" t="e">
        <f t="shared" si="679"/>
        <v>#N/A</v>
      </c>
      <c r="FA11" s="5" t="e">
        <f t="shared" si="680"/>
        <v>#N/A</v>
      </c>
      <c r="FB11" s="5" t="e">
        <f t="shared" si="681"/>
        <v>#N/A</v>
      </c>
      <c r="FC11" s="5" t="e">
        <f t="shared" si="682"/>
        <v>#N/A</v>
      </c>
      <c r="FD11" s="5" t="e">
        <f t="shared" si="683"/>
        <v>#N/A</v>
      </c>
      <c r="FE11" s="5" t="e">
        <f t="shared" si="684"/>
        <v>#N/A</v>
      </c>
      <c r="FF11" s="5" t="e">
        <f t="shared" si="685"/>
        <v>#N/A</v>
      </c>
      <c r="FG11" s="5" t="e">
        <f t="shared" si="686"/>
        <v>#N/A</v>
      </c>
      <c r="FH11" s="5" t="e">
        <f t="shared" si="687"/>
        <v>#N/A</v>
      </c>
      <c r="FI11" s="5" t="e">
        <f t="shared" si="688"/>
        <v>#N/A</v>
      </c>
      <c r="FJ11" s="5" t="e">
        <f t="shared" si="689"/>
        <v>#N/A</v>
      </c>
      <c r="FK11" s="5" t="e">
        <f t="shared" si="690"/>
        <v>#N/A</v>
      </c>
      <c r="FL11" s="5" t="e">
        <f t="shared" si="691"/>
        <v>#N/A</v>
      </c>
      <c r="FM11" s="5" t="e">
        <f t="shared" si="692"/>
        <v>#N/A</v>
      </c>
      <c r="FN11" s="5" t="e">
        <f t="shared" si="693"/>
        <v>#N/A</v>
      </c>
      <c r="FO11" s="5" t="e">
        <f t="shared" si="694"/>
        <v>#N/A</v>
      </c>
      <c r="FP11" s="5" t="e">
        <f t="shared" si="695"/>
        <v>#N/A</v>
      </c>
      <c r="FQ11" s="5" t="e">
        <f t="shared" si="696"/>
        <v>#N/A</v>
      </c>
      <c r="FR11" s="5" t="e">
        <f t="shared" si="697"/>
        <v>#N/A</v>
      </c>
      <c r="FS11" s="5" t="e">
        <f t="shared" si="698"/>
        <v>#N/A</v>
      </c>
      <c r="FT11" s="5" t="e">
        <f t="shared" si="699"/>
        <v>#N/A</v>
      </c>
      <c r="FU11" s="5" t="e">
        <f t="shared" si="700"/>
        <v>#N/A</v>
      </c>
      <c r="FV11" s="5" t="e">
        <f t="shared" si="701"/>
        <v>#N/A</v>
      </c>
      <c r="FW11" s="5" t="e">
        <f t="shared" si="702"/>
        <v>#N/A</v>
      </c>
      <c r="FX11" s="5" t="e">
        <f t="shared" si="703"/>
        <v>#N/A</v>
      </c>
      <c r="FY11" s="5" t="e">
        <f t="shared" si="704"/>
        <v>#N/A</v>
      </c>
      <c r="FZ11" s="5" t="e">
        <f t="shared" si="705"/>
        <v>#N/A</v>
      </c>
      <c r="GA11" s="5" t="e">
        <f t="shared" si="706"/>
        <v>#N/A</v>
      </c>
      <c r="GB11" s="5" t="e">
        <f t="shared" si="707"/>
        <v>#N/A</v>
      </c>
      <c r="GC11" s="5" t="e">
        <f t="shared" si="708"/>
        <v>#N/A</v>
      </c>
      <c r="GD11" s="5" t="e">
        <f t="shared" si="709"/>
        <v>#N/A</v>
      </c>
      <c r="GE11" s="5" t="e">
        <f t="shared" si="710"/>
        <v>#N/A</v>
      </c>
      <c r="GF11" s="5" t="e">
        <f t="shared" si="711"/>
        <v>#N/A</v>
      </c>
      <c r="GG11" s="5" t="e">
        <f t="shared" si="712"/>
        <v>#N/A</v>
      </c>
      <c r="GH11" s="5" t="e">
        <f t="shared" si="713"/>
        <v>#N/A</v>
      </c>
      <c r="GI11" s="5" t="e">
        <f t="shared" si="714"/>
        <v>#N/A</v>
      </c>
      <c r="GJ11" s="5" t="e">
        <f t="shared" si="715"/>
        <v>#N/A</v>
      </c>
      <c r="GK11" s="5" t="e">
        <f t="shared" si="716"/>
        <v>#N/A</v>
      </c>
      <c r="GL11" s="5" t="e">
        <f t="shared" si="717"/>
        <v>#N/A</v>
      </c>
      <c r="GM11" s="5" t="e">
        <f t="shared" si="718"/>
        <v>#N/A</v>
      </c>
      <c r="GN11" s="5" t="e">
        <f t="shared" si="719"/>
        <v>#N/A</v>
      </c>
      <c r="GO11" s="5" t="e">
        <f t="shared" si="720"/>
        <v>#N/A</v>
      </c>
      <c r="GP11" s="5" t="e">
        <f t="shared" si="721"/>
        <v>#N/A</v>
      </c>
      <c r="GQ11" s="5" t="e">
        <f t="shared" si="722"/>
        <v>#N/A</v>
      </c>
      <c r="GR11" s="5" t="e">
        <f t="shared" si="723"/>
        <v>#N/A</v>
      </c>
      <c r="GS11" s="5" t="e">
        <f t="shared" si="724"/>
        <v>#N/A</v>
      </c>
      <c r="GT11" s="5" t="e">
        <f t="shared" si="725"/>
        <v>#N/A</v>
      </c>
      <c r="GU11" s="5" t="e">
        <f t="shared" si="726"/>
        <v>#N/A</v>
      </c>
      <c r="GV11" s="5" t="e">
        <f t="shared" si="727"/>
        <v>#N/A</v>
      </c>
      <c r="GW11" s="5" t="e">
        <f t="shared" si="728"/>
        <v>#N/A</v>
      </c>
      <c r="GX11" s="5" t="e">
        <f t="shared" si="729"/>
        <v>#N/A</v>
      </c>
      <c r="GY11" s="5" t="e">
        <f t="shared" si="730"/>
        <v>#N/A</v>
      </c>
      <c r="GZ11" s="5" t="e">
        <f t="shared" si="731"/>
        <v>#N/A</v>
      </c>
      <c r="HA11" s="5" t="e">
        <f t="shared" si="732"/>
        <v>#N/A</v>
      </c>
      <c r="HC11" s="6" t="e">
        <f t="shared" si="733"/>
        <v>#N/A</v>
      </c>
      <c r="HD11" s="5" t="e">
        <f t="shared" si="734"/>
        <v>#N/A</v>
      </c>
      <c r="HE11" s="5" t="e">
        <f t="shared" si="735"/>
        <v>#N/A</v>
      </c>
      <c r="HF11" s="5" t="e">
        <f t="shared" si="736"/>
        <v>#N/A</v>
      </c>
      <c r="HG11" s="5" t="e">
        <f t="shared" si="737"/>
        <v>#N/A</v>
      </c>
      <c r="HH11" s="5" t="e">
        <f t="shared" si="738"/>
        <v>#N/A</v>
      </c>
      <c r="HI11" s="5" t="e">
        <f t="shared" si="739"/>
        <v>#N/A</v>
      </c>
      <c r="HJ11" s="5" t="e">
        <f t="shared" si="740"/>
        <v>#N/A</v>
      </c>
      <c r="HK11" s="5" t="e">
        <f t="shared" si="741"/>
        <v>#N/A</v>
      </c>
      <c r="HL11" s="5" t="e">
        <f t="shared" si="742"/>
        <v>#N/A</v>
      </c>
      <c r="HM11" s="5" t="e">
        <f t="shared" si="743"/>
        <v>#N/A</v>
      </c>
      <c r="HN11" s="5" t="e">
        <f t="shared" si="744"/>
        <v>#N/A</v>
      </c>
      <c r="HO11" s="5" t="e">
        <f t="shared" si="745"/>
        <v>#N/A</v>
      </c>
      <c r="HP11" s="5" t="e">
        <f t="shared" si="746"/>
        <v>#N/A</v>
      </c>
      <c r="HQ11" s="5" t="e">
        <f t="shared" si="747"/>
        <v>#N/A</v>
      </c>
      <c r="HR11" s="5" t="e">
        <f t="shared" si="748"/>
        <v>#N/A</v>
      </c>
      <c r="HS11" s="5" t="e">
        <f t="shared" si="749"/>
        <v>#N/A</v>
      </c>
      <c r="HT11" s="5" t="e">
        <f t="shared" si="750"/>
        <v>#N/A</v>
      </c>
      <c r="HU11" s="5" t="e">
        <f t="shared" si="751"/>
        <v>#N/A</v>
      </c>
      <c r="HV11" s="5" t="e">
        <f t="shared" si="752"/>
        <v>#N/A</v>
      </c>
      <c r="HW11" s="5" t="e">
        <f t="shared" si="753"/>
        <v>#N/A</v>
      </c>
      <c r="HX11" s="5" t="e">
        <f t="shared" si="754"/>
        <v>#N/A</v>
      </c>
      <c r="HY11" s="5" t="e">
        <f t="shared" si="755"/>
        <v>#N/A</v>
      </c>
      <c r="HZ11" s="5" t="e">
        <f t="shared" si="756"/>
        <v>#N/A</v>
      </c>
      <c r="IA11" s="5" t="e">
        <f t="shared" si="757"/>
        <v>#N/A</v>
      </c>
      <c r="IB11" s="5" t="e">
        <f t="shared" si="758"/>
        <v>#N/A</v>
      </c>
      <c r="IC11" s="5" t="e">
        <f t="shared" si="759"/>
        <v>#N/A</v>
      </c>
      <c r="ID11" s="5" t="e">
        <f t="shared" si="760"/>
        <v>#N/A</v>
      </c>
      <c r="IE11" s="5" t="e">
        <f t="shared" si="761"/>
        <v>#N/A</v>
      </c>
      <c r="IF11" s="5" t="e">
        <f t="shared" si="762"/>
        <v>#N/A</v>
      </c>
      <c r="IG11" s="5" t="e">
        <f t="shared" si="763"/>
        <v>#N/A</v>
      </c>
      <c r="IH11" s="5" t="e">
        <f t="shared" si="764"/>
        <v>#N/A</v>
      </c>
      <c r="II11" s="5" t="e">
        <f t="shared" si="765"/>
        <v>#N/A</v>
      </c>
      <c r="IJ11" s="5" t="e">
        <f t="shared" si="766"/>
        <v>#N/A</v>
      </c>
      <c r="IK11" s="5" t="e">
        <f t="shared" si="767"/>
        <v>#N/A</v>
      </c>
      <c r="IL11" s="5" t="e">
        <f t="shared" si="768"/>
        <v>#N/A</v>
      </c>
      <c r="IM11" s="5" t="e">
        <f t="shared" si="769"/>
        <v>#N/A</v>
      </c>
      <c r="IN11" s="5" t="e">
        <f t="shared" si="770"/>
        <v>#N/A</v>
      </c>
      <c r="IO11" s="5" t="e">
        <f t="shared" si="771"/>
        <v>#N/A</v>
      </c>
      <c r="IP11" s="5" t="e">
        <f t="shared" si="772"/>
        <v>#N/A</v>
      </c>
      <c r="IQ11" s="5" t="e">
        <f t="shared" si="773"/>
        <v>#N/A</v>
      </c>
      <c r="IR11" s="5" t="e">
        <f t="shared" si="774"/>
        <v>#N/A</v>
      </c>
      <c r="IS11" s="5" t="e">
        <f t="shared" si="775"/>
        <v>#N/A</v>
      </c>
      <c r="IT11" s="5" t="e">
        <f t="shared" si="776"/>
        <v>#N/A</v>
      </c>
      <c r="IU11" s="5" t="e">
        <f t="shared" si="777"/>
        <v>#N/A</v>
      </c>
      <c r="IV11" s="5" t="e">
        <f t="shared" si="778"/>
        <v>#N/A</v>
      </c>
      <c r="IW11" s="5" t="e">
        <f t="shared" si="779"/>
        <v>#N/A</v>
      </c>
      <c r="IX11" s="5" t="e">
        <f t="shared" si="780"/>
        <v>#N/A</v>
      </c>
      <c r="IY11" s="5" t="e">
        <f t="shared" si="781"/>
        <v>#N/A</v>
      </c>
      <c r="IZ11" s="5" t="e">
        <f t="shared" si="782"/>
        <v>#N/A</v>
      </c>
      <c r="JA11" s="5" t="e">
        <f t="shared" si="783"/>
        <v>#N/A</v>
      </c>
      <c r="JB11" s="5" t="e">
        <f t="shared" si="784"/>
        <v>#N/A</v>
      </c>
      <c r="JC11" s="5" t="e">
        <f t="shared" si="785"/>
        <v>#N/A</v>
      </c>
      <c r="JD11" s="5" t="e">
        <f t="shared" si="786"/>
        <v>#N/A</v>
      </c>
      <c r="JE11" s="5" t="e">
        <f t="shared" si="787"/>
        <v>#N/A</v>
      </c>
      <c r="JF11" s="5" t="e">
        <f t="shared" si="788"/>
        <v>#N/A</v>
      </c>
      <c r="JG11" s="5" t="e">
        <f t="shared" si="789"/>
        <v>#N/A</v>
      </c>
      <c r="JH11" s="5" t="e">
        <f t="shared" si="790"/>
        <v>#N/A</v>
      </c>
      <c r="JI11" s="5" t="e">
        <f t="shared" si="791"/>
        <v>#N/A</v>
      </c>
      <c r="JJ11" s="5" t="e">
        <f t="shared" si="792"/>
        <v>#N/A</v>
      </c>
      <c r="JK11" s="5" t="e">
        <f t="shared" si="793"/>
        <v>#N/A</v>
      </c>
      <c r="JM11" s="19" t="e">
        <f t="shared" si="794"/>
        <v>#N/A</v>
      </c>
      <c r="JN11" s="1">
        <v>9</v>
      </c>
      <c r="JO11" s="5" t="e">
        <f>HLOOKUP(JM11,HC$2:JK11,2+JN10,0)+IF(S11&gt;0,S11,0)-IF(KE11&gt;0,KE11,0)</f>
        <v>#N/A</v>
      </c>
      <c r="JP11" s="5" t="e">
        <f t="shared" si="795"/>
        <v>#N/A</v>
      </c>
      <c r="JQ11" s="17"/>
      <c r="JR11" s="26"/>
      <c r="JS11" s="6">
        <f t="shared" si="796"/>
        <v>0</v>
      </c>
      <c r="JT11" s="5" t="e">
        <f t="shared" si="797"/>
        <v>#N/A</v>
      </c>
      <c r="JU11" s="13">
        <f t="shared" ca="1" si="20"/>
        <v>46161</v>
      </c>
      <c r="JV11" s="6" t="e">
        <f t="shared" si="798"/>
        <v>#N/A</v>
      </c>
      <c r="JW11" s="6"/>
      <c r="JX11" s="6"/>
      <c r="JY11" s="6">
        <f t="shared" si="799"/>
        <v>0</v>
      </c>
      <c r="JZ11" s="10" t="e">
        <f t="shared" si="800"/>
        <v>#N/A</v>
      </c>
      <c r="KA11" s="10" t="e">
        <f t="shared" si="801"/>
        <v>#N/A</v>
      </c>
      <c r="KB11" s="10" t="e">
        <f t="shared" si="802"/>
        <v>#N/A</v>
      </c>
      <c r="KC11" s="10" t="e">
        <f t="shared" si="803"/>
        <v>#N/A</v>
      </c>
      <c r="KD11" s="5" t="e">
        <f t="shared" si="804"/>
        <v>#N/A</v>
      </c>
      <c r="KE11" s="6" t="e">
        <f t="shared" si="805"/>
        <v>#N/A</v>
      </c>
    </row>
    <row r="12" spans="1:291" ht="14.4" customHeight="1" x14ac:dyDescent="0.3">
      <c r="A12" s="1" t="s">
        <v>58</v>
      </c>
      <c r="C12" s="1" t="e">
        <f>VLOOKUP(B12,DD!A:B,2,0)</f>
        <v>#N/A</v>
      </c>
      <c r="D12" s="1" t="e">
        <f>VLOOKUP(B12,DD!A:K,11,0)</f>
        <v>#N/A</v>
      </c>
      <c r="E12" s="1" t="e">
        <f>VLOOKUP(B12,DD!A:L,12,0)</f>
        <v>#N/A</v>
      </c>
      <c r="F12" s="17" t="e">
        <f>VLOOKUP(B12,DD!A:D,4,0)</f>
        <v>#N/A</v>
      </c>
      <c r="G12" s="9">
        <v>1</v>
      </c>
      <c r="H12" s="3" t="e">
        <f>VLOOKUP(B12,DD!A:E,5,0)</f>
        <v>#N/A</v>
      </c>
      <c r="I12" s="3" t="e">
        <f t="shared" si="601"/>
        <v>#N/A</v>
      </c>
      <c r="J12" s="3" t="e">
        <f>VLOOKUP(B12,DD!A:F,6,0)</f>
        <v>#N/A</v>
      </c>
      <c r="K12" s="3" t="e">
        <f>VLOOKUP(B12,DD!A:H,8,0)</f>
        <v>#N/A</v>
      </c>
      <c r="L12" s="3" t="e">
        <f>VLOOKUP(B12,DD!A:I,9,0)</f>
        <v>#N/A</v>
      </c>
      <c r="M12" s="3" t="e">
        <f>VLOOKUP(B12,DD!A:J,10,0)</f>
        <v>#N/A</v>
      </c>
      <c r="N12" s="3" t="s">
        <v>8</v>
      </c>
      <c r="O12" s="3" t="s">
        <v>9</v>
      </c>
      <c r="P12" s="4" t="e">
        <f>VLOOKUP(B12,DD!A:C,3,0)</f>
        <v>#N/A</v>
      </c>
      <c r="Q12" s="5" t="e">
        <f t="shared" si="602"/>
        <v>#N/A</v>
      </c>
      <c r="R12" s="5" t="e">
        <f t="shared" si="603"/>
        <v>#N/A</v>
      </c>
      <c r="S12" s="5" t="e">
        <f t="shared" si="604"/>
        <v>#N/A</v>
      </c>
      <c r="T12" s="6" t="e">
        <f t="shared" si="605"/>
        <v>#N/A</v>
      </c>
      <c r="U12" s="5" t="e">
        <f t="shared" si="606"/>
        <v>#N/A</v>
      </c>
      <c r="V12" s="6" t="e">
        <f t="shared" si="607"/>
        <v>#N/A</v>
      </c>
      <c r="W12" s="7" t="e">
        <f t="shared" si="608"/>
        <v>#N/A</v>
      </c>
      <c r="X12" s="8" t="e">
        <f t="shared" si="609"/>
        <v>#VALUE!</v>
      </c>
      <c r="Y12" s="6" t="e">
        <f t="shared" si="610"/>
        <v>#N/A</v>
      </c>
      <c r="Z12" s="7" t="e">
        <f t="shared" si="806"/>
        <v>#N/A</v>
      </c>
      <c r="AA12" s="7" t="e">
        <f t="shared" si="806"/>
        <v>#N/A</v>
      </c>
      <c r="AB12" s="7" t="e">
        <f t="shared" si="806"/>
        <v>#N/A</v>
      </c>
      <c r="AC12" s="7" t="e">
        <f t="shared" si="806"/>
        <v>#N/A</v>
      </c>
      <c r="AD12" s="7" t="e">
        <f t="shared" si="806"/>
        <v>#N/A</v>
      </c>
      <c r="AE12" s="7" t="e">
        <f t="shared" si="806"/>
        <v>#N/A</v>
      </c>
      <c r="AF12" s="7" t="e">
        <f t="shared" si="806"/>
        <v>#N/A</v>
      </c>
      <c r="AG12" s="7" t="e">
        <f t="shared" si="806"/>
        <v>#N/A</v>
      </c>
      <c r="AH12" s="7" t="e">
        <f t="shared" si="806"/>
        <v>#N/A</v>
      </c>
      <c r="AI12" s="7" t="e">
        <f t="shared" si="806"/>
        <v>#N/A</v>
      </c>
      <c r="AJ12" s="7" t="e">
        <f t="shared" si="806"/>
        <v>#N/A</v>
      </c>
      <c r="AK12" s="7" t="e">
        <f t="shared" si="806"/>
        <v>#N/A</v>
      </c>
      <c r="AL12" s="7" t="e">
        <f t="shared" si="806"/>
        <v>#N/A</v>
      </c>
      <c r="AM12" s="7" t="e">
        <f t="shared" si="806"/>
        <v>#N/A</v>
      </c>
      <c r="AN12" s="7" t="e">
        <f t="shared" si="806"/>
        <v>#N/A</v>
      </c>
      <c r="AO12" s="7" t="e">
        <f t="shared" si="806"/>
        <v>#N/A</v>
      </c>
      <c r="AP12" s="7" t="e">
        <f t="shared" si="806"/>
        <v>#N/A</v>
      </c>
      <c r="AQ12" s="7" t="e">
        <f t="shared" si="806"/>
        <v>#N/A</v>
      </c>
      <c r="AR12" s="7" t="e">
        <f t="shared" si="806"/>
        <v>#N/A</v>
      </c>
      <c r="AS12" s="7" t="e">
        <f t="shared" si="806"/>
        <v>#N/A</v>
      </c>
      <c r="AT12" s="7" t="e">
        <f t="shared" si="806"/>
        <v>#N/A</v>
      </c>
      <c r="AU12" s="7" t="e">
        <f t="shared" si="806"/>
        <v>#N/A</v>
      </c>
      <c r="AV12" s="7" t="e">
        <f t="shared" si="806"/>
        <v>#N/A</v>
      </c>
      <c r="AW12" s="7" t="e">
        <f t="shared" si="806"/>
        <v>#N/A</v>
      </c>
      <c r="AX12" s="7" t="e">
        <f t="shared" si="806"/>
        <v>#N/A</v>
      </c>
      <c r="AY12" s="7" t="e">
        <f t="shared" si="806"/>
        <v>#N/A</v>
      </c>
      <c r="AZ12" s="7" t="e">
        <f t="shared" si="806"/>
        <v>#N/A</v>
      </c>
      <c r="BA12" s="7" t="e">
        <f t="shared" si="806"/>
        <v>#N/A</v>
      </c>
      <c r="BB12" s="7" t="e">
        <f t="shared" si="806"/>
        <v>#N/A</v>
      </c>
      <c r="BC12" s="7" t="e">
        <f t="shared" si="806"/>
        <v>#N/A</v>
      </c>
      <c r="BD12" s="7" t="e">
        <f t="shared" si="806"/>
        <v>#N/A</v>
      </c>
      <c r="BE12" s="7" t="e">
        <f t="shared" si="806"/>
        <v>#N/A</v>
      </c>
      <c r="BF12" s="7" t="e">
        <f t="shared" si="11"/>
        <v>#N/A</v>
      </c>
      <c r="BG12" s="7" t="e">
        <f t="shared" si="11"/>
        <v>#N/A</v>
      </c>
      <c r="BH12" s="7" t="e">
        <f t="shared" si="11"/>
        <v>#N/A</v>
      </c>
      <c r="BI12" s="7" t="e">
        <f t="shared" ref="BI12:BX17" si="807">IF($I12&gt;=BI$2,$U12,0)-IF($I12=BI$2,$S12)-IF($S12&gt;1,$S12,0)+$S12</f>
        <v>#N/A</v>
      </c>
      <c r="BJ12" s="7" t="e">
        <f t="shared" si="807"/>
        <v>#N/A</v>
      </c>
      <c r="BK12" s="7" t="e">
        <f t="shared" si="807"/>
        <v>#N/A</v>
      </c>
      <c r="BL12" s="7" t="e">
        <f t="shared" si="807"/>
        <v>#N/A</v>
      </c>
      <c r="BM12" s="7" t="e">
        <f t="shared" si="807"/>
        <v>#N/A</v>
      </c>
      <c r="BN12" s="7" t="e">
        <f t="shared" si="807"/>
        <v>#N/A</v>
      </c>
      <c r="BO12" s="7" t="e">
        <f t="shared" si="807"/>
        <v>#N/A</v>
      </c>
      <c r="BP12" s="7" t="e">
        <f t="shared" si="807"/>
        <v>#N/A</v>
      </c>
      <c r="BQ12" s="7" t="e">
        <f t="shared" si="807"/>
        <v>#N/A</v>
      </c>
      <c r="BR12" s="7" t="e">
        <f t="shared" si="807"/>
        <v>#N/A</v>
      </c>
      <c r="BS12" s="7" t="e">
        <f t="shared" si="807"/>
        <v>#N/A</v>
      </c>
      <c r="BT12" s="7" t="e">
        <f t="shared" si="807"/>
        <v>#N/A</v>
      </c>
      <c r="BU12" s="7" t="e">
        <f t="shared" si="807"/>
        <v>#N/A</v>
      </c>
      <c r="BV12" s="7" t="e">
        <f t="shared" si="807"/>
        <v>#N/A</v>
      </c>
      <c r="BW12" s="7" t="e">
        <f t="shared" si="807"/>
        <v>#N/A</v>
      </c>
      <c r="BX12" s="7" t="e">
        <f t="shared" si="807"/>
        <v>#N/A</v>
      </c>
      <c r="BY12" s="7" t="e">
        <f t="shared" ref="BY12:CG17" si="808">IF($I12&gt;=BY$2,$U12,0)-IF($I12=BY$2,$S12)-IF($S12&gt;1,$S12,0)+$S12</f>
        <v>#N/A</v>
      </c>
      <c r="BZ12" s="7" t="e">
        <f t="shared" si="808"/>
        <v>#N/A</v>
      </c>
      <c r="CA12" s="7" t="e">
        <f t="shared" si="808"/>
        <v>#N/A</v>
      </c>
      <c r="CB12" s="7" t="e">
        <f t="shared" si="808"/>
        <v>#N/A</v>
      </c>
      <c r="CC12" s="7" t="e">
        <f t="shared" si="808"/>
        <v>#N/A</v>
      </c>
      <c r="CD12" s="7" t="e">
        <f t="shared" si="808"/>
        <v>#N/A</v>
      </c>
      <c r="CE12" s="7" t="e">
        <f t="shared" si="808"/>
        <v>#N/A</v>
      </c>
      <c r="CF12" s="7" t="e">
        <f t="shared" si="808"/>
        <v>#N/A</v>
      </c>
      <c r="CG12" s="7" t="e">
        <f t="shared" si="808"/>
        <v>#N/A</v>
      </c>
      <c r="CH12" s="6" t="e">
        <f t="shared" si="611"/>
        <v>#N/A</v>
      </c>
      <c r="CI12" s="5" t="e">
        <f t="shared" si="612"/>
        <v>#N/A</v>
      </c>
      <c r="CK12" s="5" t="e">
        <f t="shared" si="613"/>
        <v>#N/A</v>
      </c>
      <c r="CL12" s="5" t="e">
        <f t="shared" si="614"/>
        <v>#N/A</v>
      </c>
      <c r="CM12" s="5" t="e">
        <f t="shared" si="615"/>
        <v>#N/A</v>
      </c>
      <c r="CN12" s="5" t="e">
        <f t="shared" si="616"/>
        <v>#N/A</v>
      </c>
      <c r="CO12" s="5" t="e">
        <f t="shared" si="617"/>
        <v>#N/A</v>
      </c>
      <c r="CP12" s="5" t="e">
        <f t="shared" si="618"/>
        <v>#N/A</v>
      </c>
      <c r="CQ12" s="5" t="e">
        <f t="shared" si="619"/>
        <v>#N/A</v>
      </c>
      <c r="CR12" s="5" t="e">
        <f t="shared" si="620"/>
        <v>#N/A</v>
      </c>
      <c r="CS12" s="5" t="e">
        <f t="shared" si="621"/>
        <v>#N/A</v>
      </c>
      <c r="CT12" s="5" t="e">
        <f t="shared" si="622"/>
        <v>#N/A</v>
      </c>
      <c r="CU12" s="5" t="e">
        <f t="shared" si="623"/>
        <v>#N/A</v>
      </c>
      <c r="CV12" s="5" t="e">
        <f t="shared" si="624"/>
        <v>#N/A</v>
      </c>
      <c r="CW12" s="5" t="e">
        <f t="shared" si="625"/>
        <v>#N/A</v>
      </c>
      <c r="CX12" s="5" t="e">
        <f t="shared" si="626"/>
        <v>#N/A</v>
      </c>
      <c r="CY12" s="5" t="e">
        <f t="shared" si="627"/>
        <v>#N/A</v>
      </c>
      <c r="CZ12" s="5" t="e">
        <f t="shared" si="628"/>
        <v>#N/A</v>
      </c>
      <c r="DA12" s="5" t="e">
        <f t="shared" si="629"/>
        <v>#N/A</v>
      </c>
      <c r="DB12" s="5" t="e">
        <f t="shared" si="630"/>
        <v>#N/A</v>
      </c>
      <c r="DC12" s="5" t="e">
        <f t="shared" si="631"/>
        <v>#N/A</v>
      </c>
      <c r="DD12" s="5" t="e">
        <f t="shared" si="632"/>
        <v>#N/A</v>
      </c>
      <c r="DE12" s="5" t="e">
        <f t="shared" si="633"/>
        <v>#N/A</v>
      </c>
      <c r="DF12" s="5" t="e">
        <f t="shared" si="634"/>
        <v>#N/A</v>
      </c>
      <c r="DG12" s="5" t="e">
        <f t="shared" si="635"/>
        <v>#N/A</v>
      </c>
      <c r="DH12" s="5" t="e">
        <f t="shared" si="636"/>
        <v>#N/A</v>
      </c>
      <c r="DI12" s="5" t="e">
        <f t="shared" si="637"/>
        <v>#N/A</v>
      </c>
      <c r="DJ12" s="5" t="e">
        <f t="shared" si="638"/>
        <v>#N/A</v>
      </c>
      <c r="DK12" s="5" t="e">
        <f t="shared" si="639"/>
        <v>#N/A</v>
      </c>
      <c r="DL12" s="5" t="e">
        <f t="shared" si="640"/>
        <v>#N/A</v>
      </c>
      <c r="DM12" s="5" t="e">
        <f t="shared" si="641"/>
        <v>#N/A</v>
      </c>
      <c r="DN12" s="5" t="e">
        <f t="shared" si="642"/>
        <v>#N/A</v>
      </c>
      <c r="DO12" s="5" t="e">
        <f t="shared" si="643"/>
        <v>#N/A</v>
      </c>
      <c r="DP12" s="5" t="e">
        <f t="shared" si="644"/>
        <v>#N/A</v>
      </c>
      <c r="DQ12" s="5" t="e">
        <f t="shared" si="645"/>
        <v>#N/A</v>
      </c>
      <c r="DR12" s="5" t="e">
        <f t="shared" si="646"/>
        <v>#N/A</v>
      </c>
      <c r="DS12" s="5" t="e">
        <f t="shared" si="647"/>
        <v>#N/A</v>
      </c>
      <c r="DT12" s="5" t="e">
        <f t="shared" si="648"/>
        <v>#N/A</v>
      </c>
      <c r="DU12" s="5" t="e">
        <f t="shared" si="649"/>
        <v>#N/A</v>
      </c>
      <c r="DV12" s="5" t="e">
        <f t="shared" si="650"/>
        <v>#N/A</v>
      </c>
      <c r="DW12" s="5" t="e">
        <f t="shared" si="651"/>
        <v>#N/A</v>
      </c>
      <c r="DX12" s="5" t="e">
        <f t="shared" si="652"/>
        <v>#N/A</v>
      </c>
      <c r="DY12" s="5" t="e">
        <f t="shared" si="653"/>
        <v>#N/A</v>
      </c>
      <c r="DZ12" s="5" t="e">
        <f t="shared" si="654"/>
        <v>#N/A</v>
      </c>
      <c r="EA12" s="5" t="e">
        <f t="shared" si="655"/>
        <v>#N/A</v>
      </c>
      <c r="EB12" s="5" t="e">
        <f t="shared" si="656"/>
        <v>#N/A</v>
      </c>
      <c r="EC12" s="5" t="e">
        <f t="shared" si="657"/>
        <v>#N/A</v>
      </c>
      <c r="ED12" s="5" t="e">
        <f t="shared" si="658"/>
        <v>#N/A</v>
      </c>
      <c r="EE12" s="5" t="e">
        <f t="shared" si="659"/>
        <v>#N/A</v>
      </c>
      <c r="EF12" s="5" t="e">
        <f t="shared" si="660"/>
        <v>#N/A</v>
      </c>
      <c r="EG12" s="5" t="e">
        <f t="shared" si="661"/>
        <v>#N/A</v>
      </c>
      <c r="EH12" s="5" t="e">
        <f t="shared" si="662"/>
        <v>#N/A</v>
      </c>
      <c r="EI12" s="5" t="e">
        <f t="shared" si="663"/>
        <v>#N/A</v>
      </c>
      <c r="EJ12" s="5" t="e">
        <f t="shared" si="664"/>
        <v>#N/A</v>
      </c>
      <c r="EK12" s="5" t="e">
        <f t="shared" si="665"/>
        <v>#N/A</v>
      </c>
      <c r="EL12" s="5" t="e">
        <f t="shared" si="666"/>
        <v>#N/A</v>
      </c>
      <c r="EM12" s="5" t="e">
        <f t="shared" si="667"/>
        <v>#N/A</v>
      </c>
      <c r="EN12" s="5" t="e">
        <f t="shared" si="668"/>
        <v>#N/A</v>
      </c>
      <c r="EO12" s="5" t="e">
        <f t="shared" si="669"/>
        <v>#N/A</v>
      </c>
      <c r="EP12" s="5" t="e">
        <f t="shared" si="670"/>
        <v>#N/A</v>
      </c>
      <c r="EQ12" s="5" t="e">
        <f t="shared" si="671"/>
        <v>#N/A</v>
      </c>
      <c r="ER12" s="5" t="e">
        <f t="shared" si="672"/>
        <v>#N/A</v>
      </c>
      <c r="ET12" s="5" t="e">
        <f t="shared" si="673"/>
        <v>#N/A</v>
      </c>
      <c r="EU12" s="5" t="e">
        <f t="shared" si="674"/>
        <v>#N/A</v>
      </c>
      <c r="EV12" s="5" t="e">
        <f t="shared" si="675"/>
        <v>#N/A</v>
      </c>
      <c r="EW12" s="5" t="e">
        <f t="shared" si="676"/>
        <v>#N/A</v>
      </c>
      <c r="EX12" s="5" t="e">
        <f t="shared" si="677"/>
        <v>#N/A</v>
      </c>
      <c r="EY12" s="5" t="e">
        <f t="shared" si="678"/>
        <v>#N/A</v>
      </c>
      <c r="EZ12" s="5" t="e">
        <f t="shared" si="679"/>
        <v>#N/A</v>
      </c>
      <c r="FA12" s="5" t="e">
        <f t="shared" si="680"/>
        <v>#N/A</v>
      </c>
      <c r="FB12" s="5" t="e">
        <f t="shared" si="681"/>
        <v>#N/A</v>
      </c>
      <c r="FC12" s="5" t="e">
        <f t="shared" si="682"/>
        <v>#N/A</v>
      </c>
      <c r="FD12" s="5" t="e">
        <f t="shared" si="683"/>
        <v>#N/A</v>
      </c>
      <c r="FE12" s="5" t="e">
        <f t="shared" si="684"/>
        <v>#N/A</v>
      </c>
      <c r="FF12" s="5" t="e">
        <f t="shared" si="685"/>
        <v>#N/A</v>
      </c>
      <c r="FG12" s="5" t="e">
        <f t="shared" si="686"/>
        <v>#N/A</v>
      </c>
      <c r="FH12" s="5" t="e">
        <f t="shared" si="687"/>
        <v>#N/A</v>
      </c>
      <c r="FI12" s="5" t="e">
        <f t="shared" si="688"/>
        <v>#N/A</v>
      </c>
      <c r="FJ12" s="5" t="e">
        <f t="shared" si="689"/>
        <v>#N/A</v>
      </c>
      <c r="FK12" s="5" t="e">
        <f t="shared" si="690"/>
        <v>#N/A</v>
      </c>
      <c r="FL12" s="5" t="e">
        <f t="shared" si="691"/>
        <v>#N/A</v>
      </c>
      <c r="FM12" s="5" t="e">
        <f t="shared" si="692"/>
        <v>#N/A</v>
      </c>
      <c r="FN12" s="5" t="e">
        <f t="shared" si="693"/>
        <v>#N/A</v>
      </c>
      <c r="FO12" s="5" t="e">
        <f t="shared" si="694"/>
        <v>#N/A</v>
      </c>
      <c r="FP12" s="5" t="e">
        <f t="shared" si="695"/>
        <v>#N/A</v>
      </c>
      <c r="FQ12" s="5" t="e">
        <f t="shared" si="696"/>
        <v>#N/A</v>
      </c>
      <c r="FR12" s="5" t="e">
        <f t="shared" si="697"/>
        <v>#N/A</v>
      </c>
      <c r="FS12" s="5" t="e">
        <f t="shared" si="698"/>
        <v>#N/A</v>
      </c>
      <c r="FT12" s="5" t="e">
        <f t="shared" si="699"/>
        <v>#N/A</v>
      </c>
      <c r="FU12" s="5" t="e">
        <f t="shared" si="700"/>
        <v>#N/A</v>
      </c>
      <c r="FV12" s="5" t="e">
        <f t="shared" si="701"/>
        <v>#N/A</v>
      </c>
      <c r="FW12" s="5" t="e">
        <f t="shared" si="702"/>
        <v>#N/A</v>
      </c>
      <c r="FX12" s="5" t="e">
        <f t="shared" si="703"/>
        <v>#N/A</v>
      </c>
      <c r="FY12" s="5" t="e">
        <f t="shared" si="704"/>
        <v>#N/A</v>
      </c>
      <c r="FZ12" s="5" t="e">
        <f t="shared" si="705"/>
        <v>#N/A</v>
      </c>
      <c r="GA12" s="5" t="e">
        <f t="shared" si="706"/>
        <v>#N/A</v>
      </c>
      <c r="GB12" s="5" t="e">
        <f t="shared" si="707"/>
        <v>#N/A</v>
      </c>
      <c r="GC12" s="5" t="e">
        <f t="shared" si="708"/>
        <v>#N/A</v>
      </c>
      <c r="GD12" s="5" t="e">
        <f t="shared" si="709"/>
        <v>#N/A</v>
      </c>
      <c r="GE12" s="5" t="e">
        <f t="shared" si="710"/>
        <v>#N/A</v>
      </c>
      <c r="GF12" s="5" t="e">
        <f t="shared" si="711"/>
        <v>#N/A</v>
      </c>
      <c r="GG12" s="5" t="e">
        <f t="shared" si="712"/>
        <v>#N/A</v>
      </c>
      <c r="GH12" s="5" t="e">
        <f t="shared" si="713"/>
        <v>#N/A</v>
      </c>
      <c r="GI12" s="5" t="e">
        <f t="shared" si="714"/>
        <v>#N/A</v>
      </c>
      <c r="GJ12" s="5" t="e">
        <f t="shared" si="715"/>
        <v>#N/A</v>
      </c>
      <c r="GK12" s="5" t="e">
        <f t="shared" si="716"/>
        <v>#N/A</v>
      </c>
      <c r="GL12" s="5" t="e">
        <f t="shared" si="717"/>
        <v>#N/A</v>
      </c>
      <c r="GM12" s="5" t="e">
        <f t="shared" si="718"/>
        <v>#N/A</v>
      </c>
      <c r="GN12" s="5" t="e">
        <f t="shared" si="719"/>
        <v>#N/A</v>
      </c>
      <c r="GO12" s="5" t="e">
        <f t="shared" si="720"/>
        <v>#N/A</v>
      </c>
      <c r="GP12" s="5" t="e">
        <f t="shared" si="721"/>
        <v>#N/A</v>
      </c>
      <c r="GQ12" s="5" t="e">
        <f t="shared" si="722"/>
        <v>#N/A</v>
      </c>
      <c r="GR12" s="5" t="e">
        <f t="shared" si="723"/>
        <v>#N/A</v>
      </c>
      <c r="GS12" s="5" t="e">
        <f t="shared" si="724"/>
        <v>#N/A</v>
      </c>
      <c r="GT12" s="5" t="e">
        <f t="shared" si="725"/>
        <v>#N/A</v>
      </c>
      <c r="GU12" s="5" t="e">
        <f t="shared" si="726"/>
        <v>#N/A</v>
      </c>
      <c r="GV12" s="5" t="e">
        <f t="shared" si="727"/>
        <v>#N/A</v>
      </c>
      <c r="GW12" s="5" t="e">
        <f t="shared" si="728"/>
        <v>#N/A</v>
      </c>
      <c r="GX12" s="5" t="e">
        <f t="shared" si="729"/>
        <v>#N/A</v>
      </c>
      <c r="GY12" s="5" t="e">
        <f t="shared" si="730"/>
        <v>#N/A</v>
      </c>
      <c r="GZ12" s="5" t="e">
        <f t="shared" si="731"/>
        <v>#N/A</v>
      </c>
      <c r="HA12" s="5" t="e">
        <f t="shared" si="732"/>
        <v>#N/A</v>
      </c>
      <c r="HC12" s="6" t="e">
        <f t="shared" si="733"/>
        <v>#N/A</v>
      </c>
      <c r="HD12" s="5" t="e">
        <f t="shared" si="734"/>
        <v>#N/A</v>
      </c>
      <c r="HE12" s="5" t="e">
        <f t="shared" si="735"/>
        <v>#N/A</v>
      </c>
      <c r="HF12" s="5" t="e">
        <f t="shared" si="736"/>
        <v>#N/A</v>
      </c>
      <c r="HG12" s="5" t="e">
        <f t="shared" si="737"/>
        <v>#N/A</v>
      </c>
      <c r="HH12" s="5" t="e">
        <f t="shared" si="738"/>
        <v>#N/A</v>
      </c>
      <c r="HI12" s="5" t="e">
        <f t="shared" si="739"/>
        <v>#N/A</v>
      </c>
      <c r="HJ12" s="5" t="e">
        <f t="shared" si="740"/>
        <v>#N/A</v>
      </c>
      <c r="HK12" s="5" t="e">
        <f t="shared" si="741"/>
        <v>#N/A</v>
      </c>
      <c r="HL12" s="5" t="e">
        <f t="shared" si="742"/>
        <v>#N/A</v>
      </c>
      <c r="HM12" s="5" t="e">
        <f t="shared" si="743"/>
        <v>#N/A</v>
      </c>
      <c r="HN12" s="5" t="e">
        <f t="shared" si="744"/>
        <v>#N/A</v>
      </c>
      <c r="HO12" s="5" t="e">
        <f t="shared" si="745"/>
        <v>#N/A</v>
      </c>
      <c r="HP12" s="5" t="e">
        <f t="shared" si="746"/>
        <v>#N/A</v>
      </c>
      <c r="HQ12" s="5" t="e">
        <f t="shared" si="747"/>
        <v>#N/A</v>
      </c>
      <c r="HR12" s="5" t="e">
        <f t="shared" si="748"/>
        <v>#N/A</v>
      </c>
      <c r="HS12" s="5" t="e">
        <f t="shared" si="749"/>
        <v>#N/A</v>
      </c>
      <c r="HT12" s="5" t="e">
        <f t="shared" si="750"/>
        <v>#N/A</v>
      </c>
      <c r="HU12" s="5" t="e">
        <f t="shared" si="751"/>
        <v>#N/A</v>
      </c>
      <c r="HV12" s="5" t="e">
        <f t="shared" si="752"/>
        <v>#N/A</v>
      </c>
      <c r="HW12" s="5" t="e">
        <f t="shared" si="753"/>
        <v>#N/A</v>
      </c>
      <c r="HX12" s="5" t="e">
        <f t="shared" si="754"/>
        <v>#N/A</v>
      </c>
      <c r="HY12" s="5" t="e">
        <f t="shared" si="755"/>
        <v>#N/A</v>
      </c>
      <c r="HZ12" s="5" t="e">
        <f t="shared" si="756"/>
        <v>#N/A</v>
      </c>
      <c r="IA12" s="5" t="e">
        <f t="shared" si="757"/>
        <v>#N/A</v>
      </c>
      <c r="IB12" s="5" t="e">
        <f t="shared" si="758"/>
        <v>#N/A</v>
      </c>
      <c r="IC12" s="5" t="e">
        <f t="shared" si="759"/>
        <v>#N/A</v>
      </c>
      <c r="ID12" s="5" t="e">
        <f t="shared" si="760"/>
        <v>#N/A</v>
      </c>
      <c r="IE12" s="5" t="e">
        <f t="shared" si="761"/>
        <v>#N/A</v>
      </c>
      <c r="IF12" s="5" t="e">
        <f t="shared" si="762"/>
        <v>#N/A</v>
      </c>
      <c r="IG12" s="5" t="e">
        <f t="shared" si="763"/>
        <v>#N/A</v>
      </c>
      <c r="IH12" s="5" t="e">
        <f t="shared" si="764"/>
        <v>#N/A</v>
      </c>
      <c r="II12" s="5" t="e">
        <f t="shared" si="765"/>
        <v>#N/A</v>
      </c>
      <c r="IJ12" s="5" t="e">
        <f t="shared" si="766"/>
        <v>#N/A</v>
      </c>
      <c r="IK12" s="5" t="e">
        <f t="shared" si="767"/>
        <v>#N/A</v>
      </c>
      <c r="IL12" s="5" t="e">
        <f t="shared" si="768"/>
        <v>#N/A</v>
      </c>
      <c r="IM12" s="5" t="e">
        <f t="shared" si="769"/>
        <v>#N/A</v>
      </c>
      <c r="IN12" s="5" t="e">
        <f t="shared" si="770"/>
        <v>#N/A</v>
      </c>
      <c r="IO12" s="5" t="e">
        <f t="shared" si="771"/>
        <v>#N/A</v>
      </c>
      <c r="IP12" s="5" t="e">
        <f t="shared" si="772"/>
        <v>#N/A</v>
      </c>
      <c r="IQ12" s="5" t="e">
        <f t="shared" si="773"/>
        <v>#N/A</v>
      </c>
      <c r="IR12" s="5" t="e">
        <f t="shared" si="774"/>
        <v>#N/A</v>
      </c>
      <c r="IS12" s="5" t="e">
        <f t="shared" si="775"/>
        <v>#N/A</v>
      </c>
      <c r="IT12" s="5" t="e">
        <f t="shared" si="776"/>
        <v>#N/A</v>
      </c>
      <c r="IU12" s="5" t="e">
        <f t="shared" si="777"/>
        <v>#N/A</v>
      </c>
      <c r="IV12" s="5" t="e">
        <f t="shared" si="778"/>
        <v>#N/A</v>
      </c>
      <c r="IW12" s="5" t="e">
        <f t="shared" si="779"/>
        <v>#N/A</v>
      </c>
      <c r="IX12" s="5" t="e">
        <f t="shared" si="780"/>
        <v>#N/A</v>
      </c>
      <c r="IY12" s="5" t="e">
        <f t="shared" si="781"/>
        <v>#N/A</v>
      </c>
      <c r="IZ12" s="5" t="e">
        <f t="shared" si="782"/>
        <v>#N/A</v>
      </c>
      <c r="JA12" s="5" t="e">
        <f t="shared" si="783"/>
        <v>#N/A</v>
      </c>
      <c r="JB12" s="5" t="e">
        <f t="shared" si="784"/>
        <v>#N/A</v>
      </c>
      <c r="JC12" s="5" t="e">
        <f t="shared" si="785"/>
        <v>#N/A</v>
      </c>
      <c r="JD12" s="5" t="e">
        <f t="shared" si="786"/>
        <v>#N/A</v>
      </c>
      <c r="JE12" s="5" t="e">
        <f t="shared" si="787"/>
        <v>#N/A</v>
      </c>
      <c r="JF12" s="5" t="e">
        <f t="shared" si="788"/>
        <v>#N/A</v>
      </c>
      <c r="JG12" s="5" t="e">
        <f t="shared" si="789"/>
        <v>#N/A</v>
      </c>
      <c r="JH12" s="5" t="e">
        <f t="shared" si="790"/>
        <v>#N/A</v>
      </c>
      <c r="JI12" s="5" t="e">
        <f t="shared" si="791"/>
        <v>#N/A</v>
      </c>
      <c r="JJ12" s="5" t="e">
        <f t="shared" si="792"/>
        <v>#N/A</v>
      </c>
      <c r="JK12" s="5" t="e">
        <f t="shared" si="793"/>
        <v>#N/A</v>
      </c>
      <c r="JM12" s="19" t="e">
        <f t="shared" si="794"/>
        <v>#N/A</v>
      </c>
      <c r="JN12" s="1">
        <v>10</v>
      </c>
      <c r="JO12" s="5" t="e">
        <f>HLOOKUP(JM12,HC$2:JK12,2+JN11,0)+IF(S12&gt;0,S12,0)-IF(KE12&gt;0,KE12,0)</f>
        <v>#N/A</v>
      </c>
      <c r="JP12" s="5" t="e">
        <f t="shared" si="795"/>
        <v>#N/A</v>
      </c>
      <c r="JQ12" s="17"/>
      <c r="JR12" s="26"/>
      <c r="JS12" s="6">
        <f t="shared" si="796"/>
        <v>0</v>
      </c>
      <c r="JT12" s="5" t="e">
        <f t="shared" si="797"/>
        <v>#N/A</v>
      </c>
      <c r="JU12" s="13">
        <f t="shared" ca="1" si="20"/>
        <v>46161</v>
      </c>
      <c r="JV12" s="6" t="e">
        <f t="shared" si="798"/>
        <v>#N/A</v>
      </c>
      <c r="JW12" s="6"/>
      <c r="JX12" s="6"/>
      <c r="JY12" s="6">
        <f t="shared" si="799"/>
        <v>0</v>
      </c>
      <c r="JZ12" s="10" t="e">
        <f t="shared" si="800"/>
        <v>#N/A</v>
      </c>
      <c r="KA12" s="10" t="e">
        <f t="shared" si="801"/>
        <v>#N/A</v>
      </c>
      <c r="KB12" s="10" t="e">
        <f t="shared" si="802"/>
        <v>#N/A</v>
      </c>
      <c r="KC12" s="10" t="e">
        <f t="shared" si="803"/>
        <v>#N/A</v>
      </c>
      <c r="KD12" s="5" t="e">
        <f t="shared" si="804"/>
        <v>#N/A</v>
      </c>
      <c r="KE12" s="6" t="e">
        <f t="shared" si="805"/>
        <v>#N/A</v>
      </c>
    </row>
    <row r="13" spans="1:291" ht="14.4" customHeight="1" x14ac:dyDescent="0.3">
      <c r="A13" s="1" t="s">
        <v>58</v>
      </c>
      <c r="C13" s="1" t="e">
        <f>VLOOKUP(B13,DD!A:B,2,0)</f>
        <v>#N/A</v>
      </c>
      <c r="D13" s="1" t="e">
        <f>VLOOKUP(B13,DD!A:K,11,0)</f>
        <v>#N/A</v>
      </c>
      <c r="E13" s="1" t="e">
        <f>VLOOKUP(B13,DD!A:L,12,0)</f>
        <v>#N/A</v>
      </c>
      <c r="F13" s="17" t="e">
        <f>VLOOKUP(B13,DD!A:D,4,0)</f>
        <v>#N/A</v>
      </c>
      <c r="G13" s="9">
        <v>1</v>
      </c>
      <c r="H13" s="3" t="e">
        <f>VLOOKUP(B13,DD!A:E,5,0)</f>
        <v>#N/A</v>
      </c>
      <c r="I13" s="3" t="e">
        <f t="shared" si="601"/>
        <v>#N/A</v>
      </c>
      <c r="J13" s="3" t="e">
        <f>VLOOKUP(B13,DD!A:F,6,0)</f>
        <v>#N/A</v>
      </c>
      <c r="K13" s="3" t="e">
        <f>VLOOKUP(B13,DD!A:H,8,0)</f>
        <v>#N/A</v>
      </c>
      <c r="L13" s="3" t="e">
        <f>VLOOKUP(B13,DD!A:I,9,0)</f>
        <v>#N/A</v>
      </c>
      <c r="M13" s="3" t="e">
        <f>VLOOKUP(B13,DD!A:J,10,0)</f>
        <v>#N/A</v>
      </c>
      <c r="N13" s="3" t="s">
        <v>8</v>
      </c>
      <c r="O13" s="3" t="s">
        <v>9</v>
      </c>
      <c r="P13" s="4" t="e">
        <f>VLOOKUP(B13,DD!A:C,3,0)</f>
        <v>#N/A</v>
      </c>
      <c r="Q13" s="5" t="e">
        <f t="shared" si="602"/>
        <v>#N/A</v>
      </c>
      <c r="R13" s="5" t="e">
        <f t="shared" si="603"/>
        <v>#N/A</v>
      </c>
      <c r="S13" s="5" t="e">
        <f t="shared" si="604"/>
        <v>#N/A</v>
      </c>
      <c r="T13" s="6" t="e">
        <f t="shared" si="605"/>
        <v>#N/A</v>
      </c>
      <c r="U13" s="5" t="e">
        <f t="shared" si="606"/>
        <v>#N/A</v>
      </c>
      <c r="V13" s="6" t="e">
        <f t="shared" si="607"/>
        <v>#N/A</v>
      </c>
      <c r="W13" s="7" t="e">
        <f t="shared" si="608"/>
        <v>#N/A</v>
      </c>
      <c r="X13" s="8" t="e">
        <f t="shared" si="609"/>
        <v>#VALUE!</v>
      </c>
      <c r="Y13" s="6" t="e">
        <f t="shared" si="610"/>
        <v>#N/A</v>
      </c>
      <c r="Z13" s="7" t="e">
        <f t="shared" si="806"/>
        <v>#N/A</v>
      </c>
      <c r="AA13" s="7" t="e">
        <f t="shared" si="806"/>
        <v>#N/A</v>
      </c>
      <c r="AB13" s="7" t="e">
        <f t="shared" si="806"/>
        <v>#N/A</v>
      </c>
      <c r="AC13" s="7" t="e">
        <f t="shared" si="806"/>
        <v>#N/A</v>
      </c>
      <c r="AD13" s="7" t="e">
        <f t="shared" si="806"/>
        <v>#N/A</v>
      </c>
      <c r="AE13" s="7" t="e">
        <f t="shared" si="806"/>
        <v>#N/A</v>
      </c>
      <c r="AF13" s="7" t="e">
        <f t="shared" si="806"/>
        <v>#N/A</v>
      </c>
      <c r="AG13" s="7" t="e">
        <f t="shared" si="806"/>
        <v>#N/A</v>
      </c>
      <c r="AH13" s="7" t="e">
        <f t="shared" si="806"/>
        <v>#N/A</v>
      </c>
      <c r="AI13" s="7" t="e">
        <f t="shared" si="806"/>
        <v>#N/A</v>
      </c>
      <c r="AJ13" s="7" t="e">
        <f t="shared" si="806"/>
        <v>#N/A</v>
      </c>
      <c r="AK13" s="7" t="e">
        <f t="shared" si="806"/>
        <v>#N/A</v>
      </c>
      <c r="AL13" s="7" t="e">
        <f t="shared" si="806"/>
        <v>#N/A</v>
      </c>
      <c r="AM13" s="7" t="e">
        <f t="shared" si="806"/>
        <v>#N/A</v>
      </c>
      <c r="AN13" s="7" t="e">
        <f t="shared" si="806"/>
        <v>#N/A</v>
      </c>
      <c r="AO13" s="7" t="e">
        <f t="shared" si="806"/>
        <v>#N/A</v>
      </c>
      <c r="AP13" s="7" t="e">
        <f t="shared" si="806"/>
        <v>#N/A</v>
      </c>
      <c r="AQ13" s="7" t="e">
        <f t="shared" si="806"/>
        <v>#N/A</v>
      </c>
      <c r="AR13" s="7" t="e">
        <f t="shared" si="806"/>
        <v>#N/A</v>
      </c>
      <c r="AS13" s="7" t="e">
        <f t="shared" si="806"/>
        <v>#N/A</v>
      </c>
      <c r="AT13" s="7" t="e">
        <f t="shared" si="806"/>
        <v>#N/A</v>
      </c>
      <c r="AU13" s="7" t="e">
        <f t="shared" si="806"/>
        <v>#N/A</v>
      </c>
      <c r="AV13" s="7" t="e">
        <f t="shared" si="806"/>
        <v>#N/A</v>
      </c>
      <c r="AW13" s="7" t="e">
        <f t="shared" si="806"/>
        <v>#N/A</v>
      </c>
      <c r="AX13" s="7" t="e">
        <f t="shared" si="806"/>
        <v>#N/A</v>
      </c>
      <c r="AY13" s="7" t="e">
        <f t="shared" si="806"/>
        <v>#N/A</v>
      </c>
      <c r="AZ13" s="7" t="e">
        <f t="shared" si="806"/>
        <v>#N/A</v>
      </c>
      <c r="BA13" s="7" t="e">
        <f t="shared" si="806"/>
        <v>#N/A</v>
      </c>
      <c r="BB13" s="7" t="e">
        <f t="shared" si="806"/>
        <v>#N/A</v>
      </c>
      <c r="BC13" s="7" t="e">
        <f t="shared" si="806"/>
        <v>#N/A</v>
      </c>
      <c r="BD13" s="7" t="e">
        <f t="shared" si="806"/>
        <v>#N/A</v>
      </c>
      <c r="BE13" s="7" t="e">
        <f t="shared" si="806"/>
        <v>#N/A</v>
      </c>
      <c r="BF13" s="7" t="e">
        <f t="shared" ref="BF13:BU17" si="809">IF($I13&gt;=BF$2,$U13,0)-IF($I13=BF$2,$S13)-IF($S13&gt;1,$S13,0)+$S13</f>
        <v>#N/A</v>
      </c>
      <c r="BG13" s="7" t="e">
        <f t="shared" si="809"/>
        <v>#N/A</v>
      </c>
      <c r="BH13" s="7" t="e">
        <f t="shared" si="809"/>
        <v>#N/A</v>
      </c>
      <c r="BI13" s="7" t="e">
        <f t="shared" si="809"/>
        <v>#N/A</v>
      </c>
      <c r="BJ13" s="7" t="e">
        <f t="shared" si="809"/>
        <v>#N/A</v>
      </c>
      <c r="BK13" s="7" t="e">
        <f t="shared" si="809"/>
        <v>#N/A</v>
      </c>
      <c r="BL13" s="7" t="e">
        <f t="shared" si="809"/>
        <v>#N/A</v>
      </c>
      <c r="BM13" s="7" t="e">
        <f t="shared" si="809"/>
        <v>#N/A</v>
      </c>
      <c r="BN13" s="7" t="e">
        <f t="shared" si="809"/>
        <v>#N/A</v>
      </c>
      <c r="BO13" s="7" t="e">
        <f t="shared" si="809"/>
        <v>#N/A</v>
      </c>
      <c r="BP13" s="7" t="e">
        <f t="shared" si="809"/>
        <v>#N/A</v>
      </c>
      <c r="BQ13" s="7" t="e">
        <f t="shared" si="809"/>
        <v>#N/A</v>
      </c>
      <c r="BR13" s="7" t="e">
        <f t="shared" si="809"/>
        <v>#N/A</v>
      </c>
      <c r="BS13" s="7" t="e">
        <f t="shared" si="809"/>
        <v>#N/A</v>
      </c>
      <c r="BT13" s="7" t="e">
        <f t="shared" si="809"/>
        <v>#N/A</v>
      </c>
      <c r="BU13" s="7" t="e">
        <f t="shared" si="809"/>
        <v>#N/A</v>
      </c>
      <c r="BV13" s="7" t="e">
        <f t="shared" si="807"/>
        <v>#N/A</v>
      </c>
      <c r="BW13" s="7" t="e">
        <f t="shared" si="807"/>
        <v>#N/A</v>
      </c>
      <c r="BX13" s="7" t="e">
        <f t="shared" si="807"/>
        <v>#N/A</v>
      </c>
      <c r="BY13" s="7" t="e">
        <f t="shared" si="808"/>
        <v>#N/A</v>
      </c>
      <c r="BZ13" s="7" t="e">
        <f t="shared" si="808"/>
        <v>#N/A</v>
      </c>
      <c r="CA13" s="7" t="e">
        <f t="shared" si="808"/>
        <v>#N/A</v>
      </c>
      <c r="CB13" s="7" t="e">
        <f t="shared" si="808"/>
        <v>#N/A</v>
      </c>
      <c r="CC13" s="7" t="e">
        <f t="shared" si="808"/>
        <v>#N/A</v>
      </c>
      <c r="CD13" s="7" t="e">
        <f t="shared" si="808"/>
        <v>#N/A</v>
      </c>
      <c r="CE13" s="7" t="e">
        <f t="shared" si="808"/>
        <v>#N/A</v>
      </c>
      <c r="CF13" s="7" t="e">
        <f t="shared" si="808"/>
        <v>#N/A</v>
      </c>
      <c r="CG13" s="7" t="e">
        <f t="shared" si="808"/>
        <v>#N/A</v>
      </c>
      <c r="CH13" s="6" t="e">
        <f t="shared" si="611"/>
        <v>#N/A</v>
      </c>
      <c r="CI13" s="5" t="e">
        <f t="shared" si="612"/>
        <v>#N/A</v>
      </c>
      <c r="CK13" s="5" t="e">
        <f t="shared" si="613"/>
        <v>#N/A</v>
      </c>
      <c r="CL13" s="5" t="e">
        <f t="shared" si="614"/>
        <v>#N/A</v>
      </c>
      <c r="CM13" s="5" t="e">
        <f t="shared" si="615"/>
        <v>#N/A</v>
      </c>
      <c r="CN13" s="5" t="e">
        <f t="shared" si="616"/>
        <v>#N/A</v>
      </c>
      <c r="CO13" s="5" t="e">
        <f t="shared" si="617"/>
        <v>#N/A</v>
      </c>
      <c r="CP13" s="5" t="e">
        <f t="shared" si="618"/>
        <v>#N/A</v>
      </c>
      <c r="CQ13" s="5" t="e">
        <f t="shared" si="619"/>
        <v>#N/A</v>
      </c>
      <c r="CR13" s="5" t="e">
        <f t="shared" si="620"/>
        <v>#N/A</v>
      </c>
      <c r="CS13" s="5" t="e">
        <f t="shared" si="621"/>
        <v>#N/A</v>
      </c>
      <c r="CT13" s="5" t="e">
        <f t="shared" si="622"/>
        <v>#N/A</v>
      </c>
      <c r="CU13" s="5" t="e">
        <f t="shared" si="623"/>
        <v>#N/A</v>
      </c>
      <c r="CV13" s="5" t="e">
        <f t="shared" si="624"/>
        <v>#N/A</v>
      </c>
      <c r="CW13" s="5" t="e">
        <f t="shared" si="625"/>
        <v>#N/A</v>
      </c>
      <c r="CX13" s="5" t="e">
        <f t="shared" si="626"/>
        <v>#N/A</v>
      </c>
      <c r="CY13" s="5" t="e">
        <f t="shared" si="627"/>
        <v>#N/A</v>
      </c>
      <c r="CZ13" s="5" t="e">
        <f t="shared" si="628"/>
        <v>#N/A</v>
      </c>
      <c r="DA13" s="5" t="e">
        <f t="shared" si="629"/>
        <v>#N/A</v>
      </c>
      <c r="DB13" s="5" t="e">
        <f t="shared" si="630"/>
        <v>#N/A</v>
      </c>
      <c r="DC13" s="5" t="e">
        <f t="shared" si="631"/>
        <v>#N/A</v>
      </c>
      <c r="DD13" s="5" t="e">
        <f t="shared" si="632"/>
        <v>#N/A</v>
      </c>
      <c r="DE13" s="5" t="e">
        <f t="shared" si="633"/>
        <v>#N/A</v>
      </c>
      <c r="DF13" s="5" t="e">
        <f t="shared" si="634"/>
        <v>#N/A</v>
      </c>
      <c r="DG13" s="5" t="e">
        <f t="shared" si="635"/>
        <v>#N/A</v>
      </c>
      <c r="DH13" s="5" t="e">
        <f t="shared" si="636"/>
        <v>#N/A</v>
      </c>
      <c r="DI13" s="5" t="e">
        <f t="shared" si="637"/>
        <v>#N/A</v>
      </c>
      <c r="DJ13" s="5" t="e">
        <f t="shared" si="638"/>
        <v>#N/A</v>
      </c>
      <c r="DK13" s="5" t="e">
        <f t="shared" si="639"/>
        <v>#N/A</v>
      </c>
      <c r="DL13" s="5" t="e">
        <f t="shared" si="640"/>
        <v>#N/A</v>
      </c>
      <c r="DM13" s="5" t="e">
        <f t="shared" si="641"/>
        <v>#N/A</v>
      </c>
      <c r="DN13" s="5" t="e">
        <f t="shared" si="642"/>
        <v>#N/A</v>
      </c>
      <c r="DO13" s="5" t="e">
        <f t="shared" si="643"/>
        <v>#N/A</v>
      </c>
      <c r="DP13" s="5" t="e">
        <f t="shared" si="644"/>
        <v>#N/A</v>
      </c>
      <c r="DQ13" s="5" t="e">
        <f t="shared" si="645"/>
        <v>#N/A</v>
      </c>
      <c r="DR13" s="5" t="e">
        <f t="shared" si="646"/>
        <v>#N/A</v>
      </c>
      <c r="DS13" s="5" t="e">
        <f t="shared" si="647"/>
        <v>#N/A</v>
      </c>
      <c r="DT13" s="5" t="e">
        <f t="shared" si="648"/>
        <v>#N/A</v>
      </c>
      <c r="DU13" s="5" t="e">
        <f t="shared" si="649"/>
        <v>#N/A</v>
      </c>
      <c r="DV13" s="5" t="e">
        <f t="shared" si="650"/>
        <v>#N/A</v>
      </c>
      <c r="DW13" s="5" t="e">
        <f t="shared" si="651"/>
        <v>#N/A</v>
      </c>
      <c r="DX13" s="5" t="e">
        <f t="shared" si="652"/>
        <v>#N/A</v>
      </c>
      <c r="DY13" s="5" t="e">
        <f t="shared" si="653"/>
        <v>#N/A</v>
      </c>
      <c r="DZ13" s="5" t="e">
        <f t="shared" si="654"/>
        <v>#N/A</v>
      </c>
      <c r="EA13" s="5" t="e">
        <f t="shared" si="655"/>
        <v>#N/A</v>
      </c>
      <c r="EB13" s="5" t="e">
        <f t="shared" si="656"/>
        <v>#N/A</v>
      </c>
      <c r="EC13" s="5" t="e">
        <f t="shared" si="657"/>
        <v>#N/A</v>
      </c>
      <c r="ED13" s="5" t="e">
        <f t="shared" si="658"/>
        <v>#N/A</v>
      </c>
      <c r="EE13" s="5" t="e">
        <f t="shared" si="659"/>
        <v>#N/A</v>
      </c>
      <c r="EF13" s="5" t="e">
        <f t="shared" si="660"/>
        <v>#N/A</v>
      </c>
      <c r="EG13" s="5" t="e">
        <f t="shared" si="661"/>
        <v>#N/A</v>
      </c>
      <c r="EH13" s="5" t="e">
        <f t="shared" si="662"/>
        <v>#N/A</v>
      </c>
      <c r="EI13" s="5" t="e">
        <f t="shared" si="663"/>
        <v>#N/A</v>
      </c>
      <c r="EJ13" s="5" t="e">
        <f t="shared" si="664"/>
        <v>#N/A</v>
      </c>
      <c r="EK13" s="5" t="e">
        <f t="shared" si="665"/>
        <v>#N/A</v>
      </c>
      <c r="EL13" s="5" t="e">
        <f t="shared" si="666"/>
        <v>#N/A</v>
      </c>
      <c r="EM13" s="5" t="e">
        <f t="shared" si="667"/>
        <v>#N/A</v>
      </c>
      <c r="EN13" s="5" t="e">
        <f t="shared" si="668"/>
        <v>#N/A</v>
      </c>
      <c r="EO13" s="5" t="e">
        <f t="shared" si="669"/>
        <v>#N/A</v>
      </c>
      <c r="EP13" s="5" t="e">
        <f t="shared" si="670"/>
        <v>#N/A</v>
      </c>
      <c r="EQ13" s="5" t="e">
        <f t="shared" si="671"/>
        <v>#N/A</v>
      </c>
      <c r="ER13" s="5" t="e">
        <f t="shared" si="672"/>
        <v>#N/A</v>
      </c>
      <c r="ET13" s="5" t="e">
        <f t="shared" si="673"/>
        <v>#N/A</v>
      </c>
      <c r="EU13" s="5" t="e">
        <f t="shared" si="674"/>
        <v>#N/A</v>
      </c>
      <c r="EV13" s="5" t="e">
        <f t="shared" si="675"/>
        <v>#N/A</v>
      </c>
      <c r="EW13" s="5" t="e">
        <f t="shared" si="676"/>
        <v>#N/A</v>
      </c>
      <c r="EX13" s="5" t="e">
        <f t="shared" si="677"/>
        <v>#N/A</v>
      </c>
      <c r="EY13" s="5" t="e">
        <f t="shared" si="678"/>
        <v>#N/A</v>
      </c>
      <c r="EZ13" s="5" t="e">
        <f t="shared" si="679"/>
        <v>#N/A</v>
      </c>
      <c r="FA13" s="5" t="e">
        <f t="shared" si="680"/>
        <v>#N/A</v>
      </c>
      <c r="FB13" s="5" t="e">
        <f t="shared" si="681"/>
        <v>#N/A</v>
      </c>
      <c r="FC13" s="5" t="e">
        <f t="shared" si="682"/>
        <v>#N/A</v>
      </c>
      <c r="FD13" s="5" t="e">
        <f t="shared" si="683"/>
        <v>#N/A</v>
      </c>
      <c r="FE13" s="5" t="e">
        <f t="shared" si="684"/>
        <v>#N/A</v>
      </c>
      <c r="FF13" s="5" t="e">
        <f t="shared" si="685"/>
        <v>#N/A</v>
      </c>
      <c r="FG13" s="5" t="e">
        <f t="shared" si="686"/>
        <v>#N/A</v>
      </c>
      <c r="FH13" s="5" t="e">
        <f t="shared" si="687"/>
        <v>#N/A</v>
      </c>
      <c r="FI13" s="5" t="e">
        <f t="shared" si="688"/>
        <v>#N/A</v>
      </c>
      <c r="FJ13" s="5" t="e">
        <f t="shared" si="689"/>
        <v>#N/A</v>
      </c>
      <c r="FK13" s="5" t="e">
        <f t="shared" si="690"/>
        <v>#N/A</v>
      </c>
      <c r="FL13" s="5" t="e">
        <f t="shared" si="691"/>
        <v>#N/A</v>
      </c>
      <c r="FM13" s="5" t="e">
        <f t="shared" si="692"/>
        <v>#N/A</v>
      </c>
      <c r="FN13" s="5" t="e">
        <f t="shared" si="693"/>
        <v>#N/A</v>
      </c>
      <c r="FO13" s="5" t="e">
        <f t="shared" si="694"/>
        <v>#N/A</v>
      </c>
      <c r="FP13" s="5" t="e">
        <f t="shared" si="695"/>
        <v>#N/A</v>
      </c>
      <c r="FQ13" s="5" t="e">
        <f t="shared" si="696"/>
        <v>#N/A</v>
      </c>
      <c r="FR13" s="5" t="e">
        <f t="shared" si="697"/>
        <v>#N/A</v>
      </c>
      <c r="FS13" s="5" t="e">
        <f t="shared" si="698"/>
        <v>#N/A</v>
      </c>
      <c r="FT13" s="5" t="e">
        <f t="shared" si="699"/>
        <v>#N/A</v>
      </c>
      <c r="FU13" s="5" t="e">
        <f t="shared" si="700"/>
        <v>#N/A</v>
      </c>
      <c r="FV13" s="5" t="e">
        <f t="shared" si="701"/>
        <v>#N/A</v>
      </c>
      <c r="FW13" s="5" t="e">
        <f t="shared" si="702"/>
        <v>#N/A</v>
      </c>
      <c r="FX13" s="5" t="e">
        <f t="shared" si="703"/>
        <v>#N/A</v>
      </c>
      <c r="FY13" s="5" t="e">
        <f t="shared" si="704"/>
        <v>#N/A</v>
      </c>
      <c r="FZ13" s="5" t="e">
        <f t="shared" si="705"/>
        <v>#N/A</v>
      </c>
      <c r="GA13" s="5" t="e">
        <f t="shared" si="706"/>
        <v>#N/A</v>
      </c>
      <c r="GB13" s="5" t="e">
        <f t="shared" si="707"/>
        <v>#N/A</v>
      </c>
      <c r="GC13" s="5" t="e">
        <f t="shared" si="708"/>
        <v>#N/A</v>
      </c>
      <c r="GD13" s="5" t="e">
        <f t="shared" si="709"/>
        <v>#N/A</v>
      </c>
      <c r="GE13" s="5" t="e">
        <f t="shared" si="710"/>
        <v>#N/A</v>
      </c>
      <c r="GF13" s="5" t="e">
        <f t="shared" si="711"/>
        <v>#N/A</v>
      </c>
      <c r="GG13" s="5" t="e">
        <f t="shared" si="712"/>
        <v>#N/A</v>
      </c>
      <c r="GH13" s="5" t="e">
        <f t="shared" si="713"/>
        <v>#N/A</v>
      </c>
      <c r="GI13" s="5" t="e">
        <f t="shared" si="714"/>
        <v>#N/A</v>
      </c>
      <c r="GJ13" s="5" t="e">
        <f t="shared" si="715"/>
        <v>#N/A</v>
      </c>
      <c r="GK13" s="5" t="e">
        <f t="shared" si="716"/>
        <v>#N/A</v>
      </c>
      <c r="GL13" s="5" t="e">
        <f t="shared" si="717"/>
        <v>#N/A</v>
      </c>
      <c r="GM13" s="5" t="e">
        <f t="shared" si="718"/>
        <v>#N/A</v>
      </c>
      <c r="GN13" s="5" t="e">
        <f t="shared" si="719"/>
        <v>#N/A</v>
      </c>
      <c r="GO13" s="5" t="e">
        <f t="shared" si="720"/>
        <v>#N/A</v>
      </c>
      <c r="GP13" s="5" t="e">
        <f t="shared" si="721"/>
        <v>#N/A</v>
      </c>
      <c r="GQ13" s="5" t="e">
        <f t="shared" si="722"/>
        <v>#N/A</v>
      </c>
      <c r="GR13" s="5" t="e">
        <f t="shared" si="723"/>
        <v>#N/A</v>
      </c>
      <c r="GS13" s="5" t="e">
        <f t="shared" si="724"/>
        <v>#N/A</v>
      </c>
      <c r="GT13" s="5" t="e">
        <f t="shared" si="725"/>
        <v>#N/A</v>
      </c>
      <c r="GU13" s="5" t="e">
        <f t="shared" si="726"/>
        <v>#N/A</v>
      </c>
      <c r="GV13" s="5" t="e">
        <f t="shared" si="727"/>
        <v>#N/A</v>
      </c>
      <c r="GW13" s="5" t="e">
        <f t="shared" si="728"/>
        <v>#N/A</v>
      </c>
      <c r="GX13" s="5" t="e">
        <f t="shared" si="729"/>
        <v>#N/A</v>
      </c>
      <c r="GY13" s="5" t="e">
        <f t="shared" si="730"/>
        <v>#N/A</v>
      </c>
      <c r="GZ13" s="5" t="e">
        <f t="shared" si="731"/>
        <v>#N/A</v>
      </c>
      <c r="HA13" s="5" t="e">
        <f t="shared" si="732"/>
        <v>#N/A</v>
      </c>
      <c r="HC13" s="6" t="e">
        <f t="shared" si="733"/>
        <v>#N/A</v>
      </c>
      <c r="HD13" s="5" t="e">
        <f t="shared" si="734"/>
        <v>#N/A</v>
      </c>
      <c r="HE13" s="5" t="e">
        <f t="shared" si="735"/>
        <v>#N/A</v>
      </c>
      <c r="HF13" s="5" t="e">
        <f t="shared" si="736"/>
        <v>#N/A</v>
      </c>
      <c r="HG13" s="5" t="e">
        <f t="shared" si="737"/>
        <v>#N/A</v>
      </c>
      <c r="HH13" s="5" t="e">
        <f t="shared" si="738"/>
        <v>#N/A</v>
      </c>
      <c r="HI13" s="5" t="e">
        <f t="shared" si="739"/>
        <v>#N/A</v>
      </c>
      <c r="HJ13" s="5" t="e">
        <f t="shared" si="740"/>
        <v>#N/A</v>
      </c>
      <c r="HK13" s="5" t="e">
        <f t="shared" si="741"/>
        <v>#N/A</v>
      </c>
      <c r="HL13" s="5" t="e">
        <f t="shared" si="742"/>
        <v>#N/A</v>
      </c>
      <c r="HM13" s="5" t="e">
        <f t="shared" si="743"/>
        <v>#N/A</v>
      </c>
      <c r="HN13" s="5" t="e">
        <f t="shared" si="744"/>
        <v>#N/A</v>
      </c>
      <c r="HO13" s="5" t="e">
        <f t="shared" si="745"/>
        <v>#N/A</v>
      </c>
      <c r="HP13" s="5" t="e">
        <f t="shared" si="746"/>
        <v>#N/A</v>
      </c>
      <c r="HQ13" s="5" t="e">
        <f t="shared" si="747"/>
        <v>#N/A</v>
      </c>
      <c r="HR13" s="5" t="e">
        <f t="shared" si="748"/>
        <v>#N/A</v>
      </c>
      <c r="HS13" s="5" t="e">
        <f t="shared" si="749"/>
        <v>#N/A</v>
      </c>
      <c r="HT13" s="5" t="e">
        <f t="shared" si="750"/>
        <v>#N/A</v>
      </c>
      <c r="HU13" s="5" t="e">
        <f t="shared" si="751"/>
        <v>#N/A</v>
      </c>
      <c r="HV13" s="5" t="e">
        <f t="shared" si="752"/>
        <v>#N/A</v>
      </c>
      <c r="HW13" s="5" t="e">
        <f t="shared" si="753"/>
        <v>#N/A</v>
      </c>
      <c r="HX13" s="5" t="e">
        <f t="shared" si="754"/>
        <v>#N/A</v>
      </c>
      <c r="HY13" s="5" t="e">
        <f t="shared" si="755"/>
        <v>#N/A</v>
      </c>
      <c r="HZ13" s="5" t="e">
        <f t="shared" si="756"/>
        <v>#N/A</v>
      </c>
      <c r="IA13" s="5" t="e">
        <f t="shared" si="757"/>
        <v>#N/A</v>
      </c>
      <c r="IB13" s="5" t="e">
        <f t="shared" si="758"/>
        <v>#N/A</v>
      </c>
      <c r="IC13" s="5" t="e">
        <f t="shared" si="759"/>
        <v>#N/A</v>
      </c>
      <c r="ID13" s="5" t="e">
        <f t="shared" si="760"/>
        <v>#N/A</v>
      </c>
      <c r="IE13" s="5" t="e">
        <f t="shared" si="761"/>
        <v>#N/A</v>
      </c>
      <c r="IF13" s="5" t="e">
        <f t="shared" si="762"/>
        <v>#N/A</v>
      </c>
      <c r="IG13" s="5" t="e">
        <f t="shared" si="763"/>
        <v>#N/A</v>
      </c>
      <c r="IH13" s="5" t="e">
        <f t="shared" si="764"/>
        <v>#N/A</v>
      </c>
      <c r="II13" s="5" t="e">
        <f t="shared" si="765"/>
        <v>#N/A</v>
      </c>
      <c r="IJ13" s="5" t="e">
        <f t="shared" si="766"/>
        <v>#N/A</v>
      </c>
      <c r="IK13" s="5" t="e">
        <f t="shared" si="767"/>
        <v>#N/A</v>
      </c>
      <c r="IL13" s="5" t="e">
        <f t="shared" si="768"/>
        <v>#N/A</v>
      </c>
      <c r="IM13" s="5" t="e">
        <f t="shared" si="769"/>
        <v>#N/A</v>
      </c>
      <c r="IN13" s="5" t="e">
        <f t="shared" si="770"/>
        <v>#N/A</v>
      </c>
      <c r="IO13" s="5" t="e">
        <f t="shared" si="771"/>
        <v>#N/A</v>
      </c>
      <c r="IP13" s="5" t="e">
        <f t="shared" si="772"/>
        <v>#N/A</v>
      </c>
      <c r="IQ13" s="5" t="e">
        <f t="shared" si="773"/>
        <v>#N/A</v>
      </c>
      <c r="IR13" s="5" t="e">
        <f t="shared" si="774"/>
        <v>#N/A</v>
      </c>
      <c r="IS13" s="5" t="e">
        <f t="shared" si="775"/>
        <v>#N/A</v>
      </c>
      <c r="IT13" s="5" t="e">
        <f t="shared" si="776"/>
        <v>#N/A</v>
      </c>
      <c r="IU13" s="5" t="e">
        <f t="shared" si="777"/>
        <v>#N/A</v>
      </c>
      <c r="IV13" s="5" t="e">
        <f t="shared" si="778"/>
        <v>#N/A</v>
      </c>
      <c r="IW13" s="5" t="e">
        <f t="shared" si="779"/>
        <v>#N/A</v>
      </c>
      <c r="IX13" s="5" t="e">
        <f t="shared" si="780"/>
        <v>#N/A</v>
      </c>
      <c r="IY13" s="5" t="e">
        <f t="shared" si="781"/>
        <v>#N/A</v>
      </c>
      <c r="IZ13" s="5" t="e">
        <f t="shared" si="782"/>
        <v>#N/A</v>
      </c>
      <c r="JA13" s="5" t="e">
        <f t="shared" si="783"/>
        <v>#N/A</v>
      </c>
      <c r="JB13" s="5" t="e">
        <f t="shared" si="784"/>
        <v>#N/A</v>
      </c>
      <c r="JC13" s="5" t="e">
        <f t="shared" si="785"/>
        <v>#N/A</v>
      </c>
      <c r="JD13" s="5" t="e">
        <f t="shared" si="786"/>
        <v>#N/A</v>
      </c>
      <c r="JE13" s="5" t="e">
        <f t="shared" si="787"/>
        <v>#N/A</v>
      </c>
      <c r="JF13" s="5" t="e">
        <f t="shared" si="788"/>
        <v>#N/A</v>
      </c>
      <c r="JG13" s="5" t="e">
        <f t="shared" si="789"/>
        <v>#N/A</v>
      </c>
      <c r="JH13" s="5" t="e">
        <f t="shared" si="790"/>
        <v>#N/A</v>
      </c>
      <c r="JI13" s="5" t="e">
        <f t="shared" si="791"/>
        <v>#N/A</v>
      </c>
      <c r="JJ13" s="5" t="e">
        <f t="shared" si="792"/>
        <v>#N/A</v>
      </c>
      <c r="JK13" s="5" t="e">
        <f t="shared" si="793"/>
        <v>#N/A</v>
      </c>
      <c r="JM13" s="19" t="e">
        <f t="shared" si="794"/>
        <v>#N/A</v>
      </c>
      <c r="JN13" s="1">
        <v>11</v>
      </c>
      <c r="JO13" s="5" t="e">
        <f>HLOOKUP(JM13,HC$2:JK13,2+JN12,0)+IF(S13&gt;0,S13,0)-IF(KE13&gt;0,KE13,0)</f>
        <v>#N/A</v>
      </c>
      <c r="JP13" s="5" t="e">
        <f t="shared" si="795"/>
        <v>#N/A</v>
      </c>
      <c r="JQ13" s="17"/>
      <c r="JR13" s="26"/>
      <c r="JS13" s="6">
        <f t="shared" si="796"/>
        <v>0</v>
      </c>
      <c r="JT13" s="5" t="e">
        <f t="shared" si="797"/>
        <v>#N/A</v>
      </c>
      <c r="JU13" s="13">
        <f t="shared" ca="1" si="20"/>
        <v>46161</v>
      </c>
      <c r="JV13" s="6" t="e">
        <f t="shared" si="798"/>
        <v>#N/A</v>
      </c>
      <c r="JW13" s="6"/>
      <c r="JX13" s="6"/>
      <c r="JY13" s="6">
        <f t="shared" si="799"/>
        <v>0</v>
      </c>
      <c r="JZ13" s="10" t="e">
        <f t="shared" si="800"/>
        <v>#N/A</v>
      </c>
      <c r="KA13" s="10" t="e">
        <f t="shared" si="801"/>
        <v>#N/A</v>
      </c>
      <c r="KB13" s="10" t="e">
        <f t="shared" si="802"/>
        <v>#N/A</v>
      </c>
      <c r="KC13" s="10" t="e">
        <f t="shared" si="803"/>
        <v>#N/A</v>
      </c>
      <c r="KD13" s="5" t="e">
        <f t="shared" si="804"/>
        <v>#N/A</v>
      </c>
      <c r="KE13" s="6" t="e">
        <f t="shared" si="805"/>
        <v>#N/A</v>
      </c>
    </row>
    <row r="14" spans="1:291" s="65" customFormat="1" ht="14.4" customHeight="1" x14ac:dyDescent="0.3">
      <c r="A14" s="65" t="s">
        <v>58</v>
      </c>
      <c r="B14" s="66"/>
      <c r="C14" s="65" t="e">
        <f>VLOOKUP(B14,DD!A:B,2,0)</f>
        <v>#N/A</v>
      </c>
      <c r="D14" s="65" t="e">
        <f>VLOOKUP(B14,DD!A:K,11,0)</f>
        <v>#N/A</v>
      </c>
      <c r="E14" s="65" t="e">
        <f>VLOOKUP(B14,DD!A:L,12,0)</f>
        <v>#N/A</v>
      </c>
      <c r="F14" s="67" t="e">
        <f>VLOOKUP(B14,DD!A:D,4,0)</f>
        <v>#N/A</v>
      </c>
      <c r="G14" s="68">
        <v>1</v>
      </c>
      <c r="H14" s="69" t="e">
        <f>VLOOKUP(B14,DD!A:E,5,0)</f>
        <v>#N/A</v>
      </c>
      <c r="I14" s="69" t="e">
        <f t="shared" si="601"/>
        <v>#N/A</v>
      </c>
      <c r="J14" s="69" t="e">
        <f>VLOOKUP(B14,DD!A:F,6,0)</f>
        <v>#N/A</v>
      </c>
      <c r="K14" s="69" t="e">
        <f>VLOOKUP(B14,DD!A:H,8,0)</f>
        <v>#N/A</v>
      </c>
      <c r="L14" s="69" t="e">
        <f>VLOOKUP(B14,DD!A:I,9,0)</f>
        <v>#N/A</v>
      </c>
      <c r="M14" s="69" t="e">
        <f>VLOOKUP(B14,DD!A:J,10,0)</f>
        <v>#N/A</v>
      </c>
      <c r="N14" s="69" t="s">
        <v>8</v>
      </c>
      <c r="O14" s="69" t="s">
        <v>9</v>
      </c>
      <c r="P14" s="70" t="e">
        <f>VLOOKUP(B14,DD!A:C,3,0)</f>
        <v>#N/A</v>
      </c>
      <c r="Q14" s="71" t="e">
        <f t="shared" si="602"/>
        <v>#N/A</v>
      </c>
      <c r="R14" s="71" t="e">
        <f t="shared" si="603"/>
        <v>#N/A</v>
      </c>
      <c r="S14" s="71" t="e">
        <f t="shared" si="604"/>
        <v>#N/A</v>
      </c>
      <c r="T14" s="72" t="e">
        <f t="shared" si="605"/>
        <v>#N/A</v>
      </c>
      <c r="U14" s="71" t="e">
        <f t="shared" si="606"/>
        <v>#N/A</v>
      </c>
      <c r="V14" s="72" t="e">
        <f t="shared" si="607"/>
        <v>#N/A</v>
      </c>
      <c r="W14" s="73" t="e">
        <f t="shared" si="608"/>
        <v>#N/A</v>
      </c>
      <c r="X14" s="74" t="e">
        <f t="shared" si="609"/>
        <v>#VALUE!</v>
      </c>
      <c r="Y14" s="72" t="e">
        <f t="shared" si="610"/>
        <v>#N/A</v>
      </c>
      <c r="Z14" s="73" t="e">
        <f t="shared" si="806"/>
        <v>#N/A</v>
      </c>
      <c r="AA14" s="73" t="e">
        <f t="shared" si="806"/>
        <v>#N/A</v>
      </c>
      <c r="AB14" s="73" t="e">
        <f t="shared" si="806"/>
        <v>#N/A</v>
      </c>
      <c r="AC14" s="73" t="e">
        <f t="shared" si="806"/>
        <v>#N/A</v>
      </c>
      <c r="AD14" s="73" t="e">
        <f t="shared" si="806"/>
        <v>#N/A</v>
      </c>
      <c r="AE14" s="73" t="e">
        <f t="shared" si="806"/>
        <v>#N/A</v>
      </c>
      <c r="AF14" s="73" t="e">
        <f t="shared" si="806"/>
        <v>#N/A</v>
      </c>
      <c r="AG14" s="73" t="e">
        <f t="shared" si="806"/>
        <v>#N/A</v>
      </c>
      <c r="AH14" s="73" t="e">
        <f t="shared" si="806"/>
        <v>#N/A</v>
      </c>
      <c r="AI14" s="73" t="e">
        <f t="shared" si="806"/>
        <v>#N/A</v>
      </c>
      <c r="AJ14" s="73" t="e">
        <f t="shared" si="806"/>
        <v>#N/A</v>
      </c>
      <c r="AK14" s="73" t="e">
        <f t="shared" si="806"/>
        <v>#N/A</v>
      </c>
      <c r="AL14" s="73" t="e">
        <f t="shared" si="806"/>
        <v>#N/A</v>
      </c>
      <c r="AM14" s="73" t="e">
        <f t="shared" si="806"/>
        <v>#N/A</v>
      </c>
      <c r="AN14" s="73" t="e">
        <f t="shared" si="806"/>
        <v>#N/A</v>
      </c>
      <c r="AO14" s="73" t="e">
        <f t="shared" si="806"/>
        <v>#N/A</v>
      </c>
      <c r="AP14" s="73" t="e">
        <f t="shared" si="806"/>
        <v>#N/A</v>
      </c>
      <c r="AQ14" s="73" t="e">
        <f t="shared" si="806"/>
        <v>#N/A</v>
      </c>
      <c r="AR14" s="73" t="e">
        <f t="shared" si="806"/>
        <v>#N/A</v>
      </c>
      <c r="AS14" s="73" t="e">
        <f t="shared" si="806"/>
        <v>#N/A</v>
      </c>
      <c r="AT14" s="73" t="e">
        <f t="shared" si="806"/>
        <v>#N/A</v>
      </c>
      <c r="AU14" s="73" t="e">
        <f t="shared" si="806"/>
        <v>#N/A</v>
      </c>
      <c r="AV14" s="73" t="e">
        <f t="shared" si="806"/>
        <v>#N/A</v>
      </c>
      <c r="AW14" s="73" t="e">
        <f t="shared" si="806"/>
        <v>#N/A</v>
      </c>
      <c r="AX14" s="73" t="e">
        <f t="shared" si="806"/>
        <v>#N/A</v>
      </c>
      <c r="AY14" s="73" t="e">
        <f t="shared" si="806"/>
        <v>#N/A</v>
      </c>
      <c r="AZ14" s="73" t="e">
        <f t="shared" si="806"/>
        <v>#N/A</v>
      </c>
      <c r="BA14" s="73" t="e">
        <f t="shared" si="806"/>
        <v>#N/A</v>
      </c>
      <c r="BB14" s="73" t="e">
        <f t="shared" si="806"/>
        <v>#N/A</v>
      </c>
      <c r="BC14" s="73" t="e">
        <f t="shared" si="806"/>
        <v>#N/A</v>
      </c>
      <c r="BD14" s="73" t="e">
        <f t="shared" si="806"/>
        <v>#N/A</v>
      </c>
      <c r="BE14" s="73" t="e">
        <f t="shared" si="806"/>
        <v>#N/A</v>
      </c>
      <c r="BF14" s="73" t="e">
        <f t="shared" si="809"/>
        <v>#N/A</v>
      </c>
      <c r="BG14" s="73" t="e">
        <f t="shared" si="809"/>
        <v>#N/A</v>
      </c>
      <c r="BH14" s="73" t="e">
        <f t="shared" si="809"/>
        <v>#N/A</v>
      </c>
      <c r="BI14" s="73" t="e">
        <f t="shared" si="809"/>
        <v>#N/A</v>
      </c>
      <c r="BJ14" s="73" t="e">
        <f t="shared" si="809"/>
        <v>#N/A</v>
      </c>
      <c r="BK14" s="73" t="e">
        <f t="shared" si="809"/>
        <v>#N/A</v>
      </c>
      <c r="BL14" s="73" t="e">
        <f t="shared" si="809"/>
        <v>#N/A</v>
      </c>
      <c r="BM14" s="73" t="e">
        <f t="shared" si="809"/>
        <v>#N/A</v>
      </c>
      <c r="BN14" s="73" t="e">
        <f t="shared" si="809"/>
        <v>#N/A</v>
      </c>
      <c r="BO14" s="73" t="e">
        <f t="shared" si="809"/>
        <v>#N/A</v>
      </c>
      <c r="BP14" s="73" t="e">
        <f t="shared" si="809"/>
        <v>#N/A</v>
      </c>
      <c r="BQ14" s="73" t="e">
        <f t="shared" si="809"/>
        <v>#N/A</v>
      </c>
      <c r="BR14" s="73" t="e">
        <f t="shared" si="809"/>
        <v>#N/A</v>
      </c>
      <c r="BS14" s="73" t="e">
        <f t="shared" si="809"/>
        <v>#N/A</v>
      </c>
      <c r="BT14" s="73" t="e">
        <f t="shared" si="809"/>
        <v>#N/A</v>
      </c>
      <c r="BU14" s="73" t="e">
        <f t="shared" si="809"/>
        <v>#N/A</v>
      </c>
      <c r="BV14" s="73" t="e">
        <f t="shared" si="807"/>
        <v>#N/A</v>
      </c>
      <c r="BW14" s="73" t="e">
        <f t="shared" si="807"/>
        <v>#N/A</v>
      </c>
      <c r="BX14" s="73" t="e">
        <f t="shared" si="807"/>
        <v>#N/A</v>
      </c>
      <c r="BY14" s="73" t="e">
        <f t="shared" si="808"/>
        <v>#N/A</v>
      </c>
      <c r="BZ14" s="73" t="e">
        <f t="shared" si="808"/>
        <v>#N/A</v>
      </c>
      <c r="CA14" s="73" t="e">
        <f t="shared" si="808"/>
        <v>#N/A</v>
      </c>
      <c r="CB14" s="73" t="e">
        <f t="shared" si="808"/>
        <v>#N/A</v>
      </c>
      <c r="CC14" s="73" t="e">
        <f t="shared" si="808"/>
        <v>#N/A</v>
      </c>
      <c r="CD14" s="73" t="e">
        <f t="shared" si="808"/>
        <v>#N/A</v>
      </c>
      <c r="CE14" s="73" t="e">
        <f t="shared" si="808"/>
        <v>#N/A</v>
      </c>
      <c r="CF14" s="73" t="e">
        <f t="shared" si="808"/>
        <v>#N/A</v>
      </c>
      <c r="CG14" s="73" t="e">
        <f t="shared" si="808"/>
        <v>#N/A</v>
      </c>
      <c r="CH14" s="72" t="e">
        <f t="shared" si="611"/>
        <v>#N/A</v>
      </c>
      <c r="CI14" s="71" t="e">
        <f t="shared" si="612"/>
        <v>#N/A</v>
      </c>
      <c r="CJ14" s="71"/>
      <c r="CK14" s="71" t="e">
        <f t="shared" si="613"/>
        <v>#N/A</v>
      </c>
      <c r="CL14" s="71" t="e">
        <f t="shared" si="614"/>
        <v>#N/A</v>
      </c>
      <c r="CM14" s="71" t="e">
        <f t="shared" si="615"/>
        <v>#N/A</v>
      </c>
      <c r="CN14" s="71" t="e">
        <f t="shared" si="616"/>
        <v>#N/A</v>
      </c>
      <c r="CO14" s="71" t="e">
        <f t="shared" si="617"/>
        <v>#N/A</v>
      </c>
      <c r="CP14" s="71" t="e">
        <f t="shared" si="618"/>
        <v>#N/A</v>
      </c>
      <c r="CQ14" s="71" t="e">
        <f t="shared" si="619"/>
        <v>#N/A</v>
      </c>
      <c r="CR14" s="71" t="e">
        <f t="shared" si="620"/>
        <v>#N/A</v>
      </c>
      <c r="CS14" s="71" t="e">
        <f t="shared" si="621"/>
        <v>#N/A</v>
      </c>
      <c r="CT14" s="71" t="e">
        <f t="shared" si="622"/>
        <v>#N/A</v>
      </c>
      <c r="CU14" s="71" t="e">
        <f t="shared" si="623"/>
        <v>#N/A</v>
      </c>
      <c r="CV14" s="71" t="e">
        <f t="shared" si="624"/>
        <v>#N/A</v>
      </c>
      <c r="CW14" s="71" t="e">
        <f t="shared" si="625"/>
        <v>#N/A</v>
      </c>
      <c r="CX14" s="71" t="e">
        <f t="shared" si="626"/>
        <v>#N/A</v>
      </c>
      <c r="CY14" s="71" t="e">
        <f t="shared" si="627"/>
        <v>#N/A</v>
      </c>
      <c r="CZ14" s="71" t="e">
        <f t="shared" si="628"/>
        <v>#N/A</v>
      </c>
      <c r="DA14" s="71" t="e">
        <f t="shared" si="629"/>
        <v>#N/A</v>
      </c>
      <c r="DB14" s="71" t="e">
        <f t="shared" si="630"/>
        <v>#N/A</v>
      </c>
      <c r="DC14" s="71" t="e">
        <f t="shared" si="631"/>
        <v>#N/A</v>
      </c>
      <c r="DD14" s="71" t="e">
        <f t="shared" si="632"/>
        <v>#N/A</v>
      </c>
      <c r="DE14" s="71" t="e">
        <f t="shared" si="633"/>
        <v>#N/A</v>
      </c>
      <c r="DF14" s="71" t="e">
        <f t="shared" si="634"/>
        <v>#N/A</v>
      </c>
      <c r="DG14" s="71" t="e">
        <f t="shared" si="635"/>
        <v>#N/A</v>
      </c>
      <c r="DH14" s="71" t="e">
        <f t="shared" si="636"/>
        <v>#N/A</v>
      </c>
      <c r="DI14" s="71" t="e">
        <f t="shared" si="637"/>
        <v>#N/A</v>
      </c>
      <c r="DJ14" s="71" t="e">
        <f t="shared" si="638"/>
        <v>#N/A</v>
      </c>
      <c r="DK14" s="71" t="e">
        <f t="shared" si="639"/>
        <v>#N/A</v>
      </c>
      <c r="DL14" s="71" t="e">
        <f t="shared" si="640"/>
        <v>#N/A</v>
      </c>
      <c r="DM14" s="71" t="e">
        <f t="shared" si="641"/>
        <v>#N/A</v>
      </c>
      <c r="DN14" s="71" t="e">
        <f t="shared" si="642"/>
        <v>#N/A</v>
      </c>
      <c r="DO14" s="71" t="e">
        <f t="shared" si="643"/>
        <v>#N/A</v>
      </c>
      <c r="DP14" s="71" t="e">
        <f t="shared" si="644"/>
        <v>#N/A</v>
      </c>
      <c r="DQ14" s="71" t="e">
        <f t="shared" si="645"/>
        <v>#N/A</v>
      </c>
      <c r="DR14" s="71" t="e">
        <f t="shared" si="646"/>
        <v>#N/A</v>
      </c>
      <c r="DS14" s="71" t="e">
        <f t="shared" si="647"/>
        <v>#N/A</v>
      </c>
      <c r="DT14" s="71" t="e">
        <f t="shared" si="648"/>
        <v>#N/A</v>
      </c>
      <c r="DU14" s="71" t="e">
        <f t="shared" si="649"/>
        <v>#N/A</v>
      </c>
      <c r="DV14" s="71" t="e">
        <f t="shared" si="650"/>
        <v>#N/A</v>
      </c>
      <c r="DW14" s="71" t="e">
        <f t="shared" si="651"/>
        <v>#N/A</v>
      </c>
      <c r="DX14" s="71" t="e">
        <f t="shared" si="652"/>
        <v>#N/A</v>
      </c>
      <c r="DY14" s="71" t="e">
        <f t="shared" si="653"/>
        <v>#N/A</v>
      </c>
      <c r="DZ14" s="71" t="e">
        <f t="shared" si="654"/>
        <v>#N/A</v>
      </c>
      <c r="EA14" s="71" t="e">
        <f t="shared" si="655"/>
        <v>#N/A</v>
      </c>
      <c r="EB14" s="71" t="e">
        <f t="shared" si="656"/>
        <v>#N/A</v>
      </c>
      <c r="EC14" s="71" t="e">
        <f t="shared" si="657"/>
        <v>#N/A</v>
      </c>
      <c r="ED14" s="71" t="e">
        <f t="shared" si="658"/>
        <v>#N/A</v>
      </c>
      <c r="EE14" s="71" t="e">
        <f t="shared" si="659"/>
        <v>#N/A</v>
      </c>
      <c r="EF14" s="71" t="e">
        <f t="shared" si="660"/>
        <v>#N/A</v>
      </c>
      <c r="EG14" s="71" t="e">
        <f t="shared" si="661"/>
        <v>#N/A</v>
      </c>
      <c r="EH14" s="71" t="e">
        <f t="shared" si="662"/>
        <v>#N/A</v>
      </c>
      <c r="EI14" s="71" t="e">
        <f t="shared" si="663"/>
        <v>#N/A</v>
      </c>
      <c r="EJ14" s="71" t="e">
        <f t="shared" si="664"/>
        <v>#N/A</v>
      </c>
      <c r="EK14" s="71" t="e">
        <f t="shared" si="665"/>
        <v>#N/A</v>
      </c>
      <c r="EL14" s="71" t="e">
        <f t="shared" si="666"/>
        <v>#N/A</v>
      </c>
      <c r="EM14" s="71" t="e">
        <f t="shared" si="667"/>
        <v>#N/A</v>
      </c>
      <c r="EN14" s="71" t="e">
        <f t="shared" si="668"/>
        <v>#N/A</v>
      </c>
      <c r="EO14" s="71" t="e">
        <f t="shared" si="669"/>
        <v>#N/A</v>
      </c>
      <c r="EP14" s="71" t="e">
        <f t="shared" si="670"/>
        <v>#N/A</v>
      </c>
      <c r="EQ14" s="71" t="e">
        <f t="shared" si="671"/>
        <v>#N/A</v>
      </c>
      <c r="ER14" s="71" t="e">
        <f t="shared" si="672"/>
        <v>#N/A</v>
      </c>
      <c r="ET14" s="71" t="e">
        <f t="shared" si="673"/>
        <v>#N/A</v>
      </c>
      <c r="EU14" s="71" t="e">
        <f t="shared" si="674"/>
        <v>#N/A</v>
      </c>
      <c r="EV14" s="71" t="e">
        <f t="shared" si="675"/>
        <v>#N/A</v>
      </c>
      <c r="EW14" s="71" t="e">
        <f t="shared" si="676"/>
        <v>#N/A</v>
      </c>
      <c r="EX14" s="71" t="e">
        <f t="shared" si="677"/>
        <v>#N/A</v>
      </c>
      <c r="EY14" s="71" t="e">
        <f t="shared" si="678"/>
        <v>#N/A</v>
      </c>
      <c r="EZ14" s="71" t="e">
        <f t="shared" si="679"/>
        <v>#N/A</v>
      </c>
      <c r="FA14" s="71" t="e">
        <f t="shared" si="680"/>
        <v>#N/A</v>
      </c>
      <c r="FB14" s="71" t="e">
        <f t="shared" si="681"/>
        <v>#N/A</v>
      </c>
      <c r="FC14" s="71" t="e">
        <f t="shared" si="682"/>
        <v>#N/A</v>
      </c>
      <c r="FD14" s="71" t="e">
        <f t="shared" si="683"/>
        <v>#N/A</v>
      </c>
      <c r="FE14" s="71" t="e">
        <f t="shared" si="684"/>
        <v>#N/A</v>
      </c>
      <c r="FF14" s="71" t="e">
        <f t="shared" si="685"/>
        <v>#N/A</v>
      </c>
      <c r="FG14" s="71" t="e">
        <f t="shared" si="686"/>
        <v>#N/A</v>
      </c>
      <c r="FH14" s="71" t="e">
        <f t="shared" si="687"/>
        <v>#N/A</v>
      </c>
      <c r="FI14" s="71" t="e">
        <f t="shared" si="688"/>
        <v>#N/A</v>
      </c>
      <c r="FJ14" s="71" t="e">
        <f t="shared" si="689"/>
        <v>#N/A</v>
      </c>
      <c r="FK14" s="71" t="e">
        <f t="shared" si="690"/>
        <v>#N/A</v>
      </c>
      <c r="FL14" s="71" t="e">
        <f t="shared" si="691"/>
        <v>#N/A</v>
      </c>
      <c r="FM14" s="71" t="e">
        <f t="shared" si="692"/>
        <v>#N/A</v>
      </c>
      <c r="FN14" s="71" t="e">
        <f t="shared" si="693"/>
        <v>#N/A</v>
      </c>
      <c r="FO14" s="71" t="e">
        <f t="shared" si="694"/>
        <v>#N/A</v>
      </c>
      <c r="FP14" s="71" t="e">
        <f t="shared" si="695"/>
        <v>#N/A</v>
      </c>
      <c r="FQ14" s="71" t="e">
        <f t="shared" si="696"/>
        <v>#N/A</v>
      </c>
      <c r="FR14" s="71" t="e">
        <f t="shared" si="697"/>
        <v>#N/A</v>
      </c>
      <c r="FS14" s="71" t="e">
        <f t="shared" si="698"/>
        <v>#N/A</v>
      </c>
      <c r="FT14" s="71" t="e">
        <f t="shared" si="699"/>
        <v>#N/A</v>
      </c>
      <c r="FU14" s="71" t="e">
        <f t="shared" si="700"/>
        <v>#N/A</v>
      </c>
      <c r="FV14" s="71" t="e">
        <f t="shared" si="701"/>
        <v>#N/A</v>
      </c>
      <c r="FW14" s="71" t="e">
        <f t="shared" si="702"/>
        <v>#N/A</v>
      </c>
      <c r="FX14" s="71" t="e">
        <f t="shared" si="703"/>
        <v>#N/A</v>
      </c>
      <c r="FY14" s="71" t="e">
        <f t="shared" si="704"/>
        <v>#N/A</v>
      </c>
      <c r="FZ14" s="71" t="e">
        <f t="shared" si="705"/>
        <v>#N/A</v>
      </c>
      <c r="GA14" s="71" t="e">
        <f t="shared" si="706"/>
        <v>#N/A</v>
      </c>
      <c r="GB14" s="71" t="e">
        <f t="shared" si="707"/>
        <v>#N/A</v>
      </c>
      <c r="GC14" s="71" t="e">
        <f t="shared" si="708"/>
        <v>#N/A</v>
      </c>
      <c r="GD14" s="71" t="e">
        <f t="shared" si="709"/>
        <v>#N/A</v>
      </c>
      <c r="GE14" s="71" t="e">
        <f t="shared" si="710"/>
        <v>#N/A</v>
      </c>
      <c r="GF14" s="71" t="e">
        <f t="shared" si="711"/>
        <v>#N/A</v>
      </c>
      <c r="GG14" s="71" t="e">
        <f t="shared" si="712"/>
        <v>#N/A</v>
      </c>
      <c r="GH14" s="71" t="e">
        <f t="shared" si="713"/>
        <v>#N/A</v>
      </c>
      <c r="GI14" s="71" t="e">
        <f t="shared" si="714"/>
        <v>#N/A</v>
      </c>
      <c r="GJ14" s="71" t="e">
        <f t="shared" si="715"/>
        <v>#N/A</v>
      </c>
      <c r="GK14" s="71" t="e">
        <f t="shared" si="716"/>
        <v>#N/A</v>
      </c>
      <c r="GL14" s="71" t="e">
        <f t="shared" si="717"/>
        <v>#N/A</v>
      </c>
      <c r="GM14" s="71" t="e">
        <f t="shared" si="718"/>
        <v>#N/A</v>
      </c>
      <c r="GN14" s="71" t="e">
        <f t="shared" si="719"/>
        <v>#N/A</v>
      </c>
      <c r="GO14" s="71" t="e">
        <f t="shared" si="720"/>
        <v>#N/A</v>
      </c>
      <c r="GP14" s="71" t="e">
        <f t="shared" si="721"/>
        <v>#N/A</v>
      </c>
      <c r="GQ14" s="71" t="e">
        <f t="shared" si="722"/>
        <v>#N/A</v>
      </c>
      <c r="GR14" s="71" t="e">
        <f t="shared" si="723"/>
        <v>#N/A</v>
      </c>
      <c r="GS14" s="71" t="e">
        <f t="shared" si="724"/>
        <v>#N/A</v>
      </c>
      <c r="GT14" s="71" t="e">
        <f t="shared" si="725"/>
        <v>#N/A</v>
      </c>
      <c r="GU14" s="71" t="e">
        <f t="shared" si="726"/>
        <v>#N/A</v>
      </c>
      <c r="GV14" s="71" t="e">
        <f t="shared" si="727"/>
        <v>#N/A</v>
      </c>
      <c r="GW14" s="71" t="e">
        <f t="shared" si="728"/>
        <v>#N/A</v>
      </c>
      <c r="GX14" s="71" t="e">
        <f t="shared" si="729"/>
        <v>#N/A</v>
      </c>
      <c r="GY14" s="71" t="e">
        <f t="shared" si="730"/>
        <v>#N/A</v>
      </c>
      <c r="GZ14" s="71" t="e">
        <f t="shared" si="731"/>
        <v>#N/A</v>
      </c>
      <c r="HA14" s="71" t="e">
        <f t="shared" si="732"/>
        <v>#N/A</v>
      </c>
      <c r="HC14" s="72" t="e">
        <f t="shared" si="733"/>
        <v>#N/A</v>
      </c>
      <c r="HD14" s="71" t="e">
        <f t="shared" si="734"/>
        <v>#N/A</v>
      </c>
      <c r="HE14" s="71" t="e">
        <f t="shared" si="735"/>
        <v>#N/A</v>
      </c>
      <c r="HF14" s="71" t="e">
        <f t="shared" si="736"/>
        <v>#N/A</v>
      </c>
      <c r="HG14" s="71" t="e">
        <f t="shared" si="737"/>
        <v>#N/A</v>
      </c>
      <c r="HH14" s="71" t="e">
        <f t="shared" si="738"/>
        <v>#N/A</v>
      </c>
      <c r="HI14" s="71" t="e">
        <f t="shared" si="739"/>
        <v>#N/A</v>
      </c>
      <c r="HJ14" s="71" t="e">
        <f t="shared" si="740"/>
        <v>#N/A</v>
      </c>
      <c r="HK14" s="71" t="e">
        <f t="shared" si="741"/>
        <v>#N/A</v>
      </c>
      <c r="HL14" s="71" t="e">
        <f t="shared" si="742"/>
        <v>#N/A</v>
      </c>
      <c r="HM14" s="71" t="e">
        <f t="shared" si="743"/>
        <v>#N/A</v>
      </c>
      <c r="HN14" s="71" t="e">
        <f t="shared" si="744"/>
        <v>#N/A</v>
      </c>
      <c r="HO14" s="71" t="e">
        <f t="shared" si="745"/>
        <v>#N/A</v>
      </c>
      <c r="HP14" s="71" t="e">
        <f t="shared" si="746"/>
        <v>#N/A</v>
      </c>
      <c r="HQ14" s="71" t="e">
        <f t="shared" si="747"/>
        <v>#N/A</v>
      </c>
      <c r="HR14" s="71" t="e">
        <f t="shared" si="748"/>
        <v>#N/A</v>
      </c>
      <c r="HS14" s="71" t="e">
        <f t="shared" si="749"/>
        <v>#N/A</v>
      </c>
      <c r="HT14" s="71" t="e">
        <f t="shared" si="750"/>
        <v>#N/A</v>
      </c>
      <c r="HU14" s="71" t="e">
        <f t="shared" si="751"/>
        <v>#N/A</v>
      </c>
      <c r="HV14" s="71" t="e">
        <f t="shared" si="752"/>
        <v>#N/A</v>
      </c>
      <c r="HW14" s="71" t="e">
        <f t="shared" si="753"/>
        <v>#N/A</v>
      </c>
      <c r="HX14" s="71" t="e">
        <f t="shared" si="754"/>
        <v>#N/A</v>
      </c>
      <c r="HY14" s="71" t="e">
        <f t="shared" si="755"/>
        <v>#N/A</v>
      </c>
      <c r="HZ14" s="71" t="e">
        <f t="shared" si="756"/>
        <v>#N/A</v>
      </c>
      <c r="IA14" s="71" t="e">
        <f t="shared" si="757"/>
        <v>#N/A</v>
      </c>
      <c r="IB14" s="71" t="e">
        <f t="shared" si="758"/>
        <v>#N/A</v>
      </c>
      <c r="IC14" s="71" t="e">
        <f t="shared" si="759"/>
        <v>#N/A</v>
      </c>
      <c r="ID14" s="71" t="e">
        <f t="shared" si="760"/>
        <v>#N/A</v>
      </c>
      <c r="IE14" s="71" t="e">
        <f t="shared" si="761"/>
        <v>#N/A</v>
      </c>
      <c r="IF14" s="71" t="e">
        <f t="shared" si="762"/>
        <v>#N/A</v>
      </c>
      <c r="IG14" s="71" t="e">
        <f t="shared" si="763"/>
        <v>#N/A</v>
      </c>
      <c r="IH14" s="71" t="e">
        <f t="shared" si="764"/>
        <v>#N/A</v>
      </c>
      <c r="II14" s="71" t="e">
        <f t="shared" si="765"/>
        <v>#N/A</v>
      </c>
      <c r="IJ14" s="71" t="e">
        <f t="shared" si="766"/>
        <v>#N/A</v>
      </c>
      <c r="IK14" s="71" t="e">
        <f t="shared" si="767"/>
        <v>#N/A</v>
      </c>
      <c r="IL14" s="71" t="e">
        <f t="shared" si="768"/>
        <v>#N/A</v>
      </c>
      <c r="IM14" s="71" t="e">
        <f t="shared" si="769"/>
        <v>#N/A</v>
      </c>
      <c r="IN14" s="71" t="e">
        <f t="shared" si="770"/>
        <v>#N/A</v>
      </c>
      <c r="IO14" s="71" t="e">
        <f t="shared" si="771"/>
        <v>#N/A</v>
      </c>
      <c r="IP14" s="71" t="e">
        <f t="shared" si="772"/>
        <v>#N/A</v>
      </c>
      <c r="IQ14" s="71" t="e">
        <f t="shared" si="773"/>
        <v>#N/A</v>
      </c>
      <c r="IR14" s="71" t="e">
        <f t="shared" si="774"/>
        <v>#N/A</v>
      </c>
      <c r="IS14" s="71" t="e">
        <f t="shared" si="775"/>
        <v>#N/A</v>
      </c>
      <c r="IT14" s="71" t="e">
        <f t="shared" si="776"/>
        <v>#N/A</v>
      </c>
      <c r="IU14" s="71" t="e">
        <f t="shared" si="777"/>
        <v>#N/A</v>
      </c>
      <c r="IV14" s="71" t="e">
        <f t="shared" si="778"/>
        <v>#N/A</v>
      </c>
      <c r="IW14" s="71" t="e">
        <f t="shared" si="779"/>
        <v>#N/A</v>
      </c>
      <c r="IX14" s="71" t="e">
        <f t="shared" si="780"/>
        <v>#N/A</v>
      </c>
      <c r="IY14" s="71" t="e">
        <f t="shared" si="781"/>
        <v>#N/A</v>
      </c>
      <c r="IZ14" s="71" t="e">
        <f t="shared" si="782"/>
        <v>#N/A</v>
      </c>
      <c r="JA14" s="71" t="e">
        <f t="shared" si="783"/>
        <v>#N/A</v>
      </c>
      <c r="JB14" s="71" t="e">
        <f t="shared" si="784"/>
        <v>#N/A</v>
      </c>
      <c r="JC14" s="71" t="e">
        <f t="shared" si="785"/>
        <v>#N/A</v>
      </c>
      <c r="JD14" s="71" t="e">
        <f t="shared" si="786"/>
        <v>#N/A</v>
      </c>
      <c r="JE14" s="71" t="e">
        <f t="shared" si="787"/>
        <v>#N/A</v>
      </c>
      <c r="JF14" s="71" t="e">
        <f t="shared" si="788"/>
        <v>#N/A</v>
      </c>
      <c r="JG14" s="71" t="e">
        <f t="shared" si="789"/>
        <v>#N/A</v>
      </c>
      <c r="JH14" s="71" t="e">
        <f t="shared" si="790"/>
        <v>#N/A</v>
      </c>
      <c r="JI14" s="71" t="e">
        <f t="shared" si="791"/>
        <v>#N/A</v>
      </c>
      <c r="JJ14" s="71" t="e">
        <f t="shared" si="792"/>
        <v>#N/A</v>
      </c>
      <c r="JK14" s="71" t="e">
        <f t="shared" si="793"/>
        <v>#N/A</v>
      </c>
      <c r="JM14" s="75" t="e">
        <f t="shared" si="794"/>
        <v>#N/A</v>
      </c>
      <c r="JN14" s="65">
        <v>12</v>
      </c>
      <c r="JO14" s="71" t="e">
        <f>HLOOKUP(JM14,HC$2:JK14,2+JN13,0)+IF(S14&gt;0,S14,0)-IF(KE14&gt;0,KE14,0)</f>
        <v>#N/A</v>
      </c>
      <c r="JP14" s="71" t="e">
        <f t="shared" si="795"/>
        <v>#N/A</v>
      </c>
      <c r="JQ14" s="67"/>
      <c r="JR14" s="60"/>
      <c r="JS14" s="72">
        <f t="shared" si="796"/>
        <v>0</v>
      </c>
      <c r="JT14" s="71" t="e">
        <f t="shared" si="797"/>
        <v>#N/A</v>
      </c>
      <c r="JU14" s="76">
        <f t="shared" ca="1" si="20"/>
        <v>46161</v>
      </c>
      <c r="JV14" s="72" t="e">
        <f t="shared" si="798"/>
        <v>#N/A</v>
      </c>
      <c r="JW14" s="72"/>
      <c r="JX14" s="72"/>
      <c r="JY14" s="72">
        <f t="shared" si="799"/>
        <v>0</v>
      </c>
      <c r="JZ14" s="77" t="e">
        <f t="shared" si="800"/>
        <v>#N/A</v>
      </c>
      <c r="KA14" s="77" t="e">
        <f t="shared" si="801"/>
        <v>#N/A</v>
      </c>
      <c r="KB14" s="77" t="e">
        <f t="shared" si="802"/>
        <v>#N/A</v>
      </c>
      <c r="KC14" s="77" t="e">
        <f t="shared" si="803"/>
        <v>#N/A</v>
      </c>
      <c r="KD14" s="71" t="e">
        <f t="shared" si="804"/>
        <v>#N/A</v>
      </c>
      <c r="KE14" s="72" t="e">
        <f t="shared" si="805"/>
        <v>#N/A</v>
      </c>
    </row>
    <row r="15" spans="1:291" ht="14.4" customHeight="1" x14ac:dyDescent="0.3">
      <c r="A15" s="1" t="s">
        <v>58</v>
      </c>
      <c r="C15" s="1" t="e">
        <f>VLOOKUP(B15,DD!A:B,2,0)</f>
        <v>#N/A</v>
      </c>
      <c r="D15" s="1" t="e">
        <f>VLOOKUP(B15,DD!A:K,11,0)</f>
        <v>#N/A</v>
      </c>
      <c r="E15" s="1" t="e">
        <f>VLOOKUP(B15,DD!A:L,12,0)</f>
        <v>#N/A</v>
      </c>
      <c r="F15" s="17" t="e">
        <f>VLOOKUP(B15,DD!A:D,4,0)</f>
        <v>#N/A</v>
      </c>
      <c r="G15" s="9">
        <v>1</v>
      </c>
      <c r="H15" s="3" t="e">
        <f>VLOOKUP(B15,DD!A:E,5,0)</f>
        <v>#N/A</v>
      </c>
      <c r="I15" s="3" t="e">
        <f t="shared" si="601"/>
        <v>#N/A</v>
      </c>
      <c r="J15" s="3" t="e">
        <f>VLOOKUP(B15,DD!A:F,6,0)</f>
        <v>#N/A</v>
      </c>
      <c r="K15" s="3" t="e">
        <f>VLOOKUP(B15,DD!A:H,8,0)</f>
        <v>#N/A</v>
      </c>
      <c r="L15" s="3" t="e">
        <f>VLOOKUP(B15,DD!A:I,9,0)</f>
        <v>#N/A</v>
      </c>
      <c r="M15" s="3" t="e">
        <f>VLOOKUP(B15,DD!A:J,10,0)</f>
        <v>#N/A</v>
      </c>
      <c r="N15" s="3" t="s">
        <v>8</v>
      </c>
      <c r="O15" s="3" t="s">
        <v>9</v>
      </c>
      <c r="P15" s="4" t="e">
        <f>VLOOKUP(B15,DD!A:C,3,0)</f>
        <v>#N/A</v>
      </c>
      <c r="Q15" s="5" t="e">
        <f t="shared" si="602"/>
        <v>#N/A</v>
      </c>
      <c r="R15" s="5" t="e">
        <f t="shared" si="603"/>
        <v>#N/A</v>
      </c>
      <c r="S15" s="5" t="e">
        <f t="shared" si="604"/>
        <v>#N/A</v>
      </c>
      <c r="T15" s="6" t="e">
        <f t="shared" si="605"/>
        <v>#N/A</v>
      </c>
      <c r="U15" s="5" t="e">
        <f t="shared" si="606"/>
        <v>#N/A</v>
      </c>
      <c r="V15" s="6" t="e">
        <f t="shared" si="607"/>
        <v>#N/A</v>
      </c>
      <c r="W15" s="7" t="e">
        <f t="shared" si="608"/>
        <v>#N/A</v>
      </c>
      <c r="X15" s="8" t="e">
        <f t="shared" si="609"/>
        <v>#VALUE!</v>
      </c>
      <c r="Y15" s="6" t="e">
        <f t="shared" si="610"/>
        <v>#N/A</v>
      </c>
      <c r="Z15" s="7" t="e">
        <f t="shared" si="806"/>
        <v>#N/A</v>
      </c>
      <c r="AA15" s="7" t="e">
        <f t="shared" si="806"/>
        <v>#N/A</v>
      </c>
      <c r="AB15" s="7" t="e">
        <f t="shared" si="806"/>
        <v>#N/A</v>
      </c>
      <c r="AC15" s="7" t="e">
        <f t="shared" si="806"/>
        <v>#N/A</v>
      </c>
      <c r="AD15" s="7" t="e">
        <f t="shared" si="806"/>
        <v>#N/A</v>
      </c>
      <c r="AE15" s="7" t="e">
        <f t="shared" si="806"/>
        <v>#N/A</v>
      </c>
      <c r="AF15" s="7" t="e">
        <f t="shared" si="806"/>
        <v>#N/A</v>
      </c>
      <c r="AG15" s="7" t="e">
        <f t="shared" si="806"/>
        <v>#N/A</v>
      </c>
      <c r="AH15" s="7" t="e">
        <f t="shared" si="806"/>
        <v>#N/A</v>
      </c>
      <c r="AI15" s="7" t="e">
        <f t="shared" si="806"/>
        <v>#N/A</v>
      </c>
      <c r="AJ15" s="7" t="e">
        <f t="shared" si="806"/>
        <v>#N/A</v>
      </c>
      <c r="AK15" s="7" t="e">
        <f t="shared" si="806"/>
        <v>#N/A</v>
      </c>
      <c r="AL15" s="7" t="e">
        <f t="shared" si="806"/>
        <v>#N/A</v>
      </c>
      <c r="AM15" s="7" t="e">
        <f t="shared" si="806"/>
        <v>#N/A</v>
      </c>
      <c r="AN15" s="7" t="e">
        <f t="shared" si="806"/>
        <v>#N/A</v>
      </c>
      <c r="AO15" s="7" t="e">
        <f t="shared" si="806"/>
        <v>#N/A</v>
      </c>
      <c r="AP15" s="7" t="e">
        <f t="shared" si="806"/>
        <v>#N/A</v>
      </c>
      <c r="AQ15" s="7" t="e">
        <f t="shared" si="806"/>
        <v>#N/A</v>
      </c>
      <c r="AR15" s="7" t="e">
        <f t="shared" si="806"/>
        <v>#N/A</v>
      </c>
      <c r="AS15" s="7" t="e">
        <f t="shared" si="806"/>
        <v>#N/A</v>
      </c>
      <c r="AT15" s="7" t="e">
        <f t="shared" si="806"/>
        <v>#N/A</v>
      </c>
      <c r="AU15" s="7" t="e">
        <f t="shared" si="806"/>
        <v>#N/A</v>
      </c>
      <c r="AV15" s="7" t="e">
        <f t="shared" si="806"/>
        <v>#N/A</v>
      </c>
      <c r="AW15" s="7" t="e">
        <f t="shared" si="806"/>
        <v>#N/A</v>
      </c>
      <c r="AX15" s="7" t="e">
        <f t="shared" si="806"/>
        <v>#N/A</v>
      </c>
      <c r="AY15" s="7" t="e">
        <f t="shared" si="806"/>
        <v>#N/A</v>
      </c>
      <c r="AZ15" s="7" t="e">
        <f t="shared" si="806"/>
        <v>#N/A</v>
      </c>
      <c r="BA15" s="7" t="e">
        <f t="shared" si="806"/>
        <v>#N/A</v>
      </c>
      <c r="BB15" s="7" t="e">
        <f t="shared" si="806"/>
        <v>#N/A</v>
      </c>
      <c r="BC15" s="7" t="e">
        <f t="shared" si="806"/>
        <v>#N/A</v>
      </c>
      <c r="BD15" s="7" t="e">
        <f t="shared" si="806"/>
        <v>#N/A</v>
      </c>
      <c r="BE15" s="7" t="e">
        <f t="shared" si="806"/>
        <v>#N/A</v>
      </c>
      <c r="BF15" s="7" t="e">
        <f t="shared" si="809"/>
        <v>#N/A</v>
      </c>
      <c r="BG15" s="7" t="e">
        <f t="shared" si="809"/>
        <v>#N/A</v>
      </c>
      <c r="BH15" s="7" t="e">
        <f t="shared" si="809"/>
        <v>#N/A</v>
      </c>
      <c r="BI15" s="7" t="e">
        <f t="shared" si="809"/>
        <v>#N/A</v>
      </c>
      <c r="BJ15" s="7" t="e">
        <f t="shared" si="809"/>
        <v>#N/A</v>
      </c>
      <c r="BK15" s="7" t="e">
        <f t="shared" si="809"/>
        <v>#N/A</v>
      </c>
      <c r="BL15" s="7" t="e">
        <f t="shared" si="809"/>
        <v>#N/A</v>
      </c>
      <c r="BM15" s="7" t="e">
        <f t="shared" si="809"/>
        <v>#N/A</v>
      </c>
      <c r="BN15" s="7" t="e">
        <f t="shared" si="809"/>
        <v>#N/A</v>
      </c>
      <c r="BO15" s="7" t="e">
        <f t="shared" si="809"/>
        <v>#N/A</v>
      </c>
      <c r="BP15" s="7" t="e">
        <f t="shared" si="809"/>
        <v>#N/A</v>
      </c>
      <c r="BQ15" s="7" t="e">
        <f t="shared" si="809"/>
        <v>#N/A</v>
      </c>
      <c r="BR15" s="7" t="e">
        <f t="shared" si="809"/>
        <v>#N/A</v>
      </c>
      <c r="BS15" s="7" t="e">
        <f t="shared" si="809"/>
        <v>#N/A</v>
      </c>
      <c r="BT15" s="7" t="e">
        <f t="shared" si="809"/>
        <v>#N/A</v>
      </c>
      <c r="BU15" s="7" t="e">
        <f t="shared" si="809"/>
        <v>#N/A</v>
      </c>
      <c r="BV15" s="7" t="e">
        <f t="shared" si="807"/>
        <v>#N/A</v>
      </c>
      <c r="BW15" s="7" t="e">
        <f t="shared" si="807"/>
        <v>#N/A</v>
      </c>
      <c r="BX15" s="7" t="e">
        <f t="shared" si="807"/>
        <v>#N/A</v>
      </c>
      <c r="BY15" s="7" t="e">
        <f t="shared" si="808"/>
        <v>#N/A</v>
      </c>
      <c r="BZ15" s="7" t="e">
        <f t="shared" si="808"/>
        <v>#N/A</v>
      </c>
      <c r="CA15" s="7" t="e">
        <f t="shared" si="808"/>
        <v>#N/A</v>
      </c>
      <c r="CB15" s="7" t="e">
        <f t="shared" si="808"/>
        <v>#N/A</v>
      </c>
      <c r="CC15" s="7" t="e">
        <f t="shared" si="808"/>
        <v>#N/A</v>
      </c>
      <c r="CD15" s="7" t="e">
        <f t="shared" si="808"/>
        <v>#N/A</v>
      </c>
      <c r="CE15" s="7" t="e">
        <f t="shared" si="808"/>
        <v>#N/A</v>
      </c>
      <c r="CF15" s="7" t="e">
        <f t="shared" si="808"/>
        <v>#N/A</v>
      </c>
      <c r="CG15" s="7" t="e">
        <f t="shared" si="808"/>
        <v>#N/A</v>
      </c>
      <c r="CH15" s="6" t="e">
        <f t="shared" si="611"/>
        <v>#N/A</v>
      </c>
      <c r="CI15" s="5" t="e">
        <f t="shared" si="612"/>
        <v>#N/A</v>
      </c>
      <c r="CK15" s="5" t="e">
        <f t="shared" si="613"/>
        <v>#N/A</v>
      </c>
      <c r="CL15" s="5" t="e">
        <f t="shared" si="614"/>
        <v>#N/A</v>
      </c>
      <c r="CM15" s="5" t="e">
        <f t="shared" si="615"/>
        <v>#N/A</v>
      </c>
      <c r="CN15" s="5" t="e">
        <f t="shared" si="616"/>
        <v>#N/A</v>
      </c>
      <c r="CO15" s="5" t="e">
        <f t="shared" si="617"/>
        <v>#N/A</v>
      </c>
      <c r="CP15" s="5" t="e">
        <f t="shared" si="618"/>
        <v>#N/A</v>
      </c>
      <c r="CQ15" s="5" t="e">
        <f t="shared" si="619"/>
        <v>#N/A</v>
      </c>
      <c r="CR15" s="5" t="e">
        <f t="shared" si="620"/>
        <v>#N/A</v>
      </c>
      <c r="CS15" s="5" t="e">
        <f t="shared" si="621"/>
        <v>#N/A</v>
      </c>
      <c r="CT15" s="5" t="e">
        <f t="shared" si="622"/>
        <v>#N/A</v>
      </c>
      <c r="CU15" s="5" t="e">
        <f t="shared" si="623"/>
        <v>#N/A</v>
      </c>
      <c r="CV15" s="5" t="e">
        <f t="shared" si="624"/>
        <v>#N/A</v>
      </c>
      <c r="CW15" s="5" t="e">
        <f t="shared" si="625"/>
        <v>#N/A</v>
      </c>
      <c r="CX15" s="5" t="e">
        <f t="shared" si="626"/>
        <v>#N/A</v>
      </c>
      <c r="CY15" s="5" t="e">
        <f t="shared" si="627"/>
        <v>#N/A</v>
      </c>
      <c r="CZ15" s="5" t="e">
        <f t="shared" si="628"/>
        <v>#N/A</v>
      </c>
      <c r="DA15" s="5" t="e">
        <f t="shared" si="629"/>
        <v>#N/A</v>
      </c>
      <c r="DB15" s="5" t="e">
        <f t="shared" si="630"/>
        <v>#N/A</v>
      </c>
      <c r="DC15" s="5" t="e">
        <f t="shared" si="631"/>
        <v>#N/A</v>
      </c>
      <c r="DD15" s="5" t="e">
        <f t="shared" si="632"/>
        <v>#N/A</v>
      </c>
      <c r="DE15" s="5" t="e">
        <f t="shared" si="633"/>
        <v>#N/A</v>
      </c>
      <c r="DF15" s="5" t="e">
        <f t="shared" si="634"/>
        <v>#N/A</v>
      </c>
      <c r="DG15" s="5" t="e">
        <f t="shared" si="635"/>
        <v>#N/A</v>
      </c>
      <c r="DH15" s="5" t="e">
        <f t="shared" si="636"/>
        <v>#N/A</v>
      </c>
      <c r="DI15" s="5" t="e">
        <f t="shared" si="637"/>
        <v>#N/A</v>
      </c>
      <c r="DJ15" s="5" t="e">
        <f t="shared" si="638"/>
        <v>#N/A</v>
      </c>
      <c r="DK15" s="5" t="e">
        <f t="shared" si="639"/>
        <v>#N/A</v>
      </c>
      <c r="DL15" s="5" t="e">
        <f t="shared" si="640"/>
        <v>#N/A</v>
      </c>
      <c r="DM15" s="5" t="e">
        <f t="shared" si="641"/>
        <v>#N/A</v>
      </c>
      <c r="DN15" s="5" t="e">
        <f t="shared" si="642"/>
        <v>#N/A</v>
      </c>
      <c r="DO15" s="5" t="e">
        <f t="shared" si="643"/>
        <v>#N/A</v>
      </c>
      <c r="DP15" s="5" t="e">
        <f t="shared" si="644"/>
        <v>#N/A</v>
      </c>
      <c r="DQ15" s="5" t="e">
        <f t="shared" si="645"/>
        <v>#N/A</v>
      </c>
      <c r="DR15" s="5" t="e">
        <f t="shared" si="646"/>
        <v>#N/A</v>
      </c>
      <c r="DS15" s="5" t="e">
        <f t="shared" si="647"/>
        <v>#N/A</v>
      </c>
      <c r="DT15" s="5" t="e">
        <f t="shared" si="648"/>
        <v>#N/A</v>
      </c>
      <c r="DU15" s="5" t="e">
        <f t="shared" si="649"/>
        <v>#N/A</v>
      </c>
      <c r="DV15" s="5" t="e">
        <f t="shared" si="650"/>
        <v>#N/A</v>
      </c>
      <c r="DW15" s="5" t="e">
        <f t="shared" si="651"/>
        <v>#N/A</v>
      </c>
      <c r="DX15" s="5" t="e">
        <f t="shared" si="652"/>
        <v>#N/A</v>
      </c>
      <c r="DY15" s="5" t="e">
        <f t="shared" si="653"/>
        <v>#N/A</v>
      </c>
      <c r="DZ15" s="5" t="e">
        <f t="shared" si="654"/>
        <v>#N/A</v>
      </c>
      <c r="EA15" s="5" t="e">
        <f t="shared" si="655"/>
        <v>#N/A</v>
      </c>
      <c r="EB15" s="5" t="e">
        <f t="shared" si="656"/>
        <v>#N/A</v>
      </c>
      <c r="EC15" s="5" t="e">
        <f t="shared" si="657"/>
        <v>#N/A</v>
      </c>
      <c r="ED15" s="5" t="e">
        <f t="shared" si="658"/>
        <v>#N/A</v>
      </c>
      <c r="EE15" s="5" t="e">
        <f t="shared" si="659"/>
        <v>#N/A</v>
      </c>
      <c r="EF15" s="5" t="e">
        <f t="shared" si="660"/>
        <v>#N/A</v>
      </c>
      <c r="EG15" s="5" t="e">
        <f t="shared" si="661"/>
        <v>#N/A</v>
      </c>
      <c r="EH15" s="5" t="e">
        <f t="shared" si="662"/>
        <v>#N/A</v>
      </c>
      <c r="EI15" s="5" t="e">
        <f t="shared" si="663"/>
        <v>#N/A</v>
      </c>
      <c r="EJ15" s="5" t="e">
        <f t="shared" si="664"/>
        <v>#N/A</v>
      </c>
      <c r="EK15" s="5" t="e">
        <f t="shared" si="665"/>
        <v>#N/A</v>
      </c>
      <c r="EL15" s="5" t="e">
        <f t="shared" si="666"/>
        <v>#N/A</v>
      </c>
      <c r="EM15" s="5" t="e">
        <f t="shared" si="667"/>
        <v>#N/A</v>
      </c>
      <c r="EN15" s="5" t="e">
        <f t="shared" si="668"/>
        <v>#N/A</v>
      </c>
      <c r="EO15" s="5" t="e">
        <f t="shared" si="669"/>
        <v>#N/A</v>
      </c>
      <c r="EP15" s="5" t="e">
        <f t="shared" si="670"/>
        <v>#N/A</v>
      </c>
      <c r="EQ15" s="5" t="e">
        <f t="shared" si="671"/>
        <v>#N/A</v>
      </c>
      <c r="ER15" s="5" t="e">
        <f t="shared" si="672"/>
        <v>#N/A</v>
      </c>
      <c r="ET15" s="5" t="e">
        <f t="shared" si="673"/>
        <v>#N/A</v>
      </c>
      <c r="EU15" s="5" t="e">
        <f t="shared" si="674"/>
        <v>#N/A</v>
      </c>
      <c r="EV15" s="5" t="e">
        <f t="shared" si="675"/>
        <v>#N/A</v>
      </c>
      <c r="EW15" s="5" t="e">
        <f t="shared" si="676"/>
        <v>#N/A</v>
      </c>
      <c r="EX15" s="5" t="e">
        <f t="shared" si="677"/>
        <v>#N/A</v>
      </c>
      <c r="EY15" s="5" t="e">
        <f t="shared" si="678"/>
        <v>#N/A</v>
      </c>
      <c r="EZ15" s="5" t="e">
        <f t="shared" si="679"/>
        <v>#N/A</v>
      </c>
      <c r="FA15" s="5" t="e">
        <f t="shared" si="680"/>
        <v>#N/A</v>
      </c>
      <c r="FB15" s="5" t="e">
        <f t="shared" si="681"/>
        <v>#N/A</v>
      </c>
      <c r="FC15" s="5" t="e">
        <f t="shared" si="682"/>
        <v>#N/A</v>
      </c>
      <c r="FD15" s="5" t="e">
        <f t="shared" si="683"/>
        <v>#N/A</v>
      </c>
      <c r="FE15" s="5" t="e">
        <f t="shared" si="684"/>
        <v>#N/A</v>
      </c>
      <c r="FF15" s="5" t="e">
        <f t="shared" si="685"/>
        <v>#N/A</v>
      </c>
      <c r="FG15" s="5" t="e">
        <f t="shared" si="686"/>
        <v>#N/A</v>
      </c>
      <c r="FH15" s="5" t="e">
        <f t="shared" si="687"/>
        <v>#N/A</v>
      </c>
      <c r="FI15" s="5" t="e">
        <f t="shared" si="688"/>
        <v>#N/A</v>
      </c>
      <c r="FJ15" s="5" t="e">
        <f t="shared" si="689"/>
        <v>#N/A</v>
      </c>
      <c r="FK15" s="5" t="e">
        <f t="shared" si="690"/>
        <v>#N/A</v>
      </c>
      <c r="FL15" s="5" t="e">
        <f t="shared" si="691"/>
        <v>#N/A</v>
      </c>
      <c r="FM15" s="5" t="e">
        <f t="shared" si="692"/>
        <v>#N/A</v>
      </c>
      <c r="FN15" s="5" t="e">
        <f t="shared" si="693"/>
        <v>#N/A</v>
      </c>
      <c r="FO15" s="5" t="e">
        <f t="shared" si="694"/>
        <v>#N/A</v>
      </c>
      <c r="FP15" s="5" t="e">
        <f t="shared" si="695"/>
        <v>#N/A</v>
      </c>
      <c r="FQ15" s="5" t="e">
        <f t="shared" si="696"/>
        <v>#N/A</v>
      </c>
      <c r="FR15" s="5" t="e">
        <f t="shared" si="697"/>
        <v>#N/A</v>
      </c>
      <c r="FS15" s="5" t="e">
        <f t="shared" si="698"/>
        <v>#N/A</v>
      </c>
      <c r="FT15" s="5" t="e">
        <f t="shared" si="699"/>
        <v>#N/A</v>
      </c>
      <c r="FU15" s="5" t="e">
        <f t="shared" si="700"/>
        <v>#N/A</v>
      </c>
      <c r="FV15" s="5" t="e">
        <f t="shared" si="701"/>
        <v>#N/A</v>
      </c>
      <c r="FW15" s="5" t="e">
        <f t="shared" si="702"/>
        <v>#N/A</v>
      </c>
      <c r="FX15" s="5" t="e">
        <f t="shared" si="703"/>
        <v>#N/A</v>
      </c>
      <c r="FY15" s="5" t="e">
        <f t="shared" si="704"/>
        <v>#N/A</v>
      </c>
      <c r="FZ15" s="5" t="e">
        <f t="shared" si="705"/>
        <v>#N/A</v>
      </c>
      <c r="GA15" s="5" t="e">
        <f t="shared" si="706"/>
        <v>#N/A</v>
      </c>
      <c r="GB15" s="5" t="e">
        <f t="shared" si="707"/>
        <v>#N/A</v>
      </c>
      <c r="GC15" s="5" t="e">
        <f t="shared" si="708"/>
        <v>#N/A</v>
      </c>
      <c r="GD15" s="5" t="e">
        <f t="shared" si="709"/>
        <v>#N/A</v>
      </c>
      <c r="GE15" s="5" t="e">
        <f t="shared" si="710"/>
        <v>#N/A</v>
      </c>
      <c r="GF15" s="5" t="e">
        <f t="shared" si="711"/>
        <v>#N/A</v>
      </c>
      <c r="GG15" s="5" t="e">
        <f t="shared" si="712"/>
        <v>#N/A</v>
      </c>
      <c r="GH15" s="5" t="e">
        <f t="shared" si="713"/>
        <v>#N/A</v>
      </c>
      <c r="GI15" s="5" t="e">
        <f t="shared" si="714"/>
        <v>#N/A</v>
      </c>
      <c r="GJ15" s="5" t="e">
        <f t="shared" si="715"/>
        <v>#N/A</v>
      </c>
      <c r="GK15" s="5" t="e">
        <f t="shared" si="716"/>
        <v>#N/A</v>
      </c>
      <c r="GL15" s="5" t="e">
        <f t="shared" si="717"/>
        <v>#N/A</v>
      </c>
      <c r="GM15" s="5" t="e">
        <f t="shared" si="718"/>
        <v>#N/A</v>
      </c>
      <c r="GN15" s="5" t="e">
        <f t="shared" si="719"/>
        <v>#N/A</v>
      </c>
      <c r="GO15" s="5" t="e">
        <f t="shared" si="720"/>
        <v>#N/A</v>
      </c>
      <c r="GP15" s="5" t="e">
        <f t="shared" si="721"/>
        <v>#N/A</v>
      </c>
      <c r="GQ15" s="5" t="e">
        <f t="shared" si="722"/>
        <v>#N/A</v>
      </c>
      <c r="GR15" s="5" t="e">
        <f t="shared" si="723"/>
        <v>#N/A</v>
      </c>
      <c r="GS15" s="5" t="e">
        <f t="shared" si="724"/>
        <v>#N/A</v>
      </c>
      <c r="GT15" s="5" t="e">
        <f t="shared" si="725"/>
        <v>#N/A</v>
      </c>
      <c r="GU15" s="5" t="e">
        <f t="shared" si="726"/>
        <v>#N/A</v>
      </c>
      <c r="GV15" s="5" t="e">
        <f t="shared" si="727"/>
        <v>#N/A</v>
      </c>
      <c r="GW15" s="5" t="e">
        <f t="shared" si="728"/>
        <v>#N/A</v>
      </c>
      <c r="GX15" s="5" t="e">
        <f t="shared" si="729"/>
        <v>#N/A</v>
      </c>
      <c r="GY15" s="5" t="e">
        <f t="shared" si="730"/>
        <v>#N/A</v>
      </c>
      <c r="GZ15" s="5" t="e">
        <f t="shared" si="731"/>
        <v>#N/A</v>
      </c>
      <c r="HA15" s="5" t="e">
        <f t="shared" si="732"/>
        <v>#N/A</v>
      </c>
      <c r="HC15" s="6" t="e">
        <f t="shared" si="733"/>
        <v>#N/A</v>
      </c>
      <c r="HD15" s="5" t="e">
        <f t="shared" si="734"/>
        <v>#N/A</v>
      </c>
      <c r="HE15" s="5" t="e">
        <f t="shared" si="735"/>
        <v>#N/A</v>
      </c>
      <c r="HF15" s="5" t="e">
        <f t="shared" si="736"/>
        <v>#N/A</v>
      </c>
      <c r="HG15" s="5" t="e">
        <f t="shared" si="737"/>
        <v>#N/A</v>
      </c>
      <c r="HH15" s="5" t="e">
        <f t="shared" si="738"/>
        <v>#N/A</v>
      </c>
      <c r="HI15" s="5" t="e">
        <f t="shared" si="739"/>
        <v>#N/A</v>
      </c>
      <c r="HJ15" s="5" t="e">
        <f t="shared" si="740"/>
        <v>#N/A</v>
      </c>
      <c r="HK15" s="5" t="e">
        <f t="shared" si="741"/>
        <v>#N/A</v>
      </c>
      <c r="HL15" s="5" t="e">
        <f t="shared" si="742"/>
        <v>#N/A</v>
      </c>
      <c r="HM15" s="5" t="e">
        <f t="shared" si="743"/>
        <v>#N/A</v>
      </c>
      <c r="HN15" s="5" t="e">
        <f t="shared" si="744"/>
        <v>#N/A</v>
      </c>
      <c r="HO15" s="5" t="e">
        <f t="shared" si="745"/>
        <v>#N/A</v>
      </c>
      <c r="HP15" s="5" t="e">
        <f t="shared" si="746"/>
        <v>#N/A</v>
      </c>
      <c r="HQ15" s="5" t="e">
        <f t="shared" si="747"/>
        <v>#N/A</v>
      </c>
      <c r="HR15" s="5" t="e">
        <f t="shared" si="748"/>
        <v>#N/A</v>
      </c>
      <c r="HS15" s="5" t="e">
        <f t="shared" si="749"/>
        <v>#N/A</v>
      </c>
      <c r="HT15" s="5" t="e">
        <f t="shared" si="750"/>
        <v>#N/A</v>
      </c>
      <c r="HU15" s="5" t="e">
        <f t="shared" si="751"/>
        <v>#N/A</v>
      </c>
      <c r="HV15" s="5" t="e">
        <f t="shared" si="752"/>
        <v>#N/A</v>
      </c>
      <c r="HW15" s="5" t="e">
        <f t="shared" si="753"/>
        <v>#N/A</v>
      </c>
      <c r="HX15" s="5" t="e">
        <f t="shared" si="754"/>
        <v>#N/A</v>
      </c>
      <c r="HY15" s="5" t="e">
        <f t="shared" si="755"/>
        <v>#N/A</v>
      </c>
      <c r="HZ15" s="5" t="e">
        <f t="shared" si="756"/>
        <v>#N/A</v>
      </c>
      <c r="IA15" s="5" t="e">
        <f t="shared" si="757"/>
        <v>#N/A</v>
      </c>
      <c r="IB15" s="5" t="e">
        <f t="shared" si="758"/>
        <v>#N/A</v>
      </c>
      <c r="IC15" s="5" t="e">
        <f t="shared" si="759"/>
        <v>#N/A</v>
      </c>
      <c r="ID15" s="5" t="e">
        <f t="shared" si="760"/>
        <v>#N/A</v>
      </c>
      <c r="IE15" s="5" t="e">
        <f t="shared" si="761"/>
        <v>#N/A</v>
      </c>
      <c r="IF15" s="5" t="e">
        <f t="shared" si="762"/>
        <v>#N/A</v>
      </c>
      <c r="IG15" s="5" t="e">
        <f t="shared" si="763"/>
        <v>#N/A</v>
      </c>
      <c r="IH15" s="5" t="e">
        <f t="shared" si="764"/>
        <v>#N/A</v>
      </c>
      <c r="II15" s="5" t="e">
        <f t="shared" si="765"/>
        <v>#N/A</v>
      </c>
      <c r="IJ15" s="5" t="e">
        <f t="shared" si="766"/>
        <v>#N/A</v>
      </c>
      <c r="IK15" s="5" t="e">
        <f t="shared" si="767"/>
        <v>#N/A</v>
      </c>
      <c r="IL15" s="5" t="e">
        <f t="shared" si="768"/>
        <v>#N/A</v>
      </c>
      <c r="IM15" s="5" t="e">
        <f t="shared" si="769"/>
        <v>#N/A</v>
      </c>
      <c r="IN15" s="5" t="e">
        <f t="shared" si="770"/>
        <v>#N/A</v>
      </c>
      <c r="IO15" s="5" t="e">
        <f t="shared" si="771"/>
        <v>#N/A</v>
      </c>
      <c r="IP15" s="5" t="e">
        <f t="shared" si="772"/>
        <v>#N/A</v>
      </c>
      <c r="IQ15" s="5" t="e">
        <f t="shared" si="773"/>
        <v>#N/A</v>
      </c>
      <c r="IR15" s="5" t="e">
        <f t="shared" si="774"/>
        <v>#N/A</v>
      </c>
      <c r="IS15" s="5" t="e">
        <f t="shared" si="775"/>
        <v>#N/A</v>
      </c>
      <c r="IT15" s="5" t="e">
        <f t="shared" si="776"/>
        <v>#N/A</v>
      </c>
      <c r="IU15" s="5" t="e">
        <f t="shared" si="777"/>
        <v>#N/A</v>
      </c>
      <c r="IV15" s="5" t="e">
        <f t="shared" si="778"/>
        <v>#N/A</v>
      </c>
      <c r="IW15" s="5" t="e">
        <f t="shared" si="779"/>
        <v>#N/A</v>
      </c>
      <c r="IX15" s="5" t="e">
        <f t="shared" si="780"/>
        <v>#N/A</v>
      </c>
      <c r="IY15" s="5" t="e">
        <f t="shared" si="781"/>
        <v>#N/A</v>
      </c>
      <c r="IZ15" s="5" t="e">
        <f t="shared" si="782"/>
        <v>#N/A</v>
      </c>
      <c r="JA15" s="5" t="e">
        <f t="shared" si="783"/>
        <v>#N/A</v>
      </c>
      <c r="JB15" s="5" t="e">
        <f t="shared" si="784"/>
        <v>#N/A</v>
      </c>
      <c r="JC15" s="5" t="e">
        <f t="shared" si="785"/>
        <v>#N/A</v>
      </c>
      <c r="JD15" s="5" t="e">
        <f t="shared" si="786"/>
        <v>#N/A</v>
      </c>
      <c r="JE15" s="5" t="e">
        <f t="shared" si="787"/>
        <v>#N/A</v>
      </c>
      <c r="JF15" s="5" t="e">
        <f t="shared" si="788"/>
        <v>#N/A</v>
      </c>
      <c r="JG15" s="5" t="e">
        <f t="shared" si="789"/>
        <v>#N/A</v>
      </c>
      <c r="JH15" s="5" t="e">
        <f t="shared" si="790"/>
        <v>#N/A</v>
      </c>
      <c r="JI15" s="5" t="e">
        <f t="shared" si="791"/>
        <v>#N/A</v>
      </c>
      <c r="JJ15" s="5" t="e">
        <f t="shared" si="792"/>
        <v>#N/A</v>
      </c>
      <c r="JK15" s="5" t="e">
        <f t="shared" si="793"/>
        <v>#N/A</v>
      </c>
      <c r="JM15" s="19" t="e">
        <f t="shared" si="794"/>
        <v>#N/A</v>
      </c>
      <c r="JN15" s="1">
        <v>13</v>
      </c>
      <c r="JO15" s="5" t="e">
        <f>HLOOKUP(JM15,HC$2:JK15,2+JN14,0)+IF(S15&gt;0,S15,0)-IF(KE15&gt;0,KE15,0)</f>
        <v>#N/A</v>
      </c>
      <c r="JP15" s="5" t="e">
        <f t="shared" si="795"/>
        <v>#N/A</v>
      </c>
      <c r="JQ15" s="17"/>
      <c r="JR15" s="26"/>
      <c r="JS15" s="6">
        <f t="shared" si="796"/>
        <v>0</v>
      </c>
      <c r="JT15" s="5" t="e">
        <f t="shared" si="797"/>
        <v>#N/A</v>
      </c>
      <c r="JU15" s="13">
        <f t="shared" ca="1" si="20"/>
        <v>46161</v>
      </c>
      <c r="JV15" s="6" t="e">
        <f t="shared" si="798"/>
        <v>#N/A</v>
      </c>
      <c r="JW15" s="6"/>
      <c r="JX15" s="6"/>
      <c r="JY15" s="6">
        <f t="shared" si="799"/>
        <v>0</v>
      </c>
      <c r="JZ15" s="10" t="e">
        <f t="shared" si="800"/>
        <v>#N/A</v>
      </c>
      <c r="KA15" s="10" t="e">
        <f t="shared" si="801"/>
        <v>#N/A</v>
      </c>
      <c r="KB15" s="10" t="e">
        <f t="shared" si="802"/>
        <v>#N/A</v>
      </c>
      <c r="KC15" s="10" t="e">
        <f t="shared" si="803"/>
        <v>#N/A</v>
      </c>
      <c r="KD15" s="5" t="e">
        <f t="shared" si="804"/>
        <v>#N/A</v>
      </c>
      <c r="KE15" s="6" t="e">
        <f t="shared" si="805"/>
        <v>#N/A</v>
      </c>
    </row>
    <row r="16" spans="1:291" s="50" customFormat="1" ht="14.4" customHeight="1" x14ac:dyDescent="0.3">
      <c r="A16" s="50" t="s">
        <v>58</v>
      </c>
      <c r="B16" s="63"/>
      <c r="C16" s="50" t="e">
        <f>VLOOKUP(B16,DD!A:B,2,0)</f>
        <v>#N/A</v>
      </c>
      <c r="D16" s="50" t="e">
        <f>VLOOKUP(B16,DD!A:K,11,0)</f>
        <v>#N/A</v>
      </c>
      <c r="E16" s="50" t="e">
        <f>VLOOKUP(B16,DD!A:L,12,0)</f>
        <v>#N/A</v>
      </c>
      <c r="F16" s="51" t="e">
        <f>VLOOKUP(B16,DD!A:D,4,0)</f>
        <v>#N/A</v>
      </c>
      <c r="G16" s="52">
        <v>1</v>
      </c>
      <c r="H16" s="53" t="e">
        <f>VLOOKUP(B16,DD!A:E,5,0)</f>
        <v>#N/A</v>
      </c>
      <c r="I16" s="53" t="e">
        <f t="shared" si="601"/>
        <v>#N/A</v>
      </c>
      <c r="J16" s="53" t="e">
        <f>VLOOKUP(B16,DD!A:F,6,0)</f>
        <v>#N/A</v>
      </c>
      <c r="K16" s="53" t="e">
        <f>VLOOKUP(B16,DD!A:H,8,0)</f>
        <v>#N/A</v>
      </c>
      <c r="L16" s="53" t="e">
        <f>VLOOKUP(B16,DD!A:I,9,0)</f>
        <v>#N/A</v>
      </c>
      <c r="M16" s="53" t="e">
        <f>VLOOKUP(B16,DD!A:J,10,0)</f>
        <v>#N/A</v>
      </c>
      <c r="N16" s="53" t="s">
        <v>8</v>
      </c>
      <c r="O16" s="53" t="s">
        <v>9</v>
      </c>
      <c r="P16" s="54" t="e">
        <f>VLOOKUP(B16,DD!A:C,3,0)</f>
        <v>#N/A</v>
      </c>
      <c r="Q16" s="55" t="e">
        <f t="shared" si="602"/>
        <v>#N/A</v>
      </c>
      <c r="R16" s="55" t="e">
        <f t="shared" si="603"/>
        <v>#N/A</v>
      </c>
      <c r="S16" s="55" t="e">
        <f t="shared" si="604"/>
        <v>#N/A</v>
      </c>
      <c r="T16" s="56" t="e">
        <f t="shared" si="605"/>
        <v>#N/A</v>
      </c>
      <c r="U16" s="55" t="e">
        <f t="shared" si="606"/>
        <v>#N/A</v>
      </c>
      <c r="V16" s="56" t="e">
        <f t="shared" si="607"/>
        <v>#N/A</v>
      </c>
      <c r="W16" s="57" t="e">
        <f t="shared" si="608"/>
        <v>#N/A</v>
      </c>
      <c r="X16" s="58" t="e">
        <f t="shared" si="609"/>
        <v>#VALUE!</v>
      </c>
      <c r="Y16" s="56" t="e">
        <f t="shared" si="610"/>
        <v>#N/A</v>
      </c>
      <c r="Z16" s="57" t="e">
        <f t="shared" si="806"/>
        <v>#N/A</v>
      </c>
      <c r="AA16" s="57" t="e">
        <f t="shared" si="806"/>
        <v>#N/A</v>
      </c>
      <c r="AB16" s="57" t="e">
        <f t="shared" si="806"/>
        <v>#N/A</v>
      </c>
      <c r="AC16" s="57" t="e">
        <f t="shared" si="806"/>
        <v>#N/A</v>
      </c>
      <c r="AD16" s="57" t="e">
        <f t="shared" si="806"/>
        <v>#N/A</v>
      </c>
      <c r="AE16" s="57" t="e">
        <f t="shared" si="806"/>
        <v>#N/A</v>
      </c>
      <c r="AF16" s="57" t="e">
        <f t="shared" si="806"/>
        <v>#N/A</v>
      </c>
      <c r="AG16" s="57" t="e">
        <f t="shared" si="806"/>
        <v>#N/A</v>
      </c>
      <c r="AH16" s="57" t="e">
        <f t="shared" si="806"/>
        <v>#N/A</v>
      </c>
      <c r="AI16" s="57" t="e">
        <f t="shared" si="806"/>
        <v>#N/A</v>
      </c>
      <c r="AJ16" s="57" t="e">
        <f t="shared" si="806"/>
        <v>#N/A</v>
      </c>
      <c r="AK16" s="57" t="e">
        <f t="shared" si="806"/>
        <v>#N/A</v>
      </c>
      <c r="AL16" s="57" t="e">
        <f t="shared" si="806"/>
        <v>#N/A</v>
      </c>
      <c r="AM16" s="57" t="e">
        <f t="shared" si="806"/>
        <v>#N/A</v>
      </c>
      <c r="AN16" s="57" t="e">
        <f t="shared" si="806"/>
        <v>#N/A</v>
      </c>
      <c r="AO16" s="57" t="e">
        <f t="shared" si="806"/>
        <v>#N/A</v>
      </c>
      <c r="AP16" s="57" t="e">
        <f t="shared" si="806"/>
        <v>#N/A</v>
      </c>
      <c r="AQ16" s="57" t="e">
        <f t="shared" si="806"/>
        <v>#N/A</v>
      </c>
      <c r="AR16" s="57" t="e">
        <f t="shared" si="806"/>
        <v>#N/A</v>
      </c>
      <c r="AS16" s="57" t="e">
        <f t="shared" si="806"/>
        <v>#N/A</v>
      </c>
      <c r="AT16" s="57" t="e">
        <f t="shared" si="806"/>
        <v>#N/A</v>
      </c>
      <c r="AU16" s="57" t="e">
        <f t="shared" si="806"/>
        <v>#N/A</v>
      </c>
      <c r="AV16" s="57" t="e">
        <f t="shared" si="806"/>
        <v>#N/A</v>
      </c>
      <c r="AW16" s="57" t="e">
        <f t="shared" si="806"/>
        <v>#N/A</v>
      </c>
      <c r="AX16" s="57" t="e">
        <f t="shared" si="806"/>
        <v>#N/A</v>
      </c>
      <c r="AY16" s="57" t="e">
        <f t="shared" si="806"/>
        <v>#N/A</v>
      </c>
      <c r="AZ16" s="57" t="e">
        <f t="shared" si="806"/>
        <v>#N/A</v>
      </c>
      <c r="BA16" s="57" t="e">
        <f t="shared" si="806"/>
        <v>#N/A</v>
      </c>
      <c r="BB16" s="57" t="e">
        <f t="shared" si="806"/>
        <v>#N/A</v>
      </c>
      <c r="BC16" s="57" t="e">
        <f t="shared" si="806"/>
        <v>#N/A</v>
      </c>
      <c r="BD16" s="57" t="e">
        <f t="shared" si="806"/>
        <v>#N/A</v>
      </c>
      <c r="BE16" s="57" t="e">
        <f t="shared" si="806"/>
        <v>#N/A</v>
      </c>
      <c r="BF16" s="57" t="e">
        <f t="shared" si="809"/>
        <v>#N/A</v>
      </c>
      <c r="BG16" s="57" t="e">
        <f t="shared" si="809"/>
        <v>#N/A</v>
      </c>
      <c r="BH16" s="57" t="e">
        <f t="shared" si="809"/>
        <v>#N/A</v>
      </c>
      <c r="BI16" s="57" t="e">
        <f t="shared" si="809"/>
        <v>#N/A</v>
      </c>
      <c r="BJ16" s="57" t="e">
        <f t="shared" si="809"/>
        <v>#N/A</v>
      </c>
      <c r="BK16" s="57" t="e">
        <f t="shared" si="809"/>
        <v>#N/A</v>
      </c>
      <c r="BL16" s="57" t="e">
        <f t="shared" si="809"/>
        <v>#N/A</v>
      </c>
      <c r="BM16" s="57" t="e">
        <f t="shared" si="809"/>
        <v>#N/A</v>
      </c>
      <c r="BN16" s="57" t="e">
        <f t="shared" si="809"/>
        <v>#N/A</v>
      </c>
      <c r="BO16" s="57" t="e">
        <f t="shared" si="809"/>
        <v>#N/A</v>
      </c>
      <c r="BP16" s="57" t="e">
        <f t="shared" si="809"/>
        <v>#N/A</v>
      </c>
      <c r="BQ16" s="57" t="e">
        <f t="shared" si="809"/>
        <v>#N/A</v>
      </c>
      <c r="BR16" s="57" t="e">
        <f t="shared" si="809"/>
        <v>#N/A</v>
      </c>
      <c r="BS16" s="57" t="e">
        <f t="shared" si="809"/>
        <v>#N/A</v>
      </c>
      <c r="BT16" s="57" t="e">
        <f t="shared" si="809"/>
        <v>#N/A</v>
      </c>
      <c r="BU16" s="57" t="e">
        <f t="shared" si="809"/>
        <v>#N/A</v>
      </c>
      <c r="BV16" s="57" t="e">
        <f t="shared" si="807"/>
        <v>#N/A</v>
      </c>
      <c r="BW16" s="57" t="e">
        <f t="shared" si="807"/>
        <v>#N/A</v>
      </c>
      <c r="BX16" s="57" t="e">
        <f t="shared" si="807"/>
        <v>#N/A</v>
      </c>
      <c r="BY16" s="57" t="e">
        <f t="shared" si="808"/>
        <v>#N/A</v>
      </c>
      <c r="BZ16" s="57" t="e">
        <f t="shared" si="808"/>
        <v>#N/A</v>
      </c>
      <c r="CA16" s="57" t="e">
        <f t="shared" si="808"/>
        <v>#N/A</v>
      </c>
      <c r="CB16" s="57" t="e">
        <f t="shared" si="808"/>
        <v>#N/A</v>
      </c>
      <c r="CC16" s="57" t="e">
        <f t="shared" si="808"/>
        <v>#N/A</v>
      </c>
      <c r="CD16" s="57" t="e">
        <f t="shared" si="808"/>
        <v>#N/A</v>
      </c>
      <c r="CE16" s="57" t="e">
        <f t="shared" si="808"/>
        <v>#N/A</v>
      </c>
      <c r="CF16" s="57" t="e">
        <f t="shared" si="808"/>
        <v>#N/A</v>
      </c>
      <c r="CG16" s="57" t="e">
        <f t="shared" si="808"/>
        <v>#N/A</v>
      </c>
      <c r="CH16" s="56" t="e">
        <f t="shared" si="611"/>
        <v>#N/A</v>
      </c>
      <c r="CI16" s="55" t="e">
        <f t="shared" si="612"/>
        <v>#N/A</v>
      </c>
      <c r="CJ16" s="55"/>
      <c r="CK16" s="55" t="e">
        <f t="shared" si="613"/>
        <v>#N/A</v>
      </c>
      <c r="CL16" s="55" t="e">
        <f t="shared" si="614"/>
        <v>#N/A</v>
      </c>
      <c r="CM16" s="55" t="e">
        <f t="shared" si="615"/>
        <v>#N/A</v>
      </c>
      <c r="CN16" s="55" t="e">
        <f t="shared" si="616"/>
        <v>#N/A</v>
      </c>
      <c r="CO16" s="55" t="e">
        <f t="shared" si="617"/>
        <v>#N/A</v>
      </c>
      <c r="CP16" s="55" t="e">
        <f t="shared" si="618"/>
        <v>#N/A</v>
      </c>
      <c r="CQ16" s="55" t="e">
        <f t="shared" si="619"/>
        <v>#N/A</v>
      </c>
      <c r="CR16" s="55" t="e">
        <f t="shared" si="620"/>
        <v>#N/A</v>
      </c>
      <c r="CS16" s="55" t="e">
        <f t="shared" si="621"/>
        <v>#N/A</v>
      </c>
      <c r="CT16" s="55" t="e">
        <f t="shared" si="622"/>
        <v>#N/A</v>
      </c>
      <c r="CU16" s="55" t="e">
        <f t="shared" si="623"/>
        <v>#N/A</v>
      </c>
      <c r="CV16" s="55" t="e">
        <f t="shared" si="624"/>
        <v>#N/A</v>
      </c>
      <c r="CW16" s="55" t="e">
        <f t="shared" si="625"/>
        <v>#N/A</v>
      </c>
      <c r="CX16" s="55" t="e">
        <f t="shared" si="626"/>
        <v>#N/A</v>
      </c>
      <c r="CY16" s="55" t="e">
        <f t="shared" si="627"/>
        <v>#N/A</v>
      </c>
      <c r="CZ16" s="55" t="e">
        <f t="shared" si="628"/>
        <v>#N/A</v>
      </c>
      <c r="DA16" s="55" t="e">
        <f t="shared" si="629"/>
        <v>#N/A</v>
      </c>
      <c r="DB16" s="55" t="e">
        <f t="shared" si="630"/>
        <v>#N/A</v>
      </c>
      <c r="DC16" s="55" t="e">
        <f t="shared" si="631"/>
        <v>#N/A</v>
      </c>
      <c r="DD16" s="55" t="e">
        <f t="shared" si="632"/>
        <v>#N/A</v>
      </c>
      <c r="DE16" s="55" t="e">
        <f t="shared" si="633"/>
        <v>#N/A</v>
      </c>
      <c r="DF16" s="55" t="e">
        <f t="shared" si="634"/>
        <v>#N/A</v>
      </c>
      <c r="DG16" s="55" t="e">
        <f t="shared" si="635"/>
        <v>#N/A</v>
      </c>
      <c r="DH16" s="55" t="e">
        <f t="shared" si="636"/>
        <v>#N/A</v>
      </c>
      <c r="DI16" s="55" t="e">
        <f t="shared" si="637"/>
        <v>#N/A</v>
      </c>
      <c r="DJ16" s="55" t="e">
        <f t="shared" si="638"/>
        <v>#N/A</v>
      </c>
      <c r="DK16" s="55" t="e">
        <f t="shared" si="639"/>
        <v>#N/A</v>
      </c>
      <c r="DL16" s="55" t="e">
        <f t="shared" si="640"/>
        <v>#N/A</v>
      </c>
      <c r="DM16" s="55" t="e">
        <f t="shared" si="641"/>
        <v>#N/A</v>
      </c>
      <c r="DN16" s="55" t="e">
        <f t="shared" si="642"/>
        <v>#N/A</v>
      </c>
      <c r="DO16" s="55" t="e">
        <f t="shared" si="643"/>
        <v>#N/A</v>
      </c>
      <c r="DP16" s="55" t="e">
        <f t="shared" si="644"/>
        <v>#N/A</v>
      </c>
      <c r="DQ16" s="55" t="e">
        <f t="shared" si="645"/>
        <v>#N/A</v>
      </c>
      <c r="DR16" s="55" t="e">
        <f t="shared" si="646"/>
        <v>#N/A</v>
      </c>
      <c r="DS16" s="55" t="e">
        <f t="shared" si="647"/>
        <v>#N/A</v>
      </c>
      <c r="DT16" s="55" t="e">
        <f t="shared" si="648"/>
        <v>#N/A</v>
      </c>
      <c r="DU16" s="55" t="e">
        <f t="shared" si="649"/>
        <v>#N/A</v>
      </c>
      <c r="DV16" s="55" t="e">
        <f t="shared" si="650"/>
        <v>#N/A</v>
      </c>
      <c r="DW16" s="55" t="e">
        <f t="shared" si="651"/>
        <v>#N/A</v>
      </c>
      <c r="DX16" s="55" t="e">
        <f t="shared" si="652"/>
        <v>#N/A</v>
      </c>
      <c r="DY16" s="55" t="e">
        <f t="shared" si="653"/>
        <v>#N/A</v>
      </c>
      <c r="DZ16" s="55" t="e">
        <f t="shared" si="654"/>
        <v>#N/A</v>
      </c>
      <c r="EA16" s="55" t="e">
        <f t="shared" si="655"/>
        <v>#N/A</v>
      </c>
      <c r="EB16" s="55" t="e">
        <f t="shared" si="656"/>
        <v>#N/A</v>
      </c>
      <c r="EC16" s="55" t="e">
        <f t="shared" si="657"/>
        <v>#N/A</v>
      </c>
      <c r="ED16" s="55" t="e">
        <f t="shared" si="658"/>
        <v>#N/A</v>
      </c>
      <c r="EE16" s="55" t="e">
        <f t="shared" si="659"/>
        <v>#N/A</v>
      </c>
      <c r="EF16" s="55" t="e">
        <f t="shared" si="660"/>
        <v>#N/A</v>
      </c>
      <c r="EG16" s="55" t="e">
        <f t="shared" si="661"/>
        <v>#N/A</v>
      </c>
      <c r="EH16" s="55" t="e">
        <f t="shared" si="662"/>
        <v>#N/A</v>
      </c>
      <c r="EI16" s="55" t="e">
        <f t="shared" si="663"/>
        <v>#N/A</v>
      </c>
      <c r="EJ16" s="55" t="e">
        <f t="shared" si="664"/>
        <v>#N/A</v>
      </c>
      <c r="EK16" s="55" t="e">
        <f t="shared" si="665"/>
        <v>#N/A</v>
      </c>
      <c r="EL16" s="55" t="e">
        <f t="shared" si="666"/>
        <v>#N/A</v>
      </c>
      <c r="EM16" s="55" t="e">
        <f t="shared" si="667"/>
        <v>#N/A</v>
      </c>
      <c r="EN16" s="55" t="e">
        <f t="shared" si="668"/>
        <v>#N/A</v>
      </c>
      <c r="EO16" s="55" t="e">
        <f t="shared" si="669"/>
        <v>#N/A</v>
      </c>
      <c r="EP16" s="55" t="e">
        <f t="shared" si="670"/>
        <v>#N/A</v>
      </c>
      <c r="EQ16" s="55" t="e">
        <f t="shared" si="671"/>
        <v>#N/A</v>
      </c>
      <c r="ER16" s="55" t="e">
        <f t="shared" si="672"/>
        <v>#N/A</v>
      </c>
      <c r="ET16" s="55" t="e">
        <f t="shared" si="673"/>
        <v>#N/A</v>
      </c>
      <c r="EU16" s="55" t="e">
        <f t="shared" si="674"/>
        <v>#N/A</v>
      </c>
      <c r="EV16" s="55" t="e">
        <f t="shared" si="675"/>
        <v>#N/A</v>
      </c>
      <c r="EW16" s="55" t="e">
        <f t="shared" si="676"/>
        <v>#N/A</v>
      </c>
      <c r="EX16" s="55" t="e">
        <f t="shared" si="677"/>
        <v>#N/A</v>
      </c>
      <c r="EY16" s="55" t="e">
        <f t="shared" si="678"/>
        <v>#N/A</v>
      </c>
      <c r="EZ16" s="55" t="e">
        <f t="shared" si="679"/>
        <v>#N/A</v>
      </c>
      <c r="FA16" s="55" t="e">
        <f t="shared" si="680"/>
        <v>#N/A</v>
      </c>
      <c r="FB16" s="55" t="e">
        <f t="shared" si="681"/>
        <v>#N/A</v>
      </c>
      <c r="FC16" s="55" t="e">
        <f t="shared" si="682"/>
        <v>#N/A</v>
      </c>
      <c r="FD16" s="55" t="e">
        <f t="shared" si="683"/>
        <v>#N/A</v>
      </c>
      <c r="FE16" s="55" t="e">
        <f t="shared" si="684"/>
        <v>#N/A</v>
      </c>
      <c r="FF16" s="55" t="e">
        <f t="shared" si="685"/>
        <v>#N/A</v>
      </c>
      <c r="FG16" s="55" t="e">
        <f t="shared" si="686"/>
        <v>#N/A</v>
      </c>
      <c r="FH16" s="55" t="e">
        <f t="shared" si="687"/>
        <v>#N/A</v>
      </c>
      <c r="FI16" s="55" t="e">
        <f t="shared" si="688"/>
        <v>#N/A</v>
      </c>
      <c r="FJ16" s="55" t="e">
        <f t="shared" si="689"/>
        <v>#N/A</v>
      </c>
      <c r="FK16" s="55" t="e">
        <f t="shared" si="690"/>
        <v>#N/A</v>
      </c>
      <c r="FL16" s="55" t="e">
        <f t="shared" si="691"/>
        <v>#N/A</v>
      </c>
      <c r="FM16" s="55" t="e">
        <f t="shared" si="692"/>
        <v>#N/A</v>
      </c>
      <c r="FN16" s="55" t="e">
        <f t="shared" si="693"/>
        <v>#N/A</v>
      </c>
      <c r="FO16" s="55" t="e">
        <f t="shared" si="694"/>
        <v>#N/A</v>
      </c>
      <c r="FP16" s="55" t="e">
        <f t="shared" si="695"/>
        <v>#N/A</v>
      </c>
      <c r="FQ16" s="55" t="e">
        <f t="shared" si="696"/>
        <v>#N/A</v>
      </c>
      <c r="FR16" s="55" t="e">
        <f t="shared" si="697"/>
        <v>#N/A</v>
      </c>
      <c r="FS16" s="55" t="e">
        <f t="shared" si="698"/>
        <v>#N/A</v>
      </c>
      <c r="FT16" s="55" t="e">
        <f t="shared" si="699"/>
        <v>#N/A</v>
      </c>
      <c r="FU16" s="55" t="e">
        <f t="shared" si="700"/>
        <v>#N/A</v>
      </c>
      <c r="FV16" s="55" t="e">
        <f t="shared" si="701"/>
        <v>#N/A</v>
      </c>
      <c r="FW16" s="55" t="e">
        <f t="shared" si="702"/>
        <v>#N/A</v>
      </c>
      <c r="FX16" s="55" t="e">
        <f t="shared" si="703"/>
        <v>#N/A</v>
      </c>
      <c r="FY16" s="55" t="e">
        <f t="shared" si="704"/>
        <v>#N/A</v>
      </c>
      <c r="FZ16" s="55" t="e">
        <f t="shared" si="705"/>
        <v>#N/A</v>
      </c>
      <c r="GA16" s="55" t="e">
        <f t="shared" si="706"/>
        <v>#N/A</v>
      </c>
      <c r="GB16" s="55" t="e">
        <f t="shared" si="707"/>
        <v>#N/A</v>
      </c>
      <c r="GC16" s="55" t="e">
        <f t="shared" si="708"/>
        <v>#N/A</v>
      </c>
      <c r="GD16" s="55" t="e">
        <f t="shared" si="709"/>
        <v>#N/A</v>
      </c>
      <c r="GE16" s="55" t="e">
        <f t="shared" si="710"/>
        <v>#N/A</v>
      </c>
      <c r="GF16" s="55" t="e">
        <f t="shared" si="711"/>
        <v>#N/A</v>
      </c>
      <c r="GG16" s="55" t="e">
        <f t="shared" si="712"/>
        <v>#N/A</v>
      </c>
      <c r="GH16" s="55" t="e">
        <f t="shared" si="713"/>
        <v>#N/A</v>
      </c>
      <c r="GI16" s="55" t="e">
        <f t="shared" si="714"/>
        <v>#N/A</v>
      </c>
      <c r="GJ16" s="55" t="e">
        <f t="shared" si="715"/>
        <v>#N/A</v>
      </c>
      <c r="GK16" s="55" t="e">
        <f t="shared" si="716"/>
        <v>#N/A</v>
      </c>
      <c r="GL16" s="55" t="e">
        <f t="shared" si="717"/>
        <v>#N/A</v>
      </c>
      <c r="GM16" s="55" t="e">
        <f t="shared" si="718"/>
        <v>#N/A</v>
      </c>
      <c r="GN16" s="55" t="e">
        <f t="shared" si="719"/>
        <v>#N/A</v>
      </c>
      <c r="GO16" s="55" t="e">
        <f t="shared" si="720"/>
        <v>#N/A</v>
      </c>
      <c r="GP16" s="55" t="e">
        <f t="shared" si="721"/>
        <v>#N/A</v>
      </c>
      <c r="GQ16" s="55" t="e">
        <f t="shared" si="722"/>
        <v>#N/A</v>
      </c>
      <c r="GR16" s="55" t="e">
        <f t="shared" si="723"/>
        <v>#N/A</v>
      </c>
      <c r="GS16" s="55" t="e">
        <f t="shared" si="724"/>
        <v>#N/A</v>
      </c>
      <c r="GT16" s="55" t="e">
        <f t="shared" si="725"/>
        <v>#N/A</v>
      </c>
      <c r="GU16" s="55" t="e">
        <f t="shared" si="726"/>
        <v>#N/A</v>
      </c>
      <c r="GV16" s="55" t="e">
        <f t="shared" si="727"/>
        <v>#N/A</v>
      </c>
      <c r="GW16" s="55" t="e">
        <f t="shared" si="728"/>
        <v>#N/A</v>
      </c>
      <c r="GX16" s="55" t="e">
        <f t="shared" si="729"/>
        <v>#N/A</v>
      </c>
      <c r="GY16" s="55" t="e">
        <f t="shared" si="730"/>
        <v>#N/A</v>
      </c>
      <c r="GZ16" s="55" t="e">
        <f t="shared" si="731"/>
        <v>#N/A</v>
      </c>
      <c r="HA16" s="55" t="e">
        <f t="shared" si="732"/>
        <v>#N/A</v>
      </c>
      <c r="HC16" s="56" t="e">
        <f t="shared" si="733"/>
        <v>#N/A</v>
      </c>
      <c r="HD16" s="55" t="e">
        <f t="shared" si="734"/>
        <v>#N/A</v>
      </c>
      <c r="HE16" s="55" t="e">
        <f t="shared" si="735"/>
        <v>#N/A</v>
      </c>
      <c r="HF16" s="55" t="e">
        <f t="shared" si="736"/>
        <v>#N/A</v>
      </c>
      <c r="HG16" s="55" t="e">
        <f t="shared" si="737"/>
        <v>#N/A</v>
      </c>
      <c r="HH16" s="55" t="e">
        <f t="shared" si="738"/>
        <v>#N/A</v>
      </c>
      <c r="HI16" s="55" t="e">
        <f t="shared" si="739"/>
        <v>#N/A</v>
      </c>
      <c r="HJ16" s="55" t="e">
        <f t="shared" si="740"/>
        <v>#N/A</v>
      </c>
      <c r="HK16" s="55" t="e">
        <f t="shared" si="741"/>
        <v>#N/A</v>
      </c>
      <c r="HL16" s="55" t="e">
        <f t="shared" si="742"/>
        <v>#N/A</v>
      </c>
      <c r="HM16" s="55" t="e">
        <f t="shared" si="743"/>
        <v>#N/A</v>
      </c>
      <c r="HN16" s="55" t="e">
        <f t="shared" si="744"/>
        <v>#N/A</v>
      </c>
      <c r="HO16" s="55" t="e">
        <f t="shared" si="745"/>
        <v>#N/A</v>
      </c>
      <c r="HP16" s="55" t="e">
        <f t="shared" si="746"/>
        <v>#N/A</v>
      </c>
      <c r="HQ16" s="55" t="e">
        <f t="shared" si="747"/>
        <v>#N/A</v>
      </c>
      <c r="HR16" s="55" t="e">
        <f t="shared" si="748"/>
        <v>#N/A</v>
      </c>
      <c r="HS16" s="55" t="e">
        <f t="shared" si="749"/>
        <v>#N/A</v>
      </c>
      <c r="HT16" s="55" t="e">
        <f t="shared" si="750"/>
        <v>#N/A</v>
      </c>
      <c r="HU16" s="55" t="e">
        <f t="shared" si="751"/>
        <v>#N/A</v>
      </c>
      <c r="HV16" s="55" t="e">
        <f t="shared" si="752"/>
        <v>#N/A</v>
      </c>
      <c r="HW16" s="55" t="e">
        <f t="shared" si="753"/>
        <v>#N/A</v>
      </c>
      <c r="HX16" s="55" t="e">
        <f t="shared" si="754"/>
        <v>#N/A</v>
      </c>
      <c r="HY16" s="55" t="e">
        <f t="shared" si="755"/>
        <v>#N/A</v>
      </c>
      <c r="HZ16" s="55" t="e">
        <f t="shared" si="756"/>
        <v>#N/A</v>
      </c>
      <c r="IA16" s="55" t="e">
        <f t="shared" si="757"/>
        <v>#N/A</v>
      </c>
      <c r="IB16" s="55" t="e">
        <f t="shared" si="758"/>
        <v>#N/A</v>
      </c>
      <c r="IC16" s="55" t="e">
        <f t="shared" si="759"/>
        <v>#N/A</v>
      </c>
      <c r="ID16" s="55" t="e">
        <f t="shared" si="760"/>
        <v>#N/A</v>
      </c>
      <c r="IE16" s="55" t="e">
        <f t="shared" si="761"/>
        <v>#N/A</v>
      </c>
      <c r="IF16" s="55" t="e">
        <f t="shared" si="762"/>
        <v>#N/A</v>
      </c>
      <c r="IG16" s="55" t="e">
        <f t="shared" si="763"/>
        <v>#N/A</v>
      </c>
      <c r="IH16" s="55" t="e">
        <f t="shared" si="764"/>
        <v>#N/A</v>
      </c>
      <c r="II16" s="55" t="e">
        <f t="shared" si="765"/>
        <v>#N/A</v>
      </c>
      <c r="IJ16" s="55" t="e">
        <f t="shared" si="766"/>
        <v>#N/A</v>
      </c>
      <c r="IK16" s="55" t="e">
        <f t="shared" si="767"/>
        <v>#N/A</v>
      </c>
      <c r="IL16" s="55" t="e">
        <f t="shared" si="768"/>
        <v>#N/A</v>
      </c>
      <c r="IM16" s="55" t="e">
        <f t="shared" si="769"/>
        <v>#N/A</v>
      </c>
      <c r="IN16" s="55" t="e">
        <f t="shared" si="770"/>
        <v>#N/A</v>
      </c>
      <c r="IO16" s="55" t="e">
        <f t="shared" si="771"/>
        <v>#N/A</v>
      </c>
      <c r="IP16" s="55" t="e">
        <f t="shared" si="772"/>
        <v>#N/A</v>
      </c>
      <c r="IQ16" s="55" t="e">
        <f t="shared" si="773"/>
        <v>#N/A</v>
      </c>
      <c r="IR16" s="55" t="e">
        <f t="shared" si="774"/>
        <v>#N/A</v>
      </c>
      <c r="IS16" s="55" t="e">
        <f t="shared" si="775"/>
        <v>#N/A</v>
      </c>
      <c r="IT16" s="55" t="e">
        <f t="shared" si="776"/>
        <v>#N/A</v>
      </c>
      <c r="IU16" s="55" t="e">
        <f t="shared" si="777"/>
        <v>#N/A</v>
      </c>
      <c r="IV16" s="55" t="e">
        <f t="shared" si="778"/>
        <v>#N/A</v>
      </c>
      <c r="IW16" s="55" t="e">
        <f t="shared" si="779"/>
        <v>#N/A</v>
      </c>
      <c r="IX16" s="55" t="e">
        <f t="shared" si="780"/>
        <v>#N/A</v>
      </c>
      <c r="IY16" s="55" t="e">
        <f t="shared" si="781"/>
        <v>#N/A</v>
      </c>
      <c r="IZ16" s="55" t="e">
        <f t="shared" si="782"/>
        <v>#N/A</v>
      </c>
      <c r="JA16" s="55" t="e">
        <f t="shared" si="783"/>
        <v>#N/A</v>
      </c>
      <c r="JB16" s="55" t="e">
        <f t="shared" si="784"/>
        <v>#N/A</v>
      </c>
      <c r="JC16" s="55" t="e">
        <f t="shared" si="785"/>
        <v>#N/A</v>
      </c>
      <c r="JD16" s="55" t="e">
        <f t="shared" si="786"/>
        <v>#N/A</v>
      </c>
      <c r="JE16" s="55" t="e">
        <f t="shared" si="787"/>
        <v>#N/A</v>
      </c>
      <c r="JF16" s="55" t="e">
        <f t="shared" si="788"/>
        <v>#N/A</v>
      </c>
      <c r="JG16" s="55" t="e">
        <f t="shared" si="789"/>
        <v>#N/A</v>
      </c>
      <c r="JH16" s="55" t="e">
        <f t="shared" si="790"/>
        <v>#N/A</v>
      </c>
      <c r="JI16" s="55" t="e">
        <f t="shared" si="791"/>
        <v>#N/A</v>
      </c>
      <c r="JJ16" s="55" t="e">
        <f t="shared" si="792"/>
        <v>#N/A</v>
      </c>
      <c r="JK16" s="55" t="e">
        <f t="shared" si="793"/>
        <v>#N/A</v>
      </c>
      <c r="JM16" s="59" t="e">
        <f t="shared" si="794"/>
        <v>#N/A</v>
      </c>
      <c r="JN16" s="50">
        <v>14</v>
      </c>
      <c r="JO16" s="55" t="e">
        <f>HLOOKUP(JM16,HC$2:JK16,2+JN15,0)+IF(S16&gt;0,S16,0)-IF(KE16&gt;0,KE16,0)</f>
        <v>#N/A</v>
      </c>
      <c r="JP16" s="55" t="e">
        <f t="shared" si="795"/>
        <v>#N/A</v>
      </c>
      <c r="JQ16" s="51"/>
      <c r="JR16" s="60"/>
      <c r="JS16" s="56">
        <f t="shared" si="796"/>
        <v>0</v>
      </c>
      <c r="JT16" s="55" t="e">
        <f t="shared" si="797"/>
        <v>#N/A</v>
      </c>
      <c r="JU16" s="61">
        <f t="shared" ca="1" si="20"/>
        <v>46161</v>
      </c>
      <c r="JV16" s="56" t="e">
        <f t="shared" si="798"/>
        <v>#N/A</v>
      </c>
      <c r="JW16" s="56"/>
      <c r="JX16" s="56"/>
      <c r="JY16" s="56">
        <f t="shared" si="799"/>
        <v>0</v>
      </c>
      <c r="JZ16" s="62" t="e">
        <f t="shared" si="800"/>
        <v>#N/A</v>
      </c>
      <c r="KA16" s="62" t="e">
        <f t="shared" si="801"/>
        <v>#N/A</v>
      </c>
      <c r="KB16" s="62" t="e">
        <f t="shared" si="802"/>
        <v>#N/A</v>
      </c>
      <c r="KC16" s="62" t="e">
        <f t="shared" si="803"/>
        <v>#N/A</v>
      </c>
      <c r="KD16" s="55" t="e">
        <f t="shared" si="804"/>
        <v>#N/A</v>
      </c>
      <c r="KE16" s="56" t="e">
        <f t="shared" si="805"/>
        <v>#N/A</v>
      </c>
    </row>
    <row r="17" spans="1:291" s="65" customFormat="1" x14ac:dyDescent="0.3">
      <c r="A17" s="65" t="s">
        <v>58</v>
      </c>
      <c r="B17" s="63"/>
      <c r="C17" s="65" t="e">
        <f>VLOOKUP(B17,DD!A:B,2,0)</f>
        <v>#N/A</v>
      </c>
      <c r="D17" s="65" t="e">
        <f>VLOOKUP(B17,DD!A:K,11,0)</f>
        <v>#N/A</v>
      </c>
      <c r="E17" s="65" t="e">
        <f>VLOOKUP(B17,DD!A:L,12,0)</f>
        <v>#N/A</v>
      </c>
      <c r="F17" s="67" t="e">
        <f>VLOOKUP(B17,DD!A:D,4,0)</f>
        <v>#N/A</v>
      </c>
      <c r="G17" s="68">
        <v>1</v>
      </c>
      <c r="H17" s="69" t="e">
        <f>VLOOKUP(B17,DD!A:E,5,0)</f>
        <v>#N/A</v>
      </c>
      <c r="I17" s="69" t="e">
        <f t="shared" si="601"/>
        <v>#N/A</v>
      </c>
      <c r="J17" s="69" t="e">
        <f>VLOOKUP(B17,DD!A:F,6,0)</f>
        <v>#N/A</v>
      </c>
      <c r="K17" s="69" t="e">
        <f>VLOOKUP(B17,DD!A:H,8,0)</f>
        <v>#N/A</v>
      </c>
      <c r="L17" s="69" t="e">
        <f>VLOOKUP(B17,DD!A:I,9,0)</f>
        <v>#N/A</v>
      </c>
      <c r="M17" s="69" t="e">
        <f>VLOOKUP(B17,DD!A:J,10,0)</f>
        <v>#N/A</v>
      </c>
      <c r="N17" s="69" t="s">
        <v>8</v>
      </c>
      <c r="O17" s="69" t="s">
        <v>9</v>
      </c>
      <c r="P17" s="70" t="e">
        <f>VLOOKUP(B17,DD!A:C,3,0)</f>
        <v>#N/A</v>
      </c>
      <c r="Q17" s="71" t="e">
        <f t="shared" si="602"/>
        <v>#N/A</v>
      </c>
      <c r="R17" s="71" t="e">
        <f t="shared" si="603"/>
        <v>#N/A</v>
      </c>
      <c r="S17" s="71" t="e">
        <f t="shared" si="604"/>
        <v>#N/A</v>
      </c>
      <c r="T17" s="72" t="e">
        <f t="shared" si="605"/>
        <v>#N/A</v>
      </c>
      <c r="U17" s="71" t="e">
        <f t="shared" si="606"/>
        <v>#N/A</v>
      </c>
      <c r="V17" s="72" t="e">
        <f t="shared" si="607"/>
        <v>#N/A</v>
      </c>
      <c r="W17" s="73" t="e">
        <f t="shared" si="608"/>
        <v>#N/A</v>
      </c>
      <c r="X17" s="74" t="e">
        <f t="shared" si="609"/>
        <v>#VALUE!</v>
      </c>
      <c r="Y17" s="72" t="e">
        <f t="shared" si="610"/>
        <v>#N/A</v>
      </c>
      <c r="Z17" s="73" t="e">
        <f t="shared" si="806"/>
        <v>#N/A</v>
      </c>
      <c r="AA17" s="73" t="e">
        <f t="shared" si="806"/>
        <v>#N/A</v>
      </c>
      <c r="AB17" s="73" t="e">
        <f t="shared" si="806"/>
        <v>#N/A</v>
      </c>
      <c r="AC17" s="73" t="e">
        <f t="shared" si="806"/>
        <v>#N/A</v>
      </c>
      <c r="AD17" s="73" t="e">
        <f t="shared" si="806"/>
        <v>#N/A</v>
      </c>
      <c r="AE17" s="73" t="e">
        <f t="shared" si="806"/>
        <v>#N/A</v>
      </c>
      <c r="AF17" s="73" t="e">
        <f t="shared" si="806"/>
        <v>#N/A</v>
      </c>
      <c r="AG17" s="73" t="e">
        <f t="shared" si="806"/>
        <v>#N/A</v>
      </c>
      <c r="AH17" s="73" t="e">
        <f t="shared" si="806"/>
        <v>#N/A</v>
      </c>
      <c r="AI17" s="73" t="e">
        <f t="shared" si="806"/>
        <v>#N/A</v>
      </c>
      <c r="AJ17" s="73" t="e">
        <f t="shared" si="806"/>
        <v>#N/A</v>
      </c>
      <c r="AK17" s="73" t="e">
        <f t="shared" si="806"/>
        <v>#N/A</v>
      </c>
      <c r="AL17" s="73" t="e">
        <f t="shared" si="806"/>
        <v>#N/A</v>
      </c>
      <c r="AM17" s="73" t="e">
        <f t="shared" si="806"/>
        <v>#N/A</v>
      </c>
      <c r="AN17" s="73" t="e">
        <f t="shared" si="806"/>
        <v>#N/A</v>
      </c>
      <c r="AO17" s="73" t="e">
        <f t="shared" si="806"/>
        <v>#N/A</v>
      </c>
      <c r="AP17" s="73" t="e">
        <f t="shared" si="806"/>
        <v>#N/A</v>
      </c>
      <c r="AQ17" s="73" t="e">
        <f t="shared" si="806"/>
        <v>#N/A</v>
      </c>
      <c r="AR17" s="73" t="e">
        <f t="shared" si="806"/>
        <v>#N/A</v>
      </c>
      <c r="AS17" s="73" t="e">
        <f t="shared" si="806"/>
        <v>#N/A</v>
      </c>
      <c r="AT17" s="73" t="e">
        <f t="shared" si="806"/>
        <v>#N/A</v>
      </c>
      <c r="AU17" s="73" t="e">
        <f t="shared" si="806"/>
        <v>#N/A</v>
      </c>
      <c r="AV17" s="73" t="e">
        <f t="shared" si="806"/>
        <v>#N/A</v>
      </c>
      <c r="AW17" s="73" t="e">
        <f t="shared" si="806"/>
        <v>#N/A</v>
      </c>
      <c r="AX17" s="73" t="e">
        <f t="shared" si="806"/>
        <v>#N/A</v>
      </c>
      <c r="AY17" s="73" t="e">
        <f t="shared" si="806"/>
        <v>#N/A</v>
      </c>
      <c r="AZ17" s="73" t="e">
        <f t="shared" si="806"/>
        <v>#N/A</v>
      </c>
      <c r="BA17" s="73" t="e">
        <f t="shared" si="806"/>
        <v>#N/A</v>
      </c>
      <c r="BB17" s="73" t="e">
        <f t="shared" si="806"/>
        <v>#N/A</v>
      </c>
      <c r="BC17" s="73" t="e">
        <f t="shared" si="806"/>
        <v>#N/A</v>
      </c>
      <c r="BD17" s="73" t="e">
        <f t="shared" si="806"/>
        <v>#N/A</v>
      </c>
      <c r="BE17" s="73" t="e">
        <f t="shared" si="806"/>
        <v>#N/A</v>
      </c>
      <c r="BF17" s="73" t="e">
        <f t="shared" si="809"/>
        <v>#N/A</v>
      </c>
      <c r="BG17" s="73" t="e">
        <f t="shared" si="809"/>
        <v>#N/A</v>
      </c>
      <c r="BH17" s="73" t="e">
        <f t="shared" si="809"/>
        <v>#N/A</v>
      </c>
      <c r="BI17" s="73" t="e">
        <f t="shared" si="809"/>
        <v>#N/A</v>
      </c>
      <c r="BJ17" s="73" t="e">
        <f t="shared" si="809"/>
        <v>#N/A</v>
      </c>
      <c r="BK17" s="73" t="e">
        <f t="shared" si="809"/>
        <v>#N/A</v>
      </c>
      <c r="BL17" s="73" t="e">
        <f t="shared" si="809"/>
        <v>#N/A</v>
      </c>
      <c r="BM17" s="73" t="e">
        <f t="shared" si="809"/>
        <v>#N/A</v>
      </c>
      <c r="BN17" s="73" t="e">
        <f t="shared" si="809"/>
        <v>#N/A</v>
      </c>
      <c r="BO17" s="73" t="e">
        <f t="shared" si="809"/>
        <v>#N/A</v>
      </c>
      <c r="BP17" s="73" t="e">
        <f t="shared" si="809"/>
        <v>#N/A</v>
      </c>
      <c r="BQ17" s="73" t="e">
        <f t="shared" si="809"/>
        <v>#N/A</v>
      </c>
      <c r="BR17" s="73" t="e">
        <f t="shared" si="809"/>
        <v>#N/A</v>
      </c>
      <c r="BS17" s="73" t="e">
        <f t="shared" si="809"/>
        <v>#N/A</v>
      </c>
      <c r="BT17" s="73" t="e">
        <f t="shared" si="809"/>
        <v>#N/A</v>
      </c>
      <c r="BU17" s="73" t="e">
        <f t="shared" si="809"/>
        <v>#N/A</v>
      </c>
      <c r="BV17" s="73" t="e">
        <f t="shared" si="807"/>
        <v>#N/A</v>
      </c>
      <c r="BW17" s="73" t="e">
        <f t="shared" si="807"/>
        <v>#N/A</v>
      </c>
      <c r="BX17" s="73" t="e">
        <f t="shared" si="807"/>
        <v>#N/A</v>
      </c>
      <c r="BY17" s="73" t="e">
        <f t="shared" si="808"/>
        <v>#N/A</v>
      </c>
      <c r="BZ17" s="73" t="e">
        <f t="shared" si="808"/>
        <v>#N/A</v>
      </c>
      <c r="CA17" s="73" t="e">
        <f t="shared" si="808"/>
        <v>#N/A</v>
      </c>
      <c r="CB17" s="73" t="e">
        <f t="shared" si="808"/>
        <v>#N/A</v>
      </c>
      <c r="CC17" s="73" t="e">
        <f t="shared" si="808"/>
        <v>#N/A</v>
      </c>
      <c r="CD17" s="73" t="e">
        <f t="shared" si="808"/>
        <v>#N/A</v>
      </c>
      <c r="CE17" s="73" t="e">
        <f t="shared" si="808"/>
        <v>#N/A</v>
      </c>
      <c r="CF17" s="73" t="e">
        <f t="shared" si="808"/>
        <v>#N/A</v>
      </c>
      <c r="CG17" s="73" t="e">
        <f t="shared" si="808"/>
        <v>#N/A</v>
      </c>
      <c r="CH17" s="72" t="e">
        <f t="shared" si="611"/>
        <v>#N/A</v>
      </c>
      <c r="CI17" s="71" t="e">
        <f t="shared" si="612"/>
        <v>#N/A</v>
      </c>
      <c r="CJ17" s="71"/>
      <c r="CK17" s="71" t="e">
        <f t="shared" si="613"/>
        <v>#N/A</v>
      </c>
      <c r="CL17" s="71" t="e">
        <f t="shared" si="614"/>
        <v>#N/A</v>
      </c>
      <c r="CM17" s="71" t="e">
        <f t="shared" si="615"/>
        <v>#N/A</v>
      </c>
      <c r="CN17" s="71" t="e">
        <f t="shared" si="616"/>
        <v>#N/A</v>
      </c>
      <c r="CO17" s="71" t="e">
        <f t="shared" si="617"/>
        <v>#N/A</v>
      </c>
      <c r="CP17" s="71" t="e">
        <f t="shared" si="618"/>
        <v>#N/A</v>
      </c>
      <c r="CQ17" s="71" t="e">
        <f t="shared" si="619"/>
        <v>#N/A</v>
      </c>
      <c r="CR17" s="71" t="e">
        <f t="shared" si="620"/>
        <v>#N/A</v>
      </c>
      <c r="CS17" s="71" t="e">
        <f t="shared" si="621"/>
        <v>#N/A</v>
      </c>
      <c r="CT17" s="71" t="e">
        <f t="shared" si="622"/>
        <v>#N/A</v>
      </c>
      <c r="CU17" s="71" t="e">
        <f t="shared" si="623"/>
        <v>#N/A</v>
      </c>
      <c r="CV17" s="71" t="e">
        <f t="shared" si="624"/>
        <v>#N/A</v>
      </c>
      <c r="CW17" s="71" t="e">
        <f t="shared" si="625"/>
        <v>#N/A</v>
      </c>
      <c r="CX17" s="71" t="e">
        <f t="shared" si="626"/>
        <v>#N/A</v>
      </c>
      <c r="CY17" s="71" t="e">
        <f t="shared" si="627"/>
        <v>#N/A</v>
      </c>
      <c r="CZ17" s="71" t="e">
        <f t="shared" si="628"/>
        <v>#N/A</v>
      </c>
      <c r="DA17" s="71" t="e">
        <f t="shared" si="629"/>
        <v>#N/A</v>
      </c>
      <c r="DB17" s="71" t="e">
        <f t="shared" si="630"/>
        <v>#N/A</v>
      </c>
      <c r="DC17" s="71" t="e">
        <f t="shared" si="631"/>
        <v>#N/A</v>
      </c>
      <c r="DD17" s="71" t="e">
        <f t="shared" si="632"/>
        <v>#N/A</v>
      </c>
      <c r="DE17" s="71" t="e">
        <f t="shared" si="633"/>
        <v>#N/A</v>
      </c>
      <c r="DF17" s="71" t="e">
        <f t="shared" si="634"/>
        <v>#N/A</v>
      </c>
      <c r="DG17" s="71" t="e">
        <f t="shared" si="635"/>
        <v>#N/A</v>
      </c>
      <c r="DH17" s="71" t="e">
        <f t="shared" si="636"/>
        <v>#N/A</v>
      </c>
      <c r="DI17" s="71" t="e">
        <f t="shared" si="637"/>
        <v>#N/A</v>
      </c>
      <c r="DJ17" s="71" t="e">
        <f t="shared" si="638"/>
        <v>#N/A</v>
      </c>
      <c r="DK17" s="71" t="e">
        <f t="shared" si="639"/>
        <v>#N/A</v>
      </c>
      <c r="DL17" s="71" t="e">
        <f t="shared" si="640"/>
        <v>#N/A</v>
      </c>
      <c r="DM17" s="71" t="e">
        <f t="shared" si="641"/>
        <v>#N/A</v>
      </c>
      <c r="DN17" s="71" t="e">
        <f t="shared" si="642"/>
        <v>#N/A</v>
      </c>
      <c r="DO17" s="71" t="e">
        <f t="shared" si="643"/>
        <v>#N/A</v>
      </c>
      <c r="DP17" s="71" t="e">
        <f t="shared" si="644"/>
        <v>#N/A</v>
      </c>
      <c r="DQ17" s="71" t="e">
        <f t="shared" si="645"/>
        <v>#N/A</v>
      </c>
      <c r="DR17" s="71" t="e">
        <f t="shared" si="646"/>
        <v>#N/A</v>
      </c>
      <c r="DS17" s="71" t="e">
        <f t="shared" si="647"/>
        <v>#N/A</v>
      </c>
      <c r="DT17" s="71" t="e">
        <f t="shared" si="648"/>
        <v>#N/A</v>
      </c>
      <c r="DU17" s="71" t="e">
        <f t="shared" si="649"/>
        <v>#N/A</v>
      </c>
      <c r="DV17" s="71" t="e">
        <f t="shared" si="650"/>
        <v>#N/A</v>
      </c>
      <c r="DW17" s="71" t="e">
        <f t="shared" si="651"/>
        <v>#N/A</v>
      </c>
      <c r="DX17" s="71" t="e">
        <f t="shared" si="652"/>
        <v>#N/A</v>
      </c>
      <c r="DY17" s="71" t="e">
        <f t="shared" si="653"/>
        <v>#N/A</v>
      </c>
      <c r="DZ17" s="71" t="e">
        <f t="shared" si="654"/>
        <v>#N/A</v>
      </c>
      <c r="EA17" s="71" t="e">
        <f t="shared" si="655"/>
        <v>#N/A</v>
      </c>
      <c r="EB17" s="71" t="e">
        <f t="shared" si="656"/>
        <v>#N/A</v>
      </c>
      <c r="EC17" s="71" t="e">
        <f t="shared" si="657"/>
        <v>#N/A</v>
      </c>
      <c r="ED17" s="71" t="e">
        <f t="shared" si="658"/>
        <v>#N/A</v>
      </c>
      <c r="EE17" s="71" t="e">
        <f t="shared" si="659"/>
        <v>#N/A</v>
      </c>
      <c r="EF17" s="71" t="e">
        <f t="shared" si="660"/>
        <v>#N/A</v>
      </c>
      <c r="EG17" s="71" t="e">
        <f t="shared" si="661"/>
        <v>#N/A</v>
      </c>
      <c r="EH17" s="71" t="e">
        <f t="shared" si="662"/>
        <v>#N/A</v>
      </c>
      <c r="EI17" s="71" t="e">
        <f t="shared" si="663"/>
        <v>#N/A</v>
      </c>
      <c r="EJ17" s="71" t="e">
        <f t="shared" si="664"/>
        <v>#N/A</v>
      </c>
      <c r="EK17" s="71" t="e">
        <f t="shared" si="665"/>
        <v>#N/A</v>
      </c>
      <c r="EL17" s="71" t="e">
        <f t="shared" si="666"/>
        <v>#N/A</v>
      </c>
      <c r="EM17" s="71" t="e">
        <f t="shared" si="667"/>
        <v>#N/A</v>
      </c>
      <c r="EN17" s="71" t="e">
        <f t="shared" si="668"/>
        <v>#N/A</v>
      </c>
      <c r="EO17" s="71" t="e">
        <f t="shared" si="669"/>
        <v>#N/A</v>
      </c>
      <c r="EP17" s="71" t="e">
        <f t="shared" si="670"/>
        <v>#N/A</v>
      </c>
      <c r="EQ17" s="71" t="e">
        <f t="shared" si="671"/>
        <v>#N/A</v>
      </c>
      <c r="ER17" s="71" t="e">
        <f t="shared" si="672"/>
        <v>#N/A</v>
      </c>
      <c r="ET17" s="71" t="e">
        <f t="shared" si="673"/>
        <v>#N/A</v>
      </c>
      <c r="EU17" s="71" t="e">
        <f t="shared" si="674"/>
        <v>#N/A</v>
      </c>
      <c r="EV17" s="71" t="e">
        <f t="shared" si="675"/>
        <v>#N/A</v>
      </c>
      <c r="EW17" s="71" t="e">
        <f t="shared" si="676"/>
        <v>#N/A</v>
      </c>
      <c r="EX17" s="71" t="e">
        <f t="shared" si="677"/>
        <v>#N/A</v>
      </c>
      <c r="EY17" s="71" t="e">
        <f t="shared" si="678"/>
        <v>#N/A</v>
      </c>
      <c r="EZ17" s="71" t="e">
        <f t="shared" si="679"/>
        <v>#N/A</v>
      </c>
      <c r="FA17" s="71" t="e">
        <f t="shared" si="680"/>
        <v>#N/A</v>
      </c>
      <c r="FB17" s="71" t="e">
        <f t="shared" si="681"/>
        <v>#N/A</v>
      </c>
      <c r="FC17" s="71" t="e">
        <f t="shared" si="682"/>
        <v>#N/A</v>
      </c>
      <c r="FD17" s="71" t="e">
        <f t="shared" si="683"/>
        <v>#N/A</v>
      </c>
      <c r="FE17" s="71" t="e">
        <f t="shared" si="684"/>
        <v>#N/A</v>
      </c>
      <c r="FF17" s="71" t="e">
        <f t="shared" si="685"/>
        <v>#N/A</v>
      </c>
      <c r="FG17" s="71" t="e">
        <f t="shared" si="686"/>
        <v>#N/A</v>
      </c>
      <c r="FH17" s="71" t="e">
        <f t="shared" si="687"/>
        <v>#N/A</v>
      </c>
      <c r="FI17" s="71" t="e">
        <f t="shared" si="688"/>
        <v>#N/A</v>
      </c>
      <c r="FJ17" s="71" t="e">
        <f t="shared" si="689"/>
        <v>#N/A</v>
      </c>
      <c r="FK17" s="71" t="e">
        <f t="shared" si="690"/>
        <v>#N/A</v>
      </c>
      <c r="FL17" s="71" t="e">
        <f t="shared" si="691"/>
        <v>#N/A</v>
      </c>
      <c r="FM17" s="71" t="e">
        <f t="shared" si="692"/>
        <v>#N/A</v>
      </c>
      <c r="FN17" s="71" t="e">
        <f t="shared" si="693"/>
        <v>#N/A</v>
      </c>
      <c r="FO17" s="71" t="e">
        <f t="shared" si="694"/>
        <v>#N/A</v>
      </c>
      <c r="FP17" s="71" t="e">
        <f t="shared" si="695"/>
        <v>#N/A</v>
      </c>
      <c r="FQ17" s="71" t="e">
        <f t="shared" si="696"/>
        <v>#N/A</v>
      </c>
      <c r="FR17" s="71" t="e">
        <f t="shared" si="697"/>
        <v>#N/A</v>
      </c>
      <c r="FS17" s="71" t="e">
        <f t="shared" si="698"/>
        <v>#N/A</v>
      </c>
      <c r="FT17" s="71" t="e">
        <f t="shared" si="699"/>
        <v>#N/A</v>
      </c>
      <c r="FU17" s="71" t="e">
        <f t="shared" si="700"/>
        <v>#N/A</v>
      </c>
      <c r="FV17" s="71" t="e">
        <f t="shared" si="701"/>
        <v>#N/A</v>
      </c>
      <c r="FW17" s="71" t="e">
        <f t="shared" si="702"/>
        <v>#N/A</v>
      </c>
      <c r="FX17" s="71" t="e">
        <f t="shared" si="703"/>
        <v>#N/A</v>
      </c>
      <c r="FY17" s="71" t="e">
        <f t="shared" si="704"/>
        <v>#N/A</v>
      </c>
      <c r="FZ17" s="71" t="e">
        <f t="shared" si="705"/>
        <v>#N/A</v>
      </c>
      <c r="GA17" s="71" t="e">
        <f t="shared" si="706"/>
        <v>#N/A</v>
      </c>
      <c r="GB17" s="71" t="e">
        <f t="shared" si="707"/>
        <v>#N/A</v>
      </c>
      <c r="GC17" s="71" t="e">
        <f t="shared" si="708"/>
        <v>#N/A</v>
      </c>
      <c r="GD17" s="71" t="e">
        <f t="shared" si="709"/>
        <v>#N/A</v>
      </c>
      <c r="GE17" s="71" t="e">
        <f t="shared" si="710"/>
        <v>#N/A</v>
      </c>
      <c r="GF17" s="71" t="e">
        <f t="shared" si="711"/>
        <v>#N/A</v>
      </c>
      <c r="GG17" s="71" t="e">
        <f t="shared" si="712"/>
        <v>#N/A</v>
      </c>
      <c r="GH17" s="71" t="e">
        <f t="shared" si="713"/>
        <v>#N/A</v>
      </c>
      <c r="GI17" s="71" t="e">
        <f t="shared" si="714"/>
        <v>#N/A</v>
      </c>
      <c r="GJ17" s="71" t="e">
        <f t="shared" si="715"/>
        <v>#N/A</v>
      </c>
      <c r="GK17" s="71" t="e">
        <f t="shared" si="716"/>
        <v>#N/A</v>
      </c>
      <c r="GL17" s="71" t="e">
        <f t="shared" si="717"/>
        <v>#N/A</v>
      </c>
      <c r="GM17" s="71" t="e">
        <f t="shared" si="718"/>
        <v>#N/A</v>
      </c>
      <c r="GN17" s="71" t="e">
        <f t="shared" si="719"/>
        <v>#N/A</v>
      </c>
      <c r="GO17" s="71" t="e">
        <f t="shared" si="720"/>
        <v>#N/A</v>
      </c>
      <c r="GP17" s="71" t="e">
        <f t="shared" si="721"/>
        <v>#N/A</v>
      </c>
      <c r="GQ17" s="71" t="e">
        <f t="shared" si="722"/>
        <v>#N/A</v>
      </c>
      <c r="GR17" s="71" t="e">
        <f t="shared" si="723"/>
        <v>#N/A</v>
      </c>
      <c r="GS17" s="71" t="e">
        <f t="shared" si="724"/>
        <v>#N/A</v>
      </c>
      <c r="GT17" s="71" t="e">
        <f t="shared" si="725"/>
        <v>#N/A</v>
      </c>
      <c r="GU17" s="71" t="e">
        <f t="shared" si="726"/>
        <v>#N/A</v>
      </c>
      <c r="GV17" s="71" t="e">
        <f t="shared" si="727"/>
        <v>#N/A</v>
      </c>
      <c r="GW17" s="71" t="e">
        <f t="shared" si="728"/>
        <v>#N/A</v>
      </c>
      <c r="GX17" s="71" t="e">
        <f t="shared" si="729"/>
        <v>#N/A</v>
      </c>
      <c r="GY17" s="71" t="e">
        <f t="shared" si="730"/>
        <v>#N/A</v>
      </c>
      <c r="GZ17" s="71" t="e">
        <f t="shared" si="731"/>
        <v>#N/A</v>
      </c>
      <c r="HA17" s="71" t="e">
        <f t="shared" si="732"/>
        <v>#N/A</v>
      </c>
      <c r="HC17" s="72" t="e">
        <f t="shared" si="733"/>
        <v>#N/A</v>
      </c>
      <c r="HD17" s="71" t="e">
        <f t="shared" si="734"/>
        <v>#N/A</v>
      </c>
      <c r="HE17" s="71" t="e">
        <f t="shared" si="735"/>
        <v>#N/A</v>
      </c>
      <c r="HF17" s="71" t="e">
        <f t="shared" si="736"/>
        <v>#N/A</v>
      </c>
      <c r="HG17" s="71" t="e">
        <f t="shared" si="737"/>
        <v>#N/A</v>
      </c>
      <c r="HH17" s="71" t="e">
        <f t="shared" si="738"/>
        <v>#N/A</v>
      </c>
      <c r="HI17" s="71" t="e">
        <f t="shared" si="739"/>
        <v>#N/A</v>
      </c>
      <c r="HJ17" s="71" t="e">
        <f t="shared" si="740"/>
        <v>#N/A</v>
      </c>
      <c r="HK17" s="71" t="e">
        <f t="shared" si="741"/>
        <v>#N/A</v>
      </c>
      <c r="HL17" s="71" t="e">
        <f t="shared" si="742"/>
        <v>#N/A</v>
      </c>
      <c r="HM17" s="71" t="e">
        <f t="shared" si="743"/>
        <v>#N/A</v>
      </c>
      <c r="HN17" s="71" t="e">
        <f t="shared" si="744"/>
        <v>#N/A</v>
      </c>
      <c r="HO17" s="71" t="e">
        <f t="shared" si="745"/>
        <v>#N/A</v>
      </c>
      <c r="HP17" s="71" t="e">
        <f t="shared" si="746"/>
        <v>#N/A</v>
      </c>
      <c r="HQ17" s="71" t="e">
        <f t="shared" si="747"/>
        <v>#N/A</v>
      </c>
      <c r="HR17" s="71" t="e">
        <f t="shared" si="748"/>
        <v>#N/A</v>
      </c>
      <c r="HS17" s="71" t="e">
        <f t="shared" si="749"/>
        <v>#N/A</v>
      </c>
      <c r="HT17" s="71" t="e">
        <f t="shared" si="750"/>
        <v>#N/A</v>
      </c>
      <c r="HU17" s="71" t="e">
        <f t="shared" si="751"/>
        <v>#N/A</v>
      </c>
      <c r="HV17" s="71" t="e">
        <f t="shared" si="752"/>
        <v>#N/A</v>
      </c>
      <c r="HW17" s="71" t="e">
        <f t="shared" si="753"/>
        <v>#N/A</v>
      </c>
      <c r="HX17" s="71" t="e">
        <f t="shared" si="754"/>
        <v>#N/A</v>
      </c>
      <c r="HY17" s="71" t="e">
        <f t="shared" si="755"/>
        <v>#N/A</v>
      </c>
      <c r="HZ17" s="71" t="e">
        <f t="shared" si="756"/>
        <v>#N/A</v>
      </c>
      <c r="IA17" s="71" t="e">
        <f t="shared" si="757"/>
        <v>#N/A</v>
      </c>
      <c r="IB17" s="71" t="e">
        <f t="shared" si="758"/>
        <v>#N/A</v>
      </c>
      <c r="IC17" s="71" t="e">
        <f t="shared" si="759"/>
        <v>#N/A</v>
      </c>
      <c r="ID17" s="71" t="e">
        <f t="shared" si="760"/>
        <v>#N/A</v>
      </c>
      <c r="IE17" s="71" t="e">
        <f t="shared" si="761"/>
        <v>#N/A</v>
      </c>
      <c r="IF17" s="71" t="e">
        <f t="shared" si="762"/>
        <v>#N/A</v>
      </c>
      <c r="IG17" s="71" t="e">
        <f t="shared" si="763"/>
        <v>#N/A</v>
      </c>
      <c r="IH17" s="71" t="e">
        <f t="shared" si="764"/>
        <v>#N/A</v>
      </c>
      <c r="II17" s="71" t="e">
        <f t="shared" si="765"/>
        <v>#N/A</v>
      </c>
      <c r="IJ17" s="71" t="e">
        <f t="shared" si="766"/>
        <v>#N/A</v>
      </c>
      <c r="IK17" s="71" t="e">
        <f t="shared" si="767"/>
        <v>#N/A</v>
      </c>
      <c r="IL17" s="71" t="e">
        <f t="shared" si="768"/>
        <v>#N/A</v>
      </c>
      <c r="IM17" s="71" t="e">
        <f t="shared" si="769"/>
        <v>#N/A</v>
      </c>
      <c r="IN17" s="71" t="e">
        <f t="shared" si="770"/>
        <v>#N/A</v>
      </c>
      <c r="IO17" s="71" t="e">
        <f t="shared" si="771"/>
        <v>#N/A</v>
      </c>
      <c r="IP17" s="71" t="e">
        <f t="shared" si="772"/>
        <v>#N/A</v>
      </c>
      <c r="IQ17" s="71" t="e">
        <f t="shared" si="773"/>
        <v>#N/A</v>
      </c>
      <c r="IR17" s="71" t="e">
        <f t="shared" si="774"/>
        <v>#N/A</v>
      </c>
      <c r="IS17" s="71" t="e">
        <f t="shared" si="775"/>
        <v>#N/A</v>
      </c>
      <c r="IT17" s="71" t="e">
        <f t="shared" si="776"/>
        <v>#N/A</v>
      </c>
      <c r="IU17" s="71" t="e">
        <f t="shared" si="777"/>
        <v>#N/A</v>
      </c>
      <c r="IV17" s="71" t="e">
        <f t="shared" si="778"/>
        <v>#N/A</v>
      </c>
      <c r="IW17" s="71" t="e">
        <f t="shared" si="779"/>
        <v>#N/A</v>
      </c>
      <c r="IX17" s="71" t="e">
        <f t="shared" si="780"/>
        <v>#N/A</v>
      </c>
      <c r="IY17" s="71" t="e">
        <f t="shared" si="781"/>
        <v>#N/A</v>
      </c>
      <c r="IZ17" s="71" t="e">
        <f t="shared" si="782"/>
        <v>#N/A</v>
      </c>
      <c r="JA17" s="71" t="e">
        <f t="shared" si="783"/>
        <v>#N/A</v>
      </c>
      <c r="JB17" s="71" t="e">
        <f t="shared" si="784"/>
        <v>#N/A</v>
      </c>
      <c r="JC17" s="71" t="e">
        <f t="shared" si="785"/>
        <v>#N/A</v>
      </c>
      <c r="JD17" s="71" t="e">
        <f t="shared" si="786"/>
        <v>#N/A</v>
      </c>
      <c r="JE17" s="71" t="e">
        <f t="shared" si="787"/>
        <v>#N/A</v>
      </c>
      <c r="JF17" s="71" t="e">
        <f t="shared" si="788"/>
        <v>#N/A</v>
      </c>
      <c r="JG17" s="71" t="e">
        <f t="shared" si="789"/>
        <v>#N/A</v>
      </c>
      <c r="JH17" s="71" t="e">
        <f t="shared" si="790"/>
        <v>#N/A</v>
      </c>
      <c r="JI17" s="71" t="e">
        <f t="shared" si="791"/>
        <v>#N/A</v>
      </c>
      <c r="JJ17" s="71" t="e">
        <f t="shared" si="792"/>
        <v>#N/A</v>
      </c>
      <c r="JK17" s="71" t="e">
        <f t="shared" si="793"/>
        <v>#N/A</v>
      </c>
      <c r="JM17" s="75" t="e">
        <f t="shared" si="794"/>
        <v>#N/A</v>
      </c>
      <c r="JN17" s="65">
        <v>15</v>
      </c>
      <c r="JO17" s="71" t="e">
        <f>HLOOKUP(JM17,HC$2:JK17,2+JN16,0)+IF(S17&gt;0,S17,0)-IF(KE17&gt;0,KE17,0)</f>
        <v>#N/A</v>
      </c>
      <c r="JP17" s="71" t="e">
        <f t="shared" si="795"/>
        <v>#N/A</v>
      </c>
      <c r="JQ17" s="67"/>
      <c r="JR17" s="60"/>
      <c r="JS17" s="72">
        <f t="shared" si="796"/>
        <v>0</v>
      </c>
      <c r="JT17" s="71" t="e">
        <f t="shared" si="797"/>
        <v>#N/A</v>
      </c>
      <c r="JU17" s="76">
        <f t="shared" ca="1" si="20"/>
        <v>46161</v>
      </c>
      <c r="JV17" s="72" t="e">
        <f t="shared" si="798"/>
        <v>#N/A</v>
      </c>
      <c r="JW17" s="72"/>
      <c r="JX17" s="72"/>
      <c r="JY17" s="72">
        <f t="shared" si="799"/>
        <v>0</v>
      </c>
      <c r="JZ17" s="77" t="e">
        <f t="shared" si="800"/>
        <v>#N/A</v>
      </c>
      <c r="KA17" s="77" t="e">
        <f t="shared" si="801"/>
        <v>#N/A</v>
      </c>
      <c r="KB17" s="77" t="e">
        <f t="shared" si="802"/>
        <v>#N/A</v>
      </c>
      <c r="KC17" s="77" t="e">
        <f t="shared" si="803"/>
        <v>#N/A</v>
      </c>
      <c r="KD17" s="71" t="e">
        <f t="shared" si="804"/>
        <v>#N/A</v>
      </c>
      <c r="KE17" s="72" t="e">
        <f t="shared" si="805"/>
        <v>#N/A</v>
      </c>
    </row>
    <row r="18" spans="1:291" ht="14.4" customHeight="1" x14ac:dyDescent="0.3">
      <c r="F18" s="17"/>
      <c r="G18" s="9"/>
      <c r="H18" s="3"/>
      <c r="I18" s="3"/>
      <c r="J18" s="3"/>
      <c r="K18" s="3"/>
      <c r="L18" s="3"/>
      <c r="M18" s="3"/>
      <c r="N18" s="3"/>
      <c r="O18" s="3"/>
      <c r="P18" s="4"/>
      <c r="Q18" s="5"/>
      <c r="R18" s="5"/>
      <c r="S18" s="5"/>
      <c r="T18" s="6"/>
      <c r="U18" s="5"/>
      <c r="V18" s="6"/>
      <c r="W18" s="7"/>
      <c r="X18" s="8"/>
      <c r="Y18" s="6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6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C18" s="6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M18" s="19"/>
      <c r="JO18" s="5"/>
      <c r="JP18" s="5"/>
      <c r="JQ18" s="17"/>
      <c r="JR18" s="17"/>
      <c r="JS18" s="6"/>
      <c r="JT18" s="5"/>
      <c r="JU18" s="13"/>
      <c r="JV18" s="6"/>
      <c r="JW18" s="6"/>
      <c r="JX18" s="6"/>
      <c r="JY18" s="6"/>
      <c r="JZ18" s="10"/>
      <c r="KA18" s="10"/>
      <c r="KB18" s="10"/>
      <c r="KC18" s="10"/>
      <c r="KD18" s="5"/>
      <c r="KE18" s="6"/>
    </row>
    <row r="19" spans="1:291" ht="14.4" customHeight="1" x14ac:dyDescent="0.3">
      <c r="F19" s="17"/>
      <c r="G19" s="9"/>
      <c r="H19" s="3"/>
      <c r="I19" s="3"/>
      <c r="J19" s="3"/>
      <c r="K19" s="3"/>
      <c r="L19" s="3"/>
      <c r="M19" s="3"/>
      <c r="N19" s="3"/>
      <c r="O19" s="3"/>
      <c r="P19" s="4"/>
      <c r="Q19" s="5"/>
      <c r="R19" s="5"/>
      <c r="S19" s="5"/>
      <c r="T19" s="6"/>
      <c r="U19" s="5"/>
      <c r="V19" s="6"/>
      <c r="W19" s="7"/>
      <c r="X19" s="8"/>
      <c r="Y19" s="6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6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C19" s="6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  <c r="JE19" s="5"/>
      <c r="JF19" s="5"/>
      <c r="JG19" s="5"/>
      <c r="JH19" s="5"/>
      <c r="JI19" s="5"/>
      <c r="JJ19" s="5"/>
      <c r="JK19" s="5"/>
      <c r="JM19" s="19"/>
      <c r="JO19" s="5"/>
      <c r="JP19" s="5"/>
      <c r="JQ19" s="17"/>
      <c r="JR19" s="17"/>
      <c r="JS19" s="6"/>
      <c r="JT19" s="5"/>
      <c r="JU19" s="13"/>
      <c r="JV19" s="6"/>
      <c r="JW19" s="6"/>
      <c r="JX19" s="6"/>
      <c r="JY19" s="6"/>
      <c r="JZ19" s="10"/>
      <c r="KA19" s="10"/>
      <c r="KB19" s="10"/>
      <c r="KC19" s="10"/>
      <c r="KD19" s="5"/>
      <c r="KE19" s="6"/>
    </row>
    <row r="20" spans="1:291" x14ac:dyDescent="0.3">
      <c r="F20" s="17"/>
      <c r="G20" s="9"/>
      <c r="H20" s="3"/>
      <c r="I20" s="3"/>
      <c r="J20" s="3"/>
      <c r="K20" s="3"/>
      <c r="L20" s="3"/>
      <c r="M20" s="3"/>
      <c r="N20" s="3"/>
      <c r="O20" s="3"/>
      <c r="P20" s="4"/>
      <c r="Q20" s="5"/>
      <c r="R20" s="5"/>
      <c r="S20" s="5"/>
      <c r="T20" s="6"/>
      <c r="U20" s="5"/>
      <c r="V20" s="6"/>
      <c r="W20" s="7"/>
      <c r="X20" s="8"/>
      <c r="Y20" s="6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6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C20" s="6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M20" s="19"/>
      <c r="JO20" s="5"/>
      <c r="JP20" s="5"/>
      <c r="JQ20" s="17"/>
      <c r="JR20" s="17"/>
      <c r="JS20" s="6"/>
      <c r="JT20" s="5"/>
      <c r="JU20" s="13"/>
      <c r="JV20" s="6"/>
      <c r="JW20" s="6"/>
      <c r="JX20" s="6"/>
      <c r="JY20" s="6"/>
      <c r="JZ20" s="10"/>
      <c r="KA20" s="10"/>
      <c r="KB20" s="10"/>
      <c r="KC20" s="10"/>
      <c r="KD20" s="5"/>
      <c r="KE20" s="6"/>
    </row>
    <row r="21" spans="1:291" ht="14.4" customHeight="1" x14ac:dyDescent="0.3">
      <c r="F21" s="17"/>
      <c r="G21" s="9"/>
      <c r="H21" s="3"/>
      <c r="I21" s="3"/>
      <c r="J21" s="3"/>
      <c r="K21" s="3"/>
      <c r="L21" s="3"/>
      <c r="M21" s="3"/>
      <c r="N21" s="3"/>
      <c r="O21" s="3"/>
      <c r="P21" s="4"/>
      <c r="Q21" s="5"/>
      <c r="R21" s="5"/>
      <c r="S21" s="5"/>
      <c r="T21" s="6"/>
      <c r="U21" s="5"/>
      <c r="V21" s="6"/>
      <c r="W21" s="7"/>
      <c r="X21" s="8"/>
      <c r="Y21" s="6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6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C21" s="6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M21" s="19"/>
      <c r="JO21" s="5"/>
      <c r="JP21" s="5"/>
      <c r="JQ21" s="17"/>
      <c r="JR21" s="17"/>
      <c r="JS21" s="6"/>
      <c r="JT21" s="5"/>
      <c r="JU21" s="13"/>
      <c r="JV21" s="6"/>
      <c r="JW21" s="6"/>
      <c r="JX21" s="6"/>
      <c r="JY21" s="6"/>
      <c r="JZ21" s="10"/>
      <c r="KA21" s="10"/>
      <c r="KB21" s="10"/>
      <c r="KC21" s="10"/>
      <c r="KD21" s="5"/>
      <c r="KE21" s="6"/>
    </row>
    <row r="22" spans="1:291" x14ac:dyDescent="0.3">
      <c r="F22" s="17"/>
      <c r="G22" s="9"/>
      <c r="H22" s="3"/>
      <c r="I22" s="3"/>
      <c r="J22" s="3"/>
      <c r="K22" s="3"/>
      <c r="L22" s="3"/>
      <c r="M22" s="3"/>
      <c r="N22" s="3"/>
      <c r="O22" s="3"/>
      <c r="P22" s="4"/>
      <c r="Q22" s="5"/>
      <c r="R22" s="5"/>
      <c r="S22" s="5"/>
      <c r="T22" s="6"/>
      <c r="U22" s="5"/>
      <c r="V22" s="6"/>
      <c r="W22" s="7"/>
      <c r="X22" s="8"/>
      <c r="Y22" s="6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6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C22" s="6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M22" s="19"/>
      <c r="JO22" s="5"/>
      <c r="JP22" s="5"/>
      <c r="JQ22" s="17"/>
      <c r="JR22" s="17"/>
      <c r="JS22" s="6"/>
      <c r="JT22" s="5"/>
      <c r="JU22" s="13"/>
      <c r="JV22" s="6"/>
      <c r="JW22" s="6"/>
      <c r="JX22" s="6"/>
      <c r="JY22" s="6"/>
      <c r="JZ22" s="10"/>
      <c r="KA22" s="10"/>
      <c r="KB22" s="10"/>
      <c r="KC22" s="10"/>
      <c r="KD22" s="5"/>
      <c r="KE22" s="6"/>
    </row>
    <row r="23" spans="1:291" x14ac:dyDescent="0.3">
      <c r="F23" s="17"/>
      <c r="G23" s="9"/>
      <c r="H23" s="3"/>
      <c r="I23" s="3"/>
      <c r="J23" s="3"/>
      <c r="K23" s="3"/>
      <c r="L23" s="3"/>
      <c r="M23" s="3"/>
      <c r="N23" s="3"/>
      <c r="O23" s="3"/>
      <c r="P23" s="4"/>
      <c r="Q23" s="5"/>
      <c r="R23" s="5"/>
      <c r="S23" s="5"/>
      <c r="T23" s="6"/>
      <c r="U23" s="5"/>
      <c r="V23" s="6"/>
      <c r="W23" s="7"/>
      <c r="X23" s="8"/>
      <c r="Y23" s="6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6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C23" s="6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M23" s="19"/>
      <c r="JO23" s="5"/>
      <c r="JP23" s="5"/>
      <c r="JQ23" s="17"/>
      <c r="JR23" s="48"/>
      <c r="JS23" s="6"/>
      <c r="JT23" s="5"/>
      <c r="JU23" s="13"/>
      <c r="JV23" s="6"/>
      <c r="JW23" s="6"/>
      <c r="JX23" s="6"/>
      <c r="JY23" s="6"/>
      <c r="JZ23" s="10"/>
      <c r="KA23" s="10"/>
      <c r="KB23" s="10"/>
      <c r="KC23" s="10"/>
      <c r="KD23" s="5"/>
      <c r="KE23" s="6"/>
    </row>
    <row r="24" spans="1:291" x14ac:dyDescent="0.3">
      <c r="F24" s="17"/>
      <c r="G24" s="9"/>
      <c r="H24" s="3"/>
      <c r="I24" s="3"/>
      <c r="J24" s="3"/>
      <c r="K24" s="3"/>
      <c r="L24" s="3"/>
      <c r="M24" s="3"/>
      <c r="N24" s="3"/>
      <c r="O24" s="3"/>
      <c r="P24" s="4"/>
      <c r="Q24" s="5"/>
      <c r="R24" s="5"/>
      <c r="S24" s="5"/>
      <c r="T24" s="6"/>
      <c r="U24" s="5"/>
      <c r="V24" s="6"/>
      <c r="W24" s="7"/>
      <c r="X24" s="8"/>
      <c r="Y24" s="6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6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C24" s="6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M24" s="19"/>
      <c r="JO24" s="5"/>
      <c r="JP24" s="5"/>
      <c r="JQ24" s="17"/>
      <c r="JR24" s="48"/>
      <c r="JS24" s="6"/>
      <c r="JT24" s="5"/>
      <c r="JU24" s="13"/>
      <c r="JV24" s="6"/>
      <c r="JW24" s="6"/>
      <c r="JX24" s="6"/>
      <c r="JY24" s="6"/>
      <c r="JZ24" s="10"/>
      <c r="KA24" s="10"/>
      <c r="KB24" s="10"/>
      <c r="KC24" s="10"/>
      <c r="KD24" s="5"/>
      <c r="KE24" s="6"/>
    </row>
    <row r="25" spans="1:291" x14ac:dyDescent="0.3">
      <c r="F25" s="17"/>
      <c r="G25" s="9"/>
      <c r="H25" s="3"/>
      <c r="I25" s="3"/>
      <c r="J25" s="3"/>
      <c r="K25" s="3"/>
      <c r="L25" s="3"/>
      <c r="M25" s="3"/>
      <c r="N25" s="3"/>
      <c r="O25" s="3"/>
      <c r="P25" s="4"/>
      <c r="Q25" s="5"/>
      <c r="R25" s="5"/>
      <c r="S25" s="5"/>
      <c r="T25" s="6"/>
      <c r="U25" s="5"/>
      <c r="V25" s="6"/>
      <c r="W25" s="7"/>
      <c r="X25" s="8"/>
      <c r="Y25" s="6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6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C25" s="6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M25" s="19"/>
      <c r="JO25" s="5"/>
      <c r="JP25" s="5"/>
      <c r="JQ25" s="17"/>
      <c r="JR25" s="49"/>
      <c r="JS25" s="6"/>
      <c r="JT25" s="5"/>
      <c r="JU25" s="13"/>
      <c r="JV25" s="6"/>
      <c r="JW25" s="6"/>
      <c r="JX25" s="6"/>
      <c r="JY25" s="6"/>
      <c r="JZ25" s="10"/>
      <c r="KA25" s="10"/>
      <c r="KB25" s="10"/>
      <c r="KC25" s="10"/>
      <c r="KD25" s="5"/>
      <c r="KE25" s="6"/>
    </row>
    <row r="26" spans="1:291" ht="14.4" customHeight="1" x14ac:dyDescent="0.3">
      <c r="F26" s="17"/>
      <c r="G26" s="9"/>
      <c r="H26" s="3"/>
      <c r="I26" s="3"/>
      <c r="J26" s="3"/>
      <c r="K26" s="3"/>
      <c r="L26" s="3"/>
      <c r="M26" s="3"/>
      <c r="N26" s="3"/>
      <c r="O26" s="3"/>
      <c r="P26" s="4"/>
      <c r="Q26" s="5"/>
      <c r="R26" s="5"/>
      <c r="S26" s="5"/>
      <c r="T26" s="6"/>
      <c r="U26" s="5"/>
      <c r="V26" s="6"/>
      <c r="W26" s="7"/>
      <c r="X26" s="8"/>
      <c r="Y26" s="6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6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C26" s="6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M26" s="19"/>
      <c r="JO26" s="5"/>
      <c r="JP26" s="5"/>
      <c r="JQ26" s="17"/>
      <c r="JR26" s="17"/>
      <c r="JS26" s="6"/>
      <c r="JT26" s="5"/>
      <c r="JU26" s="13"/>
      <c r="JV26" s="6"/>
      <c r="JW26" s="6"/>
      <c r="JX26" s="6"/>
      <c r="JY26" s="6"/>
      <c r="JZ26" s="10"/>
      <c r="KA26" s="10"/>
      <c r="KB26" s="10"/>
      <c r="KC26" s="10"/>
      <c r="KD26" s="5"/>
      <c r="KE26" s="6"/>
    </row>
    <row r="27" spans="1:291" ht="14.4" customHeight="1" x14ac:dyDescent="0.3">
      <c r="F27" s="17"/>
      <c r="G27" s="9"/>
      <c r="H27" s="3"/>
      <c r="I27" s="3"/>
      <c r="J27" s="3"/>
      <c r="K27" s="3"/>
      <c r="L27" s="3"/>
      <c r="M27" s="3"/>
      <c r="N27" s="3"/>
      <c r="O27" s="3"/>
      <c r="P27" s="4"/>
      <c r="Q27" s="5"/>
      <c r="R27" s="5"/>
      <c r="S27" s="5"/>
      <c r="T27" s="6"/>
      <c r="U27" s="5"/>
      <c r="V27" s="6"/>
      <c r="W27" s="7"/>
      <c r="X27" s="8"/>
      <c r="Y27" s="6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6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C27" s="6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M27" s="19"/>
      <c r="JO27" s="5"/>
      <c r="JP27" s="5"/>
      <c r="JQ27" s="17"/>
      <c r="JR27" s="17"/>
      <c r="JS27" s="6"/>
      <c r="JT27" s="5"/>
      <c r="JU27" s="13"/>
      <c r="JV27" s="6"/>
      <c r="JW27" s="6"/>
      <c r="JX27" s="6"/>
      <c r="JY27" s="6"/>
      <c r="JZ27" s="10"/>
      <c r="KA27" s="10"/>
      <c r="KB27" s="10"/>
      <c r="KC27" s="10"/>
      <c r="KD27" s="5"/>
      <c r="KE27" s="6"/>
    </row>
    <row r="28" spans="1:291" ht="14.4" customHeight="1" x14ac:dyDescent="0.3">
      <c r="F28" s="17"/>
      <c r="G28" s="9"/>
      <c r="H28" s="3"/>
      <c r="I28" s="3"/>
      <c r="J28" s="3"/>
      <c r="K28" s="3"/>
      <c r="L28" s="3"/>
      <c r="M28" s="3"/>
      <c r="N28" s="3"/>
      <c r="O28" s="3"/>
      <c r="P28" s="4"/>
      <c r="Q28" s="5"/>
      <c r="R28" s="5"/>
      <c r="S28" s="5"/>
      <c r="T28" s="6"/>
      <c r="U28" s="5"/>
      <c r="V28" s="6"/>
      <c r="W28" s="7"/>
      <c r="X28" s="8"/>
      <c r="Y28" s="6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6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C28" s="6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M28" s="19"/>
      <c r="JO28" s="5"/>
      <c r="JP28" s="5"/>
      <c r="JQ28" s="17"/>
      <c r="JR28" s="17"/>
      <c r="JS28" s="6"/>
      <c r="JT28" s="5"/>
      <c r="JU28" s="13"/>
      <c r="JV28" s="6"/>
      <c r="JW28" s="6"/>
      <c r="JX28" s="6"/>
      <c r="JY28" s="6"/>
      <c r="JZ28" s="10"/>
      <c r="KA28" s="10"/>
      <c r="KB28" s="10"/>
      <c r="KC28" s="10"/>
      <c r="KD28" s="5"/>
      <c r="KE28" s="6"/>
    </row>
    <row r="29" spans="1:291" x14ac:dyDescent="0.3">
      <c r="F29" s="17"/>
      <c r="G29" s="9"/>
      <c r="H29" s="3"/>
      <c r="I29" s="3"/>
      <c r="J29" s="3"/>
      <c r="K29" s="3"/>
      <c r="L29" s="3"/>
      <c r="M29" s="3"/>
      <c r="N29" s="3"/>
      <c r="O29" s="3"/>
      <c r="P29" s="4"/>
      <c r="Q29" s="5"/>
      <c r="R29" s="5"/>
      <c r="S29" s="5"/>
      <c r="T29" s="6"/>
      <c r="U29" s="5"/>
      <c r="V29" s="6"/>
      <c r="W29" s="7"/>
      <c r="X29" s="8"/>
      <c r="Y29" s="6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6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C29" s="6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M29" s="19"/>
      <c r="JO29" s="5"/>
      <c r="JP29" s="5"/>
      <c r="JQ29" s="17"/>
      <c r="JR29" s="17"/>
      <c r="JS29" s="6"/>
      <c r="JT29" s="5"/>
      <c r="JU29" s="13"/>
      <c r="JV29" s="6"/>
      <c r="JW29" s="6"/>
      <c r="JX29" s="6"/>
      <c r="JY29" s="6"/>
      <c r="JZ29" s="10"/>
      <c r="KA29" s="10"/>
      <c r="KB29" s="10"/>
      <c r="KC29" s="10"/>
      <c r="KD29" s="5"/>
      <c r="KE29" s="6"/>
    </row>
    <row r="30" spans="1:291" x14ac:dyDescent="0.3">
      <c r="F30" s="17"/>
      <c r="G30" s="9"/>
      <c r="H30" s="3"/>
      <c r="I30" s="3"/>
      <c r="J30" s="3"/>
      <c r="K30" s="3"/>
      <c r="L30" s="3"/>
      <c r="M30" s="3"/>
      <c r="N30" s="3"/>
      <c r="O30" s="3"/>
      <c r="P30" s="4"/>
      <c r="Q30" s="5"/>
      <c r="R30" s="5"/>
      <c r="S30" s="5"/>
      <c r="T30" s="6"/>
      <c r="U30" s="5"/>
      <c r="V30" s="6"/>
      <c r="W30" s="7"/>
      <c r="X30" s="8"/>
      <c r="Y30" s="6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6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C30" s="6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M30" s="19"/>
      <c r="JO30" s="5"/>
      <c r="JP30" s="5"/>
      <c r="JQ30" s="5"/>
      <c r="JR30" s="5"/>
      <c r="JS30" s="6"/>
      <c r="JT30" s="23"/>
      <c r="JU30" s="13"/>
      <c r="JV30" s="6"/>
      <c r="JW30" s="6"/>
      <c r="JX30" s="6"/>
      <c r="JY30" s="6"/>
      <c r="JZ30" s="10"/>
      <c r="KA30" s="10"/>
      <c r="KB30" s="10"/>
      <c r="KC30" s="10"/>
      <c r="KD30" s="5"/>
      <c r="KE30" s="6"/>
    </row>
    <row r="31" spans="1:291" x14ac:dyDescent="0.3">
      <c r="F31" s="17"/>
      <c r="G31" s="9"/>
      <c r="H31" s="3"/>
      <c r="I31" s="3"/>
      <c r="J31" s="3"/>
      <c r="K31" s="3"/>
      <c r="L31" s="3"/>
      <c r="M31" s="3"/>
      <c r="N31" s="3"/>
      <c r="O31" s="3"/>
      <c r="P31" s="4"/>
      <c r="Q31" s="5"/>
      <c r="R31" s="5"/>
      <c r="S31" s="5"/>
      <c r="T31" s="6"/>
      <c r="U31" s="5"/>
      <c r="V31" s="6"/>
      <c r="W31" s="7"/>
      <c r="X31" s="8"/>
      <c r="Y31" s="6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6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C31" s="6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M31" s="19"/>
      <c r="JO31" s="5"/>
      <c r="JP31" s="5"/>
      <c r="JQ31" s="5"/>
      <c r="JR31" s="5"/>
      <c r="JS31" s="6"/>
      <c r="JT31" s="23"/>
      <c r="JU31" s="13"/>
      <c r="JV31" s="6"/>
      <c r="JW31" s="6"/>
      <c r="JX31" s="6"/>
      <c r="JY31" s="6"/>
      <c r="JZ31" s="10"/>
      <c r="KA31" s="10"/>
      <c r="KB31" s="10"/>
      <c r="KC31" s="10"/>
      <c r="KD31" s="5"/>
      <c r="KE31" s="6"/>
    </row>
    <row r="32" spans="1:291" x14ac:dyDescent="0.3">
      <c r="F32" s="17"/>
      <c r="G32" s="9"/>
      <c r="H32" s="3"/>
      <c r="I32" s="3"/>
      <c r="J32" s="3"/>
      <c r="K32" s="3"/>
      <c r="L32" s="3"/>
      <c r="M32" s="3"/>
      <c r="N32" s="3"/>
      <c r="O32" s="3"/>
      <c r="P32" s="4"/>
      <c r="Q32" s="5"/>
      <c r="R32" s="5"/>
      <c r="S32" s="5"/>
      <c r="T32" s="6"/>
      <c r="U32" s="5"/>
      <c r="V32" s="6"/>
      <c r="W32" s="7"/>
      <c r="X32" s="8"/>
      <c r="Y32" s="6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6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C32" s="6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M32" s="19"/>
      <c r="JO32" s="5"/>
      <c r="JP32" s="5"/>
      <c r="JQ32" s="5"/>
      <c r="JR32" s="5"/>
      <c r="JS32" s="6"/>
      <c r="JT32" s="23"/>
      <c r="JU32" s="13"/>
      <c r="JV32" s="6"/>
      <c r="JW32" s="6"/>
      <c r="JX32" s="6"/>
      <c r="JY32" s="6"/>
      <c r="JZ32" s="10"/>
      <c r="KA32" s="10"/>
      <c r="KB32" s="10"/>
      <c r="KC32" s="10"/>
      <c r="KD32" s="5"/>
      <c r="KE32" s="6"/>
    </row>
    <row r="33" spans="6:291" ht="14.4" customHeight="1" x14ac:dyDescent="0.3">
      <c r="F33" s="17"/>
      <c r="G33" s="9"/>
      <c r="H33" s="3"/>
      <c r="I33" s="3"/>
      <c r="J33" s="3"/>
      <c r="K33" s="3"/>
      <c r="L33" s="3"/>
      <c r="M33" s="3"/>
      <c r="N33" s="3"/>
      <c r="O33" s="3"/>
      <c r="P33" s="4"/>
      <c r="Q33" s="5"/>
      <c r="R33" s="5"/>
      <c r="S33" s="5"/>
      <c r="T33" s="6"/>
      <c r="U33" s="5"/>
      <c r="V33" s="6"/>
      <c r="W33" s="7"/>
      <c r="X33" s="8"/>
      <c r="Y33" s="6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6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C33" s="6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  <c r="JE33" s="5"/>
      <c r="JF33" s="5"/>
      <c r="JG33" s="5"/>
      <c r="JH33" s="5"/>
      <c r="JI33" s="5"/>
      <c r="JJ33" s="5"/>
      <c r="JK33" s="5"/>
      <c r="JM33" s="19"/>
      <c r="JO33" s="5"/>
      <c r="JP33" s="5"/>
      <c r="JQ33" s="5"/>
      <c r="JR33" s="5"/>
      <c r="JS33" s="6"/>
      <c r="JT33" s="23"/>
      <c r="JU33" s="13"/>
      <c r="JV33" s="6"/>
      <c r="JW33" s="6"/>
      <c r="JX33" s="6"/>
      <c r="JY33" s="6"/>
      <c r="JZ33" s="10"/>
      <c r="KA33" s="10"/>
      <c r="KB33" s="10"/>
      <c r="KC33" s="10"/>
      <c r="KD33" s="5"/>
      <c r="KE33" s="6"/>
    </row>
    <row r="34" spans="6:291" ht="14.4" customHeight="1" x14ac:dyDescent="0.3">
      <c r="F34" s="17"/>
      <c r="G34" s="9"/>
      <c r="H34" s="3"/>
      <c r="I34" s="3"/>
      <c r="J34" s="3"/>
      <c r="K34" s="3"/>
      <c r="L34" s="3"/>
      <c r="M34" s="3"/>
      <c r="N34" s="3"/>
      <c r="O34" s="3"/>
      <c r="P34" s="4"/>
      <c r="Q34" s="5"/>
      <c r="R34" s="5"/>
      <c r="S34" s="5"/>
      <c r="T34" s="6"/>
      <c r="U34" s="5"/>
      <c r="V34" s="6"/>
      <c r="W34" s="7"/>
      <c r="X34" s="8"/>
      <c r="Y34" s="6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6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C34" s="6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M34" s="19"/>
      <c r="JO34" s="5"/>
      <c r="JP34" s="5"/>
      <c r="JQ34" s="5"/>
      <c r="JR34" s="5"/>
      <c r="JS34" s="6"/>
      <c r="JT34" s="23"/>
      <c r="JU34" s="13"/>
      <c r="JV34" s="6"/>
      <c r="JW34" s="6"/>
      <c r="JX34" s="6"/>
      <c r="JY34" s="6"/>
      <c r="JZ34" s="10"/>
      <c r="KA34" s="10"/>
      <c r="KB34" s="10"/>
      <c r="KC34" s="10"/>
      <c r="KD34" s="5"/>
      <c r="KE34" s="6"/>
    </row>
    <row r="35" spans="6:291" x14ac:dyDescent="0.3">
      <c r="F35" s="17"/>
      <c r="G35" s="9"/>
      <c r="H35" s="3"/>
      <c r="I35" s="3"/>
      <c r="J35" s="3"/>
      <c r="K35" s="3"/>
      <c r="L35" s="3"/>
      <c r="M35" s="3"/>
      <c r="N35" s="3"/>
      <c r="O35" s="3"/>
      <c r="P35" s="4"/>
      <c r="Q35" s="5"/>
      <c r="R35" s="5"/>
      <c r="S35" s="5"/>
      <c r="T35" s="6"/>
      <c r="U35" s="5"/>
      <c r="V35" s="6"/>
      <c r="W35" s="7"/>
      <c r="X35" s="8"/>
      <c r="Y35" s="6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6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C35" s="6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M35" s="19"/>
      <c r="JO35" s="5"/>
      <c r="JP35" s="5"/>
      <c r="JQ35" s="5"/>
      <c r="JR35" s="5"/>
      <c r="JS35" s="6"/>
      <c r="JT35" s="23"/>
      <c r="JU35" s="13"/>
      <c r="JV35" s="6"/>
      <c r="JW35" s="6"/>
      <c r="JX35" s="6"/>
      <c r="JY35" s="6"/>
      <c r="JZ35" s="10"/>
      <c r="KA35" s="10"/>
      <c r="KB35" s="10"/>
      <c r="KC35" s="10"/>
      <c r="KD35" s="5"/>
      <c r="KE35" s="6"/>
    </row>
    <row r="36" spans="6:291" x14ac:dyDescent="0.3">
      <c r="F36" s="17"/>
      <c r="G36" s="9"/>
      <c r="H36" s="3"/>
      <c r="I36" s="3"/>
      <c r="J36" s="3"/>
      <c r="K36" s="3"/>
      <c r="L36" s="3"/>
      <c r="M36" s="3"/>
      <c r="N36" s="3"/>
      <c r="O36" s="3"/>
      <c r="P36" s="4"/>
      <c r="Q36" s="5"/>
      <c r="R36" s="5"/>
      <c r="S36" s="5"/>
      <c r="T36" s="6"/>
      <c r="U36" s="5"/>
      <c r="V36" s="6"/>
      <c r="W36" s="7"/>
      <c r="X36" s="8"/>
      <c r="Y36" s="6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6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C36" s="6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M36" s="19"/>
      <c r="JO36" s="5"/>
      <c r="JP36" s="5"/>
      <c r="JQ36" s="5"/>
      <c r="JR36" s="5"/>
      <c r="JS36" s="6"/>
      <c r="JT36" s="23"/>
      <c r="JU36" s="13"/>
      <c r="JV36" s="6"/>
      <c r="JW36" s="6"/>
      <c r="JX36" s="6"/>
      <c r="JY36" s="6"/>
      <c r="JZ36" s="10"/>
      <c r="KA36" s="10"/>
      <c r="KB36" s="10"/>
      <c r="KC36" s="10"/>
      <c r="KD36" s="5"/>
      <c r="KE36" s="6"/>
    </row>
    <row r="37" spans="6:291" x14ac:dyDescent="0.3">
      <c r="F37" s="17"/>
      <c r="G37" s="9"/>
      <c r="H37" s="3"/>
      <c r="I37" s="3"/>
      <c r="J37" s="3"/>
      <c r="K37" s="3"/>
      <c r="L37" s="3"/>
      <c r="M37" s="3"/>
      <c r="N37" s="3"/>
      <c r="O37" s="3"/>
      <c r="P37" s="4"/>
      <c r="Q37" s="5"/>
      <c r="R37" s="5"/>
      <c r="S37" s="5"/>
      <c r="T37" s="6"/>
      <c r="U37" s="5"/>
      <c r="V37" s="6"/>
      <c r="W37" s="7"/>
      <c r="X37" s="8"/>
      <c r="Y37" s="6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6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C37" s="6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M37" s="19"/>
      <c r="JO37" s="5"/>
      <c r="JP37" s="5"/>
      <c r="JQ37" s="5"/>
      <c r="JR37" s="5"/>
      <c r="JS37" s="6"/>
      <c r="JT37" s="23"/>
      <c r="JU37" s="13"/>
      <c r="JV37" s="6"/>
      <c r="JW37" s="6"/>
      <c r="JX37" s="6"/>
      <c r="JY37" s="6"/>
      <c r="JZ37" s="10"/>
      <c r="KA37" s="10"/>
      <c r="KB37" s="10"/>
      <c r="KC37" s="10"/>
      <c r="KD37" s="5"/>
      <c r="KE37" s="6"/>
    </row>
    <row r="38" spans="6:291" x14ac:dyDescent="0.3">
      <c r="F38" s="17"/>
      <c r="G38" s="9"/>
      <c r="H38" s="3"/>
      <c r="I38" s="3"/>
      <c r="J38" s="3"/>
      <c r="K38" s="3"/>
      <c r="L38" s="3"/>
      <c r="M38" s="3"/>
      <c r="N38" s="3"/>
      <c r="O38" s="3"/>
      <c r="P38" s="4"/>
      <c r="Q38" s="5"/>
      <c r="R38" s="5"/>
      <c r="S38" s="5"/>
      <c r="T38" s="6"/>
      <c r="U38" s="5"/>
      <c r="V38" s="6"/>
      <c r="W38" s="7"/>
      <c r="X38" s="8"/>
      <c r="Y38" s="6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6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C38" s="6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M38" s="19"/>
      <c r="JO38" s="5"/>
      <c r="JP38" s="5"/>
      <c r="JQ38" s="5"/>
      <c r="JR38" s="5"/>
      <c r="JS38" s="6"/>
      <c r="JT38" s="23"/>
      <c r="JU38" s="13"/>
      <c r="JV38" s="6"/>
      <c r="JW38" s="6"/>
      <c r="JX38" s="6"/>
      <c r="JY38" s="6"/>
      <c r="JZ38" s="10"/>
      <c r="KA38" s="10"/>
      <c r="KB38" s="10"/>
      <c r="KC38" s="10"/>
      <c r="KD38" s="5"/>
      <c r="KE38" s="6"/>
    </row>
    <row r="39" spans="6:291" x14ac:dyDescent="0.3">
      <c r="F39" s="17"/>
      <c r="G39" s="9"/>
      <c r="H39" s="3"/>
      <c r="I39" s="3"/>
      <c r="J39" s="3"/>
      <c r="K39" s="3"/>
      <c r="L39" s="3"/>
      <c r="M39" s="3"/>
      <c r="N39" s="3"/>
      <c r="O39" s="3"/>
      <c r="P39" s="4"/>
      <c r="Q39" s="5"/>
      <c r="R39" s="5"/>
      <c r="S39" s="5"/>
      <c r="T39" s="6"/>
      <c r="U39" s="5"/>
      <c r="V39" s="6"/>
      <c r="W39" s="7"/>
      <c r="X39" s="8"/>
      <c r="Y39" s="6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6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C39" s="6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M39" s="19"/>
      <c r="JO39" s="5"/>
      <c r="JP39" s="5"/>
      <c r="JQ39" s="5"/>
      <c r="JR39" s="5"/>
      <c r="JS39" s="6"/>
      <c r="JT39" s="23"/>
      <c r="JU39" s="13"/>
      <c r="JV39" s="6"/>
      <c r="JW39" s="6"/>
      <c r="JX39" s="6"/>
      <c r="JY39" s="6"/>
      <c r="JZ39" s="10"/>
      <c r="KA39" s="10"/>
      <c r="KB39" s="10"/>
      <c r="KC39" s="10"/>
      <c r="KD39" s="5"/>
      <c r="KE39" s="6"/>
    </row>
    <row r="40" spans="6:291" ht="14.4" customHeight="1" x14ac:dyDescent="0.3">
      <c r="F40" s="17"/>
      <c r="G40" s="9"/>
      <c r="H40" s="3"/>
      <c r="I40" s="3"/>
      <c r="J40" s="3"/>
      <c r="K40" s="3"/>
      <c r="L40" s="3"/>
      <c r="M40" s="3"/>
      <c r="N40" s="3"/>
      <c r="O40" s="3"/>
      <c r="P40" s="4"/>
      <c r="Q40" s="5"/>
      <c r="R40" s="5"/>
      <c r="S40" s="5"/>
      <c r="T40" s="6"/>
      <c r="U40" s="5"/>
      <c r="V40" s="6"/>
      <c r="W40" s="7"/>
      <c r="X40" s="8"/>
      <c r="Y40" s="6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6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C40" s="6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M40" s="19"/>
      <c r="JO40" s="5"/>
      <c r="JP40" s="5"/>
      <c r="JQ40" s="5"/>
      <c r="JR40" s="5"/>
      <c r="JS40" s="6"/>
      <c r="JT40" s="23"/>
      <c r="JU40" s="13"/>
      <c r="JV40" s="6"/>
      <c r="JW40" s="6"/>
      <c r="JX40" s="6"/>
      <c r="JY40" s="6"/>
      <c r="JZ40" s="10"/>
      <c r="KA40" s="10"/>
      <c r="KB40" s="10"/>
      <c r="KC40" s="10"/>
      <c r="KD40" s="5"/>
      <c r="KE40" s="6"/>
    </row>
    <row r="41" spans="6:291" ht="14.4" customHeight="1" x14ac:dyDescent="0.3">
      <c r="F41" s="17"/>
      <c r="G41" s="9"/>
      <c r="H41" s="3"/>
      <c r="I41" s="3"/>
      <c r="J41" s="3"/>
      <c r="K41" s="3"/>
      <c r="L41" s="3"/>
      <c r="M41" s="3"/>
      <c r="N41" s="3"/>
      <c r="O41" s="3"/>
      <c r="P41" s="4"/>
      <c r="Q41" s="5"/>
      <c r="R41" s="5"/>
      <c r="S41" s="5"/>
      <c r="T41" s="6"/>
      <c r="U41" s="5"/>
      <c r="V41" s="6"/>
      <c r="W41" s="7"/>
      <c r="X41" s="8"/>
      <c r="Y41" s="6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6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C41" s="6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M41" s="19"/>
      <c r="JO41" s="5"/>
      <c r="JP41" s="5"/>
      <c r="JQ41" s="5"/>
      <c r="JR41" s="5"/>
      <c r="JS41" s="6"/>
      <c r="JT41" s="23"/>
      <c r="JU41" s="13"/>
      <c r="JV41" s="6"/>
      <c r="JW41" s="6"/>
      <c r="JX41" s="6"/>
      <c r="JY41" s="6"/>
      <c r="JZ41" s="10"/>
      <c r="KA41" s="10"/>
      <c r="KB41" s="10"/>
      <c r="KC41" s="10"/>
      <c r="KD41" s="5"/>
      <c r="KE41" s="6"/>
    </row>
    <row r="42" spans="6:291" x14ac:dyDescent="0.3">
      <c r="F42" s="17"/>
      <c r="G42" s="9"/>
      <c r="H42" s="3"/>
      <c r="I42" s="3"/>
      <c r="J42" s="3"/>
      <c r="K42" s="3"/>
      <c r="L42" s="3"/>
      <c r="M42" s="3"/>
      <c r="N42" s="3"/>
      <c r="O42" s="3"/>
      <c r="P42" s="4"/>
      <c r="Q42" s="5"/>
      <c r="R42" s="5"/>
      <c r="S42" s="5"/>
      <c r="T42" s="6"/>
      <c r="U42" s="5"/>
      <c r="V42" s="6"/>
      <c r="W42" s="7"/>
      <c r="X42" s="8"/>
      <c r="Y42" s="6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6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C42" s="6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M42" s="19"/>
      <c r="JO42" s="5"/>
      <c r="JP42" s="5"/>
      <c r="JQ42" s="5"/>
      <c r="JR42" s="5"/>
      <c r="JS42" s="6"/>
      <c r="JT42" s="23"/>
      <c r="JU42" s="13"/>
      <c r="JV42" s="6"/>
      <c r="JW42" s="6"/>
      <c r="JX42" s="6"/>
      <c r="JY42" s="6"/>
      <c r="JZ42" s="10"/>
      <c r="KA42" s="10"/>
      <c r="KB42" s="10"/>
      <c r="KC42" s="10"/>
      <c r="KD42" s="5"/>
      <c r="KE42" s="6"/>
    </row>
    <row r="43" spans="6:291" x14ac:dyDescent="0.3">
      <c r="F43" s="17"/>
      <c r="G43" s="9"/>
      <c r="H43" s="3"/>
      <c r="I43" s="3"/>
      <c r="J43" s="3"/>
      <c r="K43" s="3"/>
      <c r="L43" s="3"/>
      <c r="M43" s="3"/>
      <c r="N43" s="3"/>
      <c r="O43" s="3"/>
      <c r="P43" s="4"/>
      <c r="Q43" s="5"/>
      <c r="R43" s="5"/>
      <c r="S43" s="5"/>
      <c r="T43" s="6"/>
      <c r="U43" s="5"/>
      <c r="V43" s="6"/>
      <c r="W43" s="7"/>
      <c r="X43" s="8"/>
      <c r="Y43" s="6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6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C43" s="6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M43" s="19"/>
      <c r="JO43" s="5"/>
      <c r="JP43" s="5"/>
      <c r="JQ43" s="5"/>
      <c r="JR43" s="5"/>
      <c r="JS43" s="6"/>
      <c r="JT43" s="23"/>
      <c r="JU43" s="13"/>
      <c r="JV43" s="6"/>
      <c r="JW43" s="6"/>
      <c r="JX43" s="6"/>
      <c r="JY43" s="6"/>
      <c r="JZ43" s="10"/>
      <c r="KA43" s="10"/>
      <c r="KB43" s="10"/>
      <c r="KC43" s="10"/>
      <c r="KD43" s="5"/>
      <c r="KE43" s="6"/>
    </row>
    <row r="44" spans="6:291" ht="14.4" customHeight="1" x14ac:dyDescent="0.3">
      <c r="F44" s="17"/>
      <c r="G44" s="9"/>
      <c r="H44" s="3"/>
      <c r="I44" s="3"/>
      <c r="J44" s="3"/>
      <c r="K44" s="3"/>
      <c r="L44" s="3"/>
      <c r="M44" s="3"/>
      <c r="N44" s="3"/>
      <c r="O44" s="3"/>
      <c r="P44" s="4"/>
      <c r="Q44" s="5"/>
      <c r="R44" s="5"/>
      <c r="S44" s="5"/>
      <c r="T44" s="6"/>
      <c r="U44" s="5"/>
      <c r="V44" s="6"/>
      <c r="W44" s="7"/>
      <c r="X44" s="8"/>
      <c r="Y44" s="6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6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C44" s="6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M44" s="19"/>
      <c r="JO44" s="5"/>
      <c r="JP44" s="5"/>
      <c r="JQ44" s="5"/>
      <c r="JR44" s="5"/>
      <c r="JS44" s="6"/>
      <c r="JT44" s="23"/>
      <c r="JU44" s="13"/>
      <c r="JV44" s="6"/>
      <c r="JW44" s="6"/>
      <c r="JX44" s="6"/>
      <c r="JY44" s="6"/>
      <c r="JZ44" s="10"/>
      <c r="KA44" s="10"/>
      <c r="KB44" s="10"/>
      <c r="KC44" s="10"/>
      <c r="KD44" s="5"/>
      <c r="KE44" s="6"/>
    </row>
    <row r="45" spans="6:291" x14ac:dyDescent="0.3">
      <c r="F45" s="17"/>
      <c r="G45" s="9"/>
      <c r="H45" s="3"/>
      <c r="I45" s="3"/>
      <c r="J45" s="3"/>
      <c r="K45" s="3"/>
      <c r="L45" s="3"/>
      <c r="M45" s="3"/>
      <c r="N45" s="3"/>
      <c r="O45" s="3"/>
      <c r="P45" s="4"/>
      <c r="Q45" s="5"/>
      <c r="R45" s="5"/>
      <c r="S45" s="5"/>
      <c r="T45" s="6"/>
      <c r="U45" s="5"/>
      <c r="V45" s="6"/>
      <c r="W45" s="7"/>
      <c r="X45" s="8"/>
      <c r="Y45" s="6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6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C45" s="6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M45" s="19"/>
      <c r="JO45" s="5"/>
      <c r="JP45" s="5"/>
      <c r="JQ45" s="5"/>
      <c r="JR45" s="5"/>
      <c r="JS45" s="6"/>
      <c r="JT45" s="23"/>
      <c r="JU45" s="13"/>
      <c r="JV45" s="6"/>
      <c r="JW45" s="6"/>
      <c r="JX45" s="6"/>
      <c r="JY45" s="6"/>
      <c r="JZ45" s="10"/>
      <c r="KA45" s="10"/>
      <c r="KB45" s="10"/>
      <c r="KC45" s="10"/>
      <c r="KD45" s="5"/>
      <c r="KE45" s="6"/>
    </row>
    <row r="46" spans="6:291" x14ac:dyDescent="0.3">
      <c r="F46" s="17"/>
      <c r="G46" s="9"/>
      <c r="H46" s="3"/>
      <c r="I46" s="3"/>
      <c r="J46" s="3"/>
      <c r="K46" s="3"/>
      <c r="L46" s="3"/>
      <c r="M46" s="3"/>
      <c r="N46" s="3"/>
      <c r="O46" s="3"/>
      <c r="P46" s="4"/>
      <c r="Q46" s="5"/>
      <c r="R46" s="5"/>
      <c r="S46" s="5"/>
      <c r="T46" s="6"/>
      <c r="U46" s="5"/>
      <c r="V46" s="6"/>
      <c r="W46" s="7"/>
      <c r="X46" s="8"/>
      <c r="Y46" s="6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6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C46" s="6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M46" s="19"/>
      <c r="JO46" s="5"/>
      <c r="JP46" s="5"/>
      <c r="JQ46" s="5"/>
      <c r="JR46" s="5"/>
      <c r="JS46" s="6"/>
      <c r="JT46" s="23"/>
      <c r="JU46" s="13"/>
      <c r="JV46" s="6"/>
      <c r="JW46" s="6"/>
      <c r="JX46" s="6"/>
      <c r="JY46" s="6"/>
      <c r="JZ46" s="10"/>
      <c r="KA46" s="10"/>
      <c r="KB46" s="10"/>
      <c r="KC46" s="10"/>
      <c r="KD46" s="5"/>
      <c r="KE46" s="6"/>
    </row>
    <row r="47" spans="6:291" x14ac:dyDescent="0.3">
      <c r="F47" s="17"/>
      <c r="G47" s="9"/>
      <c r="H47" s="3"/>
      <c r="I47" s="3"/>
      <c r="J47" s="3"/>
      <c r="K47" s="3"/>
      <c r="L47" s="3"/>
      <c r="M47" s="3"/>
      <c r="N47" s="3"/>
      <c r="O47" s="3"/>
      <c r="P47" s="4"/>
      <c r="Q47" s="5"/>
      <c r="R47" s="5"/>
      <c r="S47" s="5"/>
      <c r="T47" s="6"/>
      <c r="U47" s="5"/>
      <c r="V47" s="6"/>
      <c r="W47" s="7"/>
      <c r="X47" s="8"/>
      <c r="Y47" s="6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6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C47" s="6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M47" s="19"/>
      <c r="JO47" s="5"/>
      <c r="JP47" s="5"/>
      <c r="JQ47" s="5"/>
      <c r="JR47" s="5"/>
      <c r="JS47" s="6"/>
      <c r="JT47" s="23"/>
      <c r="JU47" s="13"/>
      <c r="JV47" s="6"/>
      <c r="JW47" s="6"/>
      <c r="JX47" s="6"/>
      <c r="JY47" s="6"/>
      <c r="JZ47" s="10"/>
      <c r="KA47" s="10"/>
      <c r="KB47" s="10"/>
      <c r="KC47" s="10"/>
      <c r="KD47" s="5"/>
      <c r="KE47" s="6"/>
    </row>
    <row r="48" spans="6:291" x14ac:dyDescent="0.3">
      <c r="F48" s="17"/>
      <c r="G48" s="9"/>
      <c r="H48" s="3"/>
      <c r="I48" s="3"/>
      <c r="J48" s="3"/>
      <c r="K48" s="3"/>
      <c r="L48" s="3"/>
      <c r="M48" s="3"/>
      <c r="N48" s="3"/>
      <c r="O48" s="3"/>
      <c r="P48" s="4"/>
      <c r="Q48" s="5"/>
      <c r="R48" s="5"/>
      <c r="S48" s="5"/>
      <c r="T48" s="6"/>
      <c r="U48" s="5"/>
      <c r="V48" s="6"/>
      <c r="W48" s="7"/>
      <c r="X48" s="8"/>
      <c r="Y48" s="6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6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C48" s="6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M48" s="19"/>
      <c r="JO48" s="5"/>
      <c r="JP48" s="5"/>
      <c r="JQ48" s="5"/>
      <c r="JR48" s="5"/>
      <c r="JS48" s="6"/>
      <c r="JT48" s="23"/>
      <c r="JU48" s="13"/>
      <c r="JV48" s="6"/>
      <c r="JW48" s="6"/>
      <c r="JX48" s="6"/>
      <c r="JY48" s="6"/>
      <c r="JZ48" s="10"/>
      <c r="KA48" s="10"/>
      <c r="KB48" s="10"/>
      <c r="KC48" s="10"/>
      <c r="KD48" s="5"/>
      <c r="KE48" s="6"/>
    </row>
    <row r="49" spans="6:291" x14ac:dyDescent="0.3">
      <c r="F49" s="17"/>
      <c r="G49" s="9"/>
      <c r="H49" s="3"/>
      <c r="I49" s="3"/>
      <c r="J49" s="3"/>
      <c r="K49" s="3"/>
      <c r="L49" s="3"/>
      <c r="M49" s="3"/>
      <c r="N49" s="3"/>
      <c r="O49" s="3"/>
      <c r="P49" s="4"/>
      <c r="Q49" s="5"/>
      <c r="R49" s="5"/>
      <c r="S49" s="5"/>
      <c r="T49" s="6"/>
      <c r="U49" s="5"/>
      <c r="V49" s="6"/>
      <c r="W49" s="7"/>
      <c r="X49" s="8"/>
      <c r="Y49" s="6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6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C49" s="6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M49" s="19"/>
      <c r="JO49" s="5"/>
      <c r="JP49" s="5"/>
      <c r="JQ49" s="5"/>
      <c r="JR49" s="5"/>
      <c r="JS49" s="6"/>
      <c r="JT49" s="23"/>
      <c r="JU49" s="13"/>
      <c r="JV49" s="6"/>
      <c r="JW49" s="6"/>
      <c r="JX49" s="6"/>
      <c r="JY49" s="6"/>
      <c r="JZ49" s="10"/>
      <c r="KA49" s="10"/>
      <c r="KB49" s="10"/>
      <c r="KC49" s="10"/>
      <c r="KD49" s="5"/>
      <c r="KE49" s="6"/>
    </row>
    <row r="50" spans="6:291" x14ac:dyDescent="0.3">
      <c r="F50" s="17"/>
      <c r="G50" s="9"/>
      <c r="H50" s="3"/>
      <c r="I50" s="3"/>
      <c r="J50" s="3"/>
      <c r="K50" s="3"/>
      <c r="L50" s="3"/>
      <c r="M50" s="3"/>
      <c r="N50" s="3"/>
      <c r="O50" s="3"/>
      <c r="P50" s="4"/>
      <c r="Q50" s="5"/>
      <c r="R50" s="5"/>
      <c r="S50" s="5"/>
      <c r="T50" s="6"/>
      <c r="U50" s="5"/>
      <c r="V50" s="6"/>
      <c r="W50" s="7"/>
      <c r="X50" s="8"/>
      <c r="Y50" s="6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6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C50" s="6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M50" s="19"/>
      <c r="JO50" s="5"/>
      <c r="JP50" s="5"/>
      <c r="JQ50" s="5"/>
      <c r="JR50" s="5"/>
      <c r="JS50" s="6"/>
      <c r="JT50" s="23"/>
      <c r="JU50" s="13"/>
      <c r="JV50" s="6"/>
      <c r="JW50" s="6"/>
      <c r="JX50" s="6"/>
      <c r="JY50" s="6"/>
      <c r="JZ50" s="10"/>
      <c r="KA50" s="10"/>
      <c r="KB50" s="10"/>
      <c r="KC50" s="10"/>
      <c r="KD50" s="5"/>
      <c r="KE50" s="6"/>
    </row>
    <row r="51" spans="6:291" x14ac:dyDescent="0.3">
      <c r="F51" s="17"/>
      <c r="G51" s="9"/>
      <c r="H51" s="3"/>
      <c r="I51" s="3"/>
      <c r="J51" s="3"/>
      <c r="K51" s="3"/>
      <c r="L51" s="3"/>
      <c r="M51" s="3"/>
      <c r="N51" s="3"/>
      <c r="O51" s="3"/>
      <c r="P51" s="4"/>
      <c r="Q51" s="5"/>
      <c r="R51" s="5"/>
      <c r="S51" s="5"/>
      <c r="T51" s="6"/>
      <c r="U51" s="5"/>
      <c r="V51" s="6"/>
      <c r="W51" s="7"/>
      <c r="X51" s="8"/>
      <c r="Y51" s="6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6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C51" s="6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M51" s="19"/>
      <c r="JO51" s="5"/>
      <c r="JP51" s="5"/>
      <c r="JQ51" s="5"/>
      <c r="JR51" s="5"/>
      <c r="JS51" s="6"/>
      <c r="JT51" s="23"/>
      <c r="JU51" s="13"/>
      <c r="JV51" s="6"/>
      <c r="JW51" s="6"/>
      <c r="JX51" s="6"/>
      <c r="JY51" s="6"/>
      <c r="JZ51" s="10"/>
      <c r="KA51" s="10"/>
      <c r="KB51" s="10"/>
      <c r="KC51" s="10"/>
      <c r="KD51" s="5"/>
      <c r="KE51" s="6"/>
    </row>
    <row r="52" spans="6:291" ht="14.4" customHeight="1" x14ac:dyDescent="0.3">
      <c r="F52" s="17"/>
      <c r="G52" s="9"/>
      <c r="H52" s="3"/>
      <c r="I52" s="3"/>
      <c r="J52" s="3"/>
      <c r="K52" s="3"/>
      <c r="L52" s="3"/>
      <c r="M52" s="3"/>
      <c r="N52" s="3"/>
      <c r="O52" s="3"/>
      <c r="P52" s="4"/>
      <c r="Q52" s="5"/>
      <c r="R52" s="5"/>
      <c r="S52" s="5"/>
      <c r="T52" s="6"/>
      <c r="U52" s="5"/>
      <c r="V52" s="6"/>
      <c r="W52" s="7"/>
      <c r="X52" s="8"/>
      <c r="Y52" s="6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6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C52" s="6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M52" s="19"/>
      <c r="JO52" s="5"/>
      <c r="JP52" s="5"/>
      <c r="JQ52" s="5"/>
      <c r="JR52" s="5"/>
      <c r="JS52" s="6"/>
      <c r="JT52" s="23"/>
      <c r="JU52" s="13"/>
      <c r="JV52" s="6"/>
      <c r="JW52" s="6"/>
      <c r="JX52" s="6"/>
      <c r="JY52" s="6"/>
      <c r="JZ52" s="10"/>
      <c r="KA52" s="10"/>
      <c r="KB52" s="10"/>
      <c r="KC52" s="10"/>
      <c r="KD52" s="5"/>
      <c r="KE52" s="6"/>
    </row>
    <row r="53" spans="6:291" x14ac:dyDescent="0.3">
      <c r="F53" s="17"/>
      <c r="G53" s="9"/>
      <c r="H53" s="3"/>
      <c r="I53" s="3"/>
      <c r="J53" s="3"/>
      <c r="K53" s="3"/>
      <c r="L53" s="3"/>
      <c r="M53" s="3"/>
      <c r="N53" s="3"/>
      <c r="O53" s="3"/>
      <c r="P53" s="4"/>
      <c r="Q53" s="5"/>
      <c r="R53" s="5"/>
      <c r="S53" s="5"/>
      <c r="T53" s="6"/>
      <c r="U53" s="5"/>
      <c r="V53" s="6"/>
      <c r="W53" s="7"/>
      <c r="X53" s="8"/>
      <c r="Y53" s="6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6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C53" s="6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M53" s="19"/>
      <c r="JO53" s="5"/>
      <c r="JP53" s="5"/>
      <c r="JQ53" s="5"/>
      <c r="JR53" s="5"/>
      <c r="JS53" s="6"/>
      <c r="JT53" s="23"/>
      <c r="JU53" s="13"/>
      <c r="JV53" s="6"/>
      <c r="JW53" s="6"/>
      <c r="JX53" s="6"/>
      <c r="JY53" s="6"/>
      <c r="JZ53" s="10"/>
      <c r="KA53" s="10"/>
      <c r="KB53" s="10"/>
      <c r="KC53" s="10"/>
      <c r="KD53" s="5"/>
      <c r="KE53" s="6"/>
    </row>
    <row r="54" spans="6:291" x14ac:dyDescent="0.3">
      <c r="F54" s="17"/>
      <c r="G54" s="9"/>
      <c r="H54" s="3"/>
      <c r="I54" s="3"/>
      <c r="J54" s="3"/>
      <c r="K54" s="3"/>
      <c r="L54" s="3"/>
      <c r="M54" s="3"/>
      <c r="N54" s="3"/>
      <c r="O54" s="3"/>
      <c r="P54" s="4"/>
      <c r="Q54" s="5"/>
      <c r="R54" s="5"/>
      <c r="S54" s="5"/>
      <c r="T54" s="6"/>
      <c r="U54" s="5"/>
      <c r="V54" s="6"/>
      <c r="W54" s="7"/>
      <c r="X54" s="8"/>
      <c r="Y54" s="6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6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C54" s="6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M54" s="19"/>
      <c r="JO54" s="5"/>
      <c r="JP54" s="5"/>
      <c r="JQ54" s="5"/>
      <c r="JR54" s="5"/>
      <c r="JS54" s="6"/>
      <c r="JT54" s="23"/>
      <c r="JU54" s="13"/>
      <c r="JV54" s="6"/>
      <c r="JW54" s="6"/>
      <c r="JX54" s="6"/>
      <c r="JY54" s="6"/>
      <c r="JZ54" s="10"/>
      <c r="KA54" s="10"/>
      <c r="KB54" s="10"/>
      <c r="KC54" s="10"/>
      <c r="KD54" s="5"/>
      <c r="KE54" s="6"/>
    </row>
    <row r="55" spans="6:291" x14ac:dyDescent="0.3">
      <c r="F55" s="17"/>
      <c r="G55" s="9"/>
      <c r="H55" s="3"/>
      <c r="I55" s="3"/>
      <c r="J55" s="3"/>
      <c r="K55" s="3"/>
      <c r="L55" s="3"/>
      <c r="M55" s="3"/>
      <c r="N55" s="3"/>
      <c r="O55" s="3"/>
      <c r="P55" s="4"/>
      <c r="Q55" s="5"/>
      <c r="R55" s="5"/>
      <c r="S55" s="5"/>
      <c r="T55" s="6"/>
      <c r="U55" s="5"/>
      <c r="V55" s="6"/>
      <c r="W55" s="7"/>
      <c r="X55" s="8"/>
      <c r="Y55" s="6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6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C55" s="6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M55" s="19"/>
      <c r="JO55" s="5"/>
      <c r="JP55" s="5"/>
      <c r="JQ55" s="5"/>
      <c r="JR55" s="5"/>
      <c r="JS55" s="6"/>
      <c r="JT55" s="23"/>
      <c r="JU55" s="13"/>
      <c r="JV55" s="6"/>
      <c r="JW55" s="6"/>
      <c r="JX55" s="6"/>
      <c r="JY55" s="6"/>
      <c r="JZ55" s="10"/>
      <c r="KA55" s="10"/>
      <c r="KB55" s="10"/>
      <c r="KC55" s="10"/>
      <c r="KD55" s="5"/>
      <c r="KE55" s="6"/>
    </row>
    <row r="56" spans="6:291" ht="14.4" customHeight="1" x14ac:dyDescent="0.3">
      <c r="F56" s="17"/>
      <c r="G56" s="9"/>
      <c r="H56" s="3"/>
      <c r="I56" s="3"/>
      <c r="J56" s="3"/>
      <c r="K56" s="3"/>
      <c r="L56" s="3"/>
      <c r="M56" s="3"/>
      <c r="N56" s="3"/>
      <c r="O56" s="3"/>
      <c r="P56" s="4"/>
      <c r="Q56" s="5"/>
      <c r="R56" s="5"/>
      <c r="S56" s="5"/>
      <c r="T56" s="6"/>
      <c r="U56" s="5"/>
      <c r="V56" s="6"/>
      <c r="W56" s="7"/>
      <c r="X56" s="8"/>
      <c r="Y56" s="6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6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C56" s="6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M56" s="19"/>
      <c r="JO56" s="5"/>
      <c r="JP56" s="5"/>
      <c r="JQ56" s="5"/>
      <c r="JR56" s="5"/>
      <c r="JS56" s="6"/>
      <c r="JT56" s="23"/>
      <c r="JU56" s="13"/>
      <c r="JV56" s="6"/>
      <c r="JW56" s="6"/>
      <c r="JX56" s="6"/>
      <c r="JY56" s="6"/>
      <c r="JZ56" s="10"/>
      <c r="KA56" s="10"/>
      <c r="KB56" s="10"/>
      <c r="KC56" s="10"/>
      <c r="KD56" s="5"/>
      <c r="KE56" s="6"/>
    </row>
    <row r="57" spans="6:291" x14ac:dyDescent="0.3">
      <c r="F57" s="17"/>
      <c r="G57" s="9"/>
      <c r="H57" s="3"/>
      <c r="I57" s="3"/>
      <c r="J57" s="3"/>
      <c r="K57" s="3"/>
      <c r="L57" s="3"/>
      <c r="M57" s="3"/>
      <c r="N57" s="3"/>
      <c r="O57" s="3"/>
      <c r="P57" s="4"/>
      <c r="Q57" s="5"/>
      <c r="R57" s="5"/>
      <c r="S57" s="5"/>
      <c r="T57" s="6"/>
      <c r="U57" s="5"/>
      <c r="V57" s="6"/>
      <c r="W57" s="7"/>
      <c r="X57" s="8"/>
      <c r="Y57" s="6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6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C57" s="6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M57" s="19"/>
      <c r="JO57" s="5"/>
      <c r="JP57" s="5"/>
      <c r="JQ57" s="5"/>
      <c r="JR57" s="5"/>
      <c r="JS57" s="6"/>
      <c r="JT57" s="23"/>
      <c r="JU57" s="13"/>
      <c r="JV57" s="6"/>
      <c r="JW57" s="6"/>
      <c r="JX57" s="6"/>
      <c r="JY57" s="6"/>
      <c r="JZ57" s="10"/>
      <c r="KA57" s="10"/>
      <c r="KB57" s="10"/>
      <c r="KC57" s="10"/>
      <c r="KD57" s="5"/>
      <c r="KE57" s="6"/>
    </row>
    <row r="58" spans="6:291" ht="14.4" customHeight="1" x14ac:dyDescent="0.3">
      <c r="F58" s="17"/>
      <c r="G58" s="9"/>
      <c r="H58" s="3"/>
      <c r="I58" s="3"/>
      <c r="J58" s="3"/>
      <c r="K58" s="3"/>
      <c r="L58" s="3"/>
      <c r="M58" s="3"/>
      <c r="N58" s="3"/>
      <c r="O58" s="3"/>
      <c r="P58" s="4"/>
      <c r="Q58" s="5"/>
      <c r="R58" s="5"/>
      <c r="S58" s="5"/>
      <c r="T58" s="6"/>
      <c r="U58" s="5"/>
      <c r="V58" s="6"/>
      <c r="W58" s="7"/>
      <c r="X58" s="8"/>
      <c r="Y58" s="6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6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C58" s="6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  <c r="JE58" s="5"/>
      <c r="JF58" s="5"/>
      <c r="JG58" s="5"/>
      <c r="JH58" s="5"/>
      <c r="JI58" s="5"/>
      <c r="JJ58" s="5"/>
      <c r="JK58" s="5"/>
      <c r="JM58" s="19"/>
      <c r="JO58" s="5"/>
      <c r="JP58" s="5"/>
      <c r="JQ58" s="5"/>
      <c r="JR58" s="5"/>
      <c r="JS58" s="6"/>
      <c r="JT58" s="23"/>
      <c r="JU58" s="13"/>
      <c r="JV58" s="6"/>
      <c r="JW58" s="6"/>
      <c r="JX58" s="6"/>
      <c r="JY58" s="6"/>
      <c r="JZ58" s="10"/>
      <c r="KA58" s="10"/>
      <c r="KB58" s="10"/>
      <c r="KC58" s="10"/>
      <c r="KD58" s="5"/>
      <c r="KE58" s="6"/>
    </row>
    <row r="59" spans="6:291" x14ac:dyDescent="0.3">
      <c r="F59" s="17"/>
      <c r="G59" s="9"/>
      <c r="H59" s="3"/>
      <c r="I59" s="3"/>
      <c r="J59" s="3"/>
      <c r="K59" s="3"/>
      <c r="L59" s="3"/>
      <c r="M59" s="3"/>
      <c r="N59" s="3"/>
      <c r="O59" s="3"/>
      <c r="P59" s="4"/>
      <c r="Q59" s="5"/>
      <c r="R59" s="5"/>
      <c r="S59" s="5"/>
      <c r="T59" s="6"/>
      <c r="U59" s="5"/>
      <c r="V59" s="6"/>
      <c r="W59" s="7"/>
      <c r="X59" s="8"/>
      <c r="Y59" s="6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6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C59" s="6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  <c r="JE59" s="5"/>
      <c r="JF59" s="5"/>
      <c r="JG59" s="5"/>
      <c r="JH59" s="5"/>
      <c r="JI59" s="5"/>
      <c r="JJ59" s="5"/>
      <c r="JK59" s="5"/>
      <c r="JM59" s="19"/>
      <c r="JO59" s="5"/>
      <c r="JP59" s="5"/>
      <c r="JQ59" s="5"/>
      <c r="JR59" s="5"/>
      <c r="JS59" s="6"/>
      <c r="JT59" s="23"/>
      <c r="JU59" s="13"/>
      <c r="JV59" s="6"/>
      <c r="JW59" s="6"/>
      <c r="JX59" s="6"/>
      <c r="JY59" s="6"/>
      <c r="JZ59" s="10"/>
      <c r="KA59" s="10"/>
      <c r="KB59" s="10"/>
      <c r="KC59" s="10"/>
      <c r="KD59" s="5"/>
      <c r="KE59" s="6"/>
    </row>
    <row r="60" spans="6:291" ht="14.4" customHeight="1" x14ac:dyDescent="0.3">
      <c r="F60" s="17"/>
      <c r="G60" s="9"/>
      <c r="H60" s="3"/>
      <c r="I60" s="3"/>
      <c r="J60" s="3"/>
      <c r="K60" s="3"/>
      <c r="L60" s="3"/>
      <c r="M60" s="3"/>
      <c r="N60" s="3"/>
      <c r="O60" s="3"/>
      <c r="P60" s="4"/>
      <c r="Q60" s="5"/>
      <c r="R60" s="5"/>
      <c r="S60" s="5"/>
      <c r="T60" s="6"/>
      <c r="U60" s="5"/>
      <c r="V60" s="6"/>
      <c r="W60" s="7"/>
      <c r="X60" s="8"/>
      <c r="Y60" s="6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6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C60" s="6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M60" s="19"/>
      <c r="JO60" s="5"/>
      <c r="JP60" s="5"/>
      <c r="JQ60" s="5"/>
      <c r="JR60" s="5"/>
      <c r="JS60" s="6"/>
      <c r="JT60" s="23"/>
      <c r="JU60" s="13"/>
      <c r="JV60" s="6"/>
      <c r="JW60" s="6"/>
      <c r="JX60" s="6"/>
      <c r="JY60" s="6"/>
      <c r="JZ60" s="10"/>
      <c r="KA60" s="10"/>
      <c r="KB60" s="10"/>
      <c r="KC60" s="10"/>
      <c r="KD60" s="5"/>
      <c r="KE60" s="6"/>
    </row>
    <row r="61" spans="6:291" ht="14.4" customHeight="1" x14ac:dyDescent="0.3">
      <c r="F61" s="17"/>
      <c r="G61" s="9"/>
      <c r="H61" s="3"/>
      <c r="I61" s="3"/>
      <c r="J61" s="3"/>
      <c r="K61" s="3"/>
      <c r="L61" s="3"/>
      <c r="M61" s="3"/>
      <c r="N61" s="3"/>
      <c r="O61" s="3"/>
      <c r="P61" s="4"/>
      <c r="Q61" s="5"/>
      <c r="R61" s="5"/>
      <c r="S61" s="5"/>
      <c r="T61" s="6"/>
      <c r="U61" s="5"/>
      <c r="V61" s="6"/>
      <c r="W61" s="7"/>
      <c r="X61" s="8"/>
      <c r="Y61" s="6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6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C61" s="6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  <c r="JE61" s="5"/>
      <c r="JF61" s="5"/>
      <c r="JG61" s="5"/>
      <c r="JH61" s="5"/>
      <c r="JI61" s="5"/>
      <c r="JJ61" s="5"/>
      <c r="JK61" s="5"/>
      <c r="JM61" s="19"/>
      <c r="JO61" s="5"/>
      <c r="JP61" s="5"/>
      <c r="JQ61" s="5"/>
      <c r="JR61" s="5"/>
      <c r="JS61" s="6"/>
      <c r="JT61" s="23"/>
      <c r="JU61" s="13"/>
      <c r="JV61" s="6"/>
      <c r="JW61" s="6"/>
      <c r="JX61" s="6"/>
      <c r="JY61" s="6"/>
      <c r="JZ61" s="10"/>
      <c r="KA61" s="10"/>
      <c r="KB61" s="10"/>
      <c r="KC61" s="10"/>
      <c r="KD61" s="5"/>
      <c r="KE61" s="6"/>
    </row>
    <row r="62" spans="6:291" x14ac:dyDescent="0.3">
      <c r="F62" s="17"/>
      <c r="G62" s="9"/>
      <c r="H62" s="3"/>
      <c r="I62" s="3"/>
      <c r="J62" s="3"/>
      <c r="K62" s="3"/>
      <c r="L62" s="3"/>
      <c r="M62" s="3"/>
      <c r="N62" s="3"/>
      <c r="O62" s="3"/>
      <c r="P62" s="4"/>
      <c r="Q62" s="5"/>
      <c r="R62" s="5"/>
      <c r="S62" s="5"/>
      <c r="T62" s="6"/>
      <c r="U62" s="5"/>
      <c r="V62" s="6"/>
      <c r="W62" s="7"/>
      <c r="X62" s="8"/>
      <c r="Y62" s="6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6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C62" s="6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M62" s="19"/>
      <c r="JO62" s="5"/>
      <c r="JP62" s="5"/>
      <c r="JQ62" s="5"/>
      <c r="JR62" s="5"/>
      <c r="JS62" s="6"/>
      <c r="JT62" s="23"/>
      <c r="JU62" s="13"/>
      <c r="JV62" s="6"/>
      <c r="JW62" s="6"/>
      <c r="JX62" s="6"/>
      <c r="JY62" s="6"/>
      <c r="JZ62" s="10"/>
      <c r="KA62" s="10"/>
      <c r="KB62" s="10"/>
      <c r="KC62" s="10"/>
      <c r="KD62" s="5"/>
      <c r="KE62" s="6"/>
    </row>
    <row r="63" spans="6:291" x14ac:dyDescent="0.3">
      <c r="F63" s="17"/>
      <c r="G63" s="9"/>
      <c r="H63" s="3"/>
      <c r="I63" s="3"/>
      <c r="J63" s="3"/>
      <c r="K63" s="3"/>
      <c r="L63" s="3"/>
      <c r="M63" s="3"/>
      <c r="N63" s="3"/>
      <c r="O63" s="3"/>
      <c r="P63" s="4"/>
      <c r="Q63" s="5"/>
      <c r="R63" s="5"/>
      <c r="S63" s="5"/>
      <c r="T63" s="6"/>
      <c r="U63" s="5"/>
      <c r="V63" s="6"/>
      <c r="W63" s="7"/>
      <c r="X63" s="8"/>
      <c r="Y63" s="6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6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C63" s="6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  <c r="JE63" s="5"/>
      <c r="JF63" s="5"/>
      <c r="JG63" s="5"/>
      <c r="JH63" s="5"/>
      <c r="JI63" s="5"/>
      <c r="JJ63" s="5"/>
      <c r="JK63" s="5"/>
      <c r="JM63" s="19"/>
      <c r="JO63" s="5"/>
      <c r="JP63" s="5"/>
      <c r="JQ63" s="5"/>
      <c r="JR63" s="5"/>
      <c r="JS63" s="6"/>
      <c r="JT63" s="23"/>
      <c r="JU63" s="13"/>
      <c r="JV63" s="6"/>
      <c r="JW63" s="6"/>
      <c r="JX63" s="6"/>
      <c r="JY63" s="6"/>
      <c r="JZ63" s="10"/>
      <c r="KA63" s="10"/>
      <c r="KB63" s="10"/>
      <c r="KC63" s="10"/>
      <c r="KD63" s="5"/>
      <c r="KE63" s="6"/>
    </row>
    <row r="64" spans="6:291" x14ac:dyDescent="0.3">
      <c r="F64" s="17"/>
      <c r="G64" s="9"/>
      <c r="H64" s="3"/>
      <c r="I64" s="3"/>
      <c r="J64" s="3"/>
      <c r="K64" s="3"/>
      <c r="L64" s="3"/>
      <c r="M64" s="3"/>
      <c r="N64" s="3"/>
      <c r="O64" s="3"/>
      <c r="P64" s="4"/>
      <c r="Q64" s="5"/>
      <c r="R64" s="5"/>
      <c r="S64" s="5"/>
      <c r="T64" s="6"/>
      <c r="U64" s="5"/>
      <c r="V64" s="6"/>
      <c r="W64" s="7"/>
      <c r="X64" s="8"/>
      <c r="Y64" s="6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6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C64" s="6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  <c r="JE64" s="5"/>
      <c r="JF64" s="5"/>
      <c r="JG64" s="5"/>
      <c r="JH64" s="5"/>
      <c r="JI64" s="5"/>
      <c r="JJ64" s="5"/>
      <c r="JK64" s="5"/>
      <c r="JM64" s="19"/>
      <c r="JO64" s="5"/>
      <c r="JP64" s="5"/>
      <c r="JQ64" s="5"/>
      <c r="JR64" s="5"/>
      <c r="JS64" s="6"/>
      <c r="JT64" s="23"/>
      <c r="JU64" s="13"/>
      <c r="JV64" s="6"/>
      <c r="JW64" s="6"/>
      <c r="JX64" s="6"/>
      <c r="JY64" s="6"/>
      <c r="JZ64" s="10"/>
      <c r="KA64" s="10"/>
      <c r="KB64" s="10"/>
      <c r="KC64" s="10"/>
      <c r="KD64" s="5"/>
      <c r="KE64" s="6"/>
    </row>
    <row r="65" spans="6:291" ht="14.4" customHeight="1" x14ac:dyDescent="0.3">
      <c r="F65" s="17"/>
      <c r="G65" s="9"/>
      <c r="H65" s="3"/>
      <c r="I65" s="3"/>
      <c r="J65" s="3"/>
      <c r="K65" s="3"/>
      <c r="L65" s="3"/>
      <c r="M65" s="3"/>
      <c r="N65" s="3"/>
      <c r="O65" s="3"/>
      <c r="P65" s="4"/>
      <c r="Q65" s="5"/>
      <c r="R65" s="5"/>
      <c r="S65" s="5"/>
      <c r="T65" s="6"/>
      <c r="U65" s="5"/>
      <c r="V65" s="6"/>
      <c r="W65" s="7"/>
      <c r="X65" s="8"/>
      <c r="Y65" s="6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6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C65" s="6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  <c r="JE65" s="5"/>
      <c r="JF65" s="5"/>
      <c r="JG65" s="5"/>
      <c r="JH65" s="5"/>
      <c r="JI65" s="5"/>
      <c r="JJ65" s="5"/>
      <c r="JK65" s="5"/>
      <c r="JM65" s="19"/>
      <c r="JO65" s="5"/>
      <c r="JP65" s="5"/>
      <c r="JQ65" s="5"/>
      <c r="JR65" s="5"/>
      <c r="JS65" s="6"/>
      <c r="JT65" s="23"/>
      <c r="JU65" s="13"/>
      <c r="JV65" s="6"/>
      <c r="JW65" s="6"/>
      <c r="JX65" s="6"/>
      <c r="JY65" s="6"/>
      <c r="JZ65" s="10"/>
      <c r="KA65" s="10"/>
      <c r="KB65" s="10"/>
      <c r="KC65" s="10"/>
      <c r="KD65" s="5"/>
      <c r="KE65" s="6"/>
    </row>
    <row r="66" spans="6:291" x14ac:dyDescent="0.3">
      <c r="F66" s="17"/>
      <c r="G66" s="9"/>
      <c r="H66" s="3"/>
      <c r="I66" s="3"/>
      <c r="J66" s="3"/>
      <c r="K66" s="3"/>
      <c r="L66" s="3"/>
      <c r="M66" s="3"/>
      <c r="N66" s="3"/>
      <c r="O66" s="3"/>
      <c r="P66" s="4"/>
      <c r="Q66" s="5"/>
      <c r="R66" s="5"/>
      <c r="S66" s="5"/>
      <c r="T66" s="6"/>
      <c r="U66" s="5"/>
      <c r="V66" s="6"/>
      <c r="W66" s="7"/>
      <c r="X66" s="8"/>
      <c r="Y66" s="6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6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C66" s="6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  <c r="JE66" s="5"/>
      <c r="JF66" s="5"/>
      <c r="JG66" s="5"/>
      <c r="JH66" s="5"/>
      <c r="JI66" s="5"/>
      <c r="JJ66" s="5"/>
      <c r="JK66" s="5"/>
      <c r="JM66" s="19"/>
      <c r="JO66" s="5"/>
      <c r="JP66" s="5"/>
      <c r="JQ66" s="5"/>
      <c r="JR66" s="5"/>
      <c r="JS66" s="6"/>
      <c r="JT66" s="23"/>
      <c r="JU66" s="13"/>
      <c r="JV66" s="6"/>
      <c r="JW66" s="6"/>
      <c r="JX66" s="6"/>
      <c r="JY66" s="6"/>
      <c r="JZ66" s="10"/>
      <c r="KA66" s="10"/>
      <c r="KB66" s="10"/>
      <c r="KC66" s="10"/>
      <c r="KD66" s="5"/>
      <c r="KE66" s="6"/>
    </row>
    <row r="67" spans="6:291" x14ac:dyDescent="0.3">
      <c r="F67" s="17"/>
      <c r="G67" s="9"/>
      <c r="H67" s="3"/>
      <c r="I67" s="3"/>
      <c r="J67" s="3"/>
      <c r="K67" s="3"/>
      <c r="L67" s="3"/>
      <c r="M67" s="3"/>
      <c r="N67" s="3"/>
      <c r="O67" s="3"/>
      <c r="P67" s="4"/>
      <c r="Q67" s="5"/>
      <c r="R67" s="5"/>
      <c r="S67" s="5"/>
      <c r="T67" s="6"/>
      <c r="U67" s="5"/>
      <c r="V67" s="6"/>
      <c r="W67" s="7"/>
      <c r="X67" s="8"/>
      <c r="Y67" s="6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6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C67" s="6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M67" s="19"/>
      <c r="JO67" s="5"/>
      <c r="JP67" s="5"/>
      <c r="JQ67" s="5"/>
      <c r="JR67" s="5"/>
      <c r="JS67" s="6"/>
      <c r="JT67" s="23"/>
      <c r="JU67" s="13"/>
      <c r="JV67" s="6"/>
      <c r="JW67" s="6"/>
      <c r="JX67" s="6"/>
      <c r="JY67" s="6"/>
      <c r="JZ67" s="10"/>
      <c r="KA67" s="10"/>
      <c r="KB67" s="10"/>
      <c r="KC67" s="10"/>
      <c r="KD67" s="5"/>
      <c r="KE67" s="6"/>
    </row>
    <row r="68" spans="6:291" x14ac:dyDescent="0.3">
      <c r="F68" s="17"/>
      <c r="G68" s="9"/>
      <c r="H68" s="3"/>
      <c r="I68" s="3"/>
      <c r="J68" s="3"/>
      <c r="K68" s="3"/>
      <c r="L68" s="3"/>
      <c r="M68" s="3"/>
      <c r="N68" s="3"/>
      <c r="O68" s="3"/>
      <c r="P68" s="4"/>
      <c r="Q68" s="5"/>
      <c r="R68" s="5"/>
      <c r="S68" s="5"/>
      <c r="T68" s="6"/>
      <c r="U68" s="5"/>
      <c r="V68" s="6"/>
      <c r="W68" s="7"/>
      <c r="X68" s="8"/>
      <c r="Y68" s="6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6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C68" s="6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  <c r="JC68" s="5"/>
      <c r="JD68" s="5"/>
      <c r="JE68" s="5"/>
      <c r="JF68" s="5"/>
      <c r="JG68" s="5"/>
      <c r="JH68" s="5"/>
      <c r="JI68" s="5"/>
      <c r="JJ68" s="5"/>
      <c r="JK68" s="5"/>
      <c r="JM68" s="19"/>
      <c r="JO68" s="5"/>
      <c r="JP68" s="5"/>
      <c r="JQ68" s="5"/>
      <c r="JR68" s="5"/>
      <c r="JS68" s="6"/>
      <c r="JT68" s="23"/>
      <c r="JU68" s="13"/>
      <c r="JV68" s="6"/>
      <c r="JW68" s="6"/>
      <c r="JX68" s="6"/>
      <c r="JY68" s="6"/>
      <c r="JZ68" s="10"/>
      <c r="KA68" s="10"/>
      <c r="KB68" s="10"/>
      <c r="KC68" s="10"/>
      <c r="KD68" s="5"/>
      <c r="KE68" s="6"/>
    </row>
    <row r="69" spans="6:291" ht="14.4" customHeight="1" x14ac:dyDescent="0.3">
      <c r="F69" s="17"/>
      <c r="G69" s="9"/>
      <c r="H69" s="3"/>
      <c r="I69" s="3"/>
      <c r="J69" s="3"/>
      <c r="K69" s="3"/>
      <c r="L69" s="3"/>
      <c r="M69" s="3"/>
      <c r="N69" s="3"/>
      <c r="O69" s="3"/>
      <c r="P69" s="4"/>
      <c r="Q69" s="5"/>
      <c r="R69" s="5"/>
      <c r="S69" s="5"/>
      <c r="T69" s="6"/>
      <c r="U69" s="5"/>
      <c r="V69" s="6"/>
      <c r="W69" s="7"/>
      <c r="X69" s="8"/>
      <c r="Y69" s="6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6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C69" s="6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  <c r="JC69" s="5"/>
      <c r="JD69" s="5"/>
      <c r="JE69" s="5"/>
      <c r="JF69" s="5"/>
      <c r="JG69" s="5"/>
      <c r="JH69" s="5"/>
      <c r="JI69" s="5"/>
      <c r="JJ69" s="5"/>
      <c r="JK69" s="5"/>
      <c r="JM69" s="19"/>
      <c r="JO69" s="5"/>
      <c r="JP69" s="5"/>
      <c r="JQ69" s="5"/>
      <c r="JR69" s="5"/>
      <c r="JS69" s="6"/>
      <c r="JT69" s="23"/>
      <c r="JU69" s="13"/>
      <c r="JV69" s="6"/>
      <c r="JW69" s="6"/>
      <c r="JX69" s="6"/>
      <c r="JY69" s="6"/>
      <c r="JZ69" s="10"/>
      <c r="KA69" s="10"/>
      <c r="KB69" s="10"/>
      <c r="KC69" s="10"/>
      <c r="KD69" s="5"/>
      <c r="KE69" s="6"/>
    </row>
    <row r="70" spans="6:291" x14ac:dyDescent="0.3">
      <c r="F70" s="17"/>
      <c r="G70" s="9"/>
      <c r="H70" s="3"/>
      <c r="I70" s="3"/>
      <c r="J70" s="3"/>
      <c r="K70" s="3"/>
      <c r="L70" s="3"/>
      <c r="M70" s="3"/>
      <c r="N70" s="3"/>
      <c r="O70" s="3"/>
      <c r="P70" s="4"/>
      <c r="Q70" s="5"/>
      <c r="R70" s="5"/>
      <c r="S70" s="5"/>
      <c r="T70" s="6"/>
      <c r="U70" s="5"/>
      <c r="V70" s="6"/>
      <c r="W70" s="7"/>
      <c r="X70" s="8"/>
      <c r="Y70" s="6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6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C70" s="6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  <c r="JC70" s="5"/>
      <c r="JD70" s="5"/>
      <c r="JE70" s="5"/>
      <c r="JF70" s="5"/>
      <c r="JG70" s="5"/>
      <c r="JH70" s="5"/>
      <c r="JI70" s="5"/>
      <c r="JJ70" s="5"/>
      <c r="JK70" s="5"/>
      <c r="JM70" s="19"/>
      <c r="JO70" s="5"/>
      <c r="JP70" s="5"/>
      <c r="JQ70" s="5"/>
      <c r="JR70" s="5"/>
      <c r="JS70" s="6"/>
      <c r="JT70" s="23"/>
      <c r="JU70" s="13"/>
      <c r="JV70" s="6"/>
      <c r="JW70" s="6"/>
      <c r="JX70" s="6"/>
      <c r="JY70" s="6"/>
      <c r="JZ70" s="10"/>
      <c r="KA70" s="10"/>
      <c r="KB70" s="10"/>
      <c r="KC70" s="10"/>
      <c r="KD70" s="5"/>
      <c r="KE70" s="6"/>
    </row>
    <row r="71" spans="6:291" x14ac:dyDescent="0.3">
      <c r="F71" s="17"/>
      <c r="G71" s="9"/>
      <c r="H71" s="3"/>
      <c r="I71" s="3"/>
      <c r="J71" s="3"/>
      <c r="K71" s="3"/>
      <c r="L71" s="3"/>
      <c r="M71" s="3"/>
      <c r="N71" s="3"/>
      <c r="O71" s="3"/>
      <c r="P71" s="4"/>
      <c r="Q71" s="5"/>
      <c r="R71" s="5"/>
      <c r="S71" s="5"/>
      <c r="T71" s="6"/>
      <c r="U71" s="5"/>
      <c r="V71" s="6"/>
      <c r="W71" s="7"/>
      <c r="X71" s="8"/>
      <c r="Y71" s="6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6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C71" s="6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  <c r="JC71" s="5"/>
      <c r="JD71" s="5"/>
      <c r="JE71" s="5"/>
      <c r="JF71" s="5"/>
      <c r="JG71" s="5"/>
      <c r="JH71" s="5"/>
      <c r="JI71" s="5"/>
      <c r="JJ71" s="5"/>
      <c r="JK71" s="5"/>
      <c r="JM71" s="19"/>
      <c r="JO71" s="5"/>
      <c r="JP71" s="5"/>
      <c r="JQ71" s="5"/>
      <c r="JR71" s="5"/>
      <c r="JS71" s="6"/>
      <c r="JT71" s="23"/>
      <c r="JU71" s="13"/>
      <c r="JV71" s="6"/>
      <c r="JW71" s="6"/>
      <c r="JX71" s="6"/>
      <c r="JY71" s="6"/>
      <c r="JZ71" s="10"/>
      <c r="KA71" s="10"/>
      <c r="KB71" s="10"/>
      <c r="KC71" s="10"/>
      <c r="KD71" s="5"/>
      <c r="KE71" s="6"/>
    </row>
    <row r="72" spans="6:291" x14ac:dyDescent="0.3">
      <c r="F72" s="17"/>
      <c r="G72" s="9"/>
      <c r="H72" s="3"/>
      <c r="I72" s="3"/>
      <c r="J72" s="3"/>
      <c r="K72" s="3"/>
      <c r="L72" s="3"/>
      <c r="M72" s="3"/>
      <c r="N72" s="3"/>
      <c r="O72" s="3"/>
      <c r="P72" s="4"/>
      <c r="Q72" s="5"/>
      <c r="R72" s="5"/>
      <c r="S72" s="5"/>
      <c r="T72" s="6"/>
      <c r="U72" s="5"/>
      <c r="V72" s="6"/>
      <c r="W72" s="7"/>
      <c r="X72" s="8"/>
      <c r="Y72" s="6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6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C72" s="6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  <c r="JC72" s="5"/>
      <c r="JD72" s="5"/>
      <c r="JE72" s="5"/>
      <c r="JF72" s="5"/>
      <c r="JG72" s="5"/>
      <c r="JH72" s="5"/>
      <c r="JI72" s="5"/>
      <c r="JJ72" s="5"/>
      <c r="JK72" s="5"/>
      <c r="JM72" s="19"/>
      <c r="JO72" s="5"/>
      <c r="JP72" s="5"/>
      <c r="JQ72" s="5"/>
      <c r="JR72" s="5"/>
      <c r="JS72" s="6"/>
      <c r="JT72" s="23"/>
      <c r="JU72" s="13"/>
      <c r="JV72" s="6"/>
      <c r="JW72" s="6"/>
      <c r="JX72" s="6"/>
      <c r="JY72" s="6"/>
      <c r="JZ72" s="10"/>
      <c r="KA72" s="10"/>
      <c r="KB72" s="10"/>
      <c r="KC72" s="10"/>
      <c r="KD72" s="5"/>
      <c r="KE72" s="6"/>
    </row>
    <row r="73" spans="6:291" x14ac:dyDescent="0.3">
      <c r="F73" s="17"/>
      <c r="G73" s="9"/>
      <c r="H73" s="3"/>
      <c r="I73" s="3"/>
      <c r="J73" s="3"/>
      <c r="K73" s="3"/>
      <c r="L73" s="3"/>
      <c r="M73" s="3"/>
      <c r="N73" s="3"/>
      <c r="O73" s="3"/>
      <c r="P73" s="4"/>
      <c r="Q73" s="5"/>
      <c r="R73" s="5"/>
      <c r="S73" s="5"/>
      <c r="T73" s="6"/>
      <c r="U73" s="5"/>
      <c r="V73" s="6"/>
      <c r="W73" s="7"/>
      <c r="X73" s="8"/>
      <c r="Y73" s="6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6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C73" s="6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  <c r="JC73" s="5"/>
      <c r="JD73" s="5"/>
      <c r="JE73" s="5"/>
      <c r="JF73" s="5"/>
      <c r="JG73" s="5"/>
      <c r="JH73" s="5"/>
      <c r="JI73" s="5"/>
      <c r="JJ73" s="5"/>
      <c r="JK73" s="5"/>
      <c r="JM73" s="19"/>
      <c r="JO73" s="5"/>
      <c r="JP73" s="5"/>
      <c r="JQ73" s="5"/>
      <c r="JR73" s="5"/>
      <c r="JS73" s="6"/>
      <c r="JT73" s="23"/>
      <c r="JU73" s="13"/>
      <c r="JV73" s="6"/>
      <c r="JW73" s="6"/>
      <c r="JX73" s="6"/>
      <c r="JY73" s="6"/>
      <c r="JZ73" s="10"/>
      <c r="KA73" s="10"/>
      <c r="KB73" s="10"/>
      <c r="KC73" s="10"/>
      <c r="KD73" s="5"/>
      <c r="KE73" s="6"/>
    </row>
    <row r="74" spans="6:291" x14ac:dyDescent="0.3">
      <c r="F74" s="17"/>
      <c r="G74" s="9"/>
      <c r="H74" s="3"/>
      <c r="I74" s="3"/>
      <c r="J74" s="3"/>
      <c r="K74" s="3"/>
      <c r="L74" s="3"/>
      <c r="M74" s="3"/>
      <c r="N74" s="3"/>
      <c r="O74" s="3"/>
      <c r="P74" s="4"/>
      <c r="Q74" s="5"/>
      <c r="R74" s="5"/>
      <c r="S74" s="5"/>
      <c r="T74" s="6"/>
      <c r="U74" s="5"/>
      <c r="V74" s="6"/>
      <c r="W74" s="7"/>
      <c r="X74" s="8"/>
      <c r="Y74" s="6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6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C74" s="6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  <c r="JC74" s="5"/>
      <c r="JD74" s="5"/>
      <c r="JE74" s="5"/>
      <c r="JF74" s="5"/>
      <c r="JG74" s="5"/>
      <c r="JH74" s="5"/>
      <c r="JI74" s="5"/>
      <c r="JJ74" s="5"/>
      <c r="JK74" s="5"/>
      <c r="JM74" s="19"/>
      <c r="JO74" s="5"/>
      <c r="JP74" s="5"/>
      <c r="JQ74" s="5"/>
      <c r="JR74" s="5"/>
      <c r="JS74" s="6"/>
      <c r="JT74" s="23"/>
      <c r="JU74" s="13"/>
      <c r="JV74" s="6"/>
      <c r="JW74" s="6"/>
      <c r="JX74" s="6"/>
      <c r="JY74" s="6"/>
      <c r="JZ74" s="10"/>
      <c r="KA74" s="10"/>
      <c r="KB74" s="10"/>
      <c r="KC74" s="10"/>
      <c r="KD74" s="5"/>
      <c r="KE74" s="6"/>
    </row>
    <row r="75" spans="6:291" x14ac:dyDescent="0.3">
      <c r="F75" s="17"/>
      <c r="G75" s="9"/>
      <c r="H75" s="3"/>
      <c r="I75" s="3"/>
      <c r="J75" s="3"/>
      <c r="K75" s="3"/>
      <c r="L75" s="3"/>
      <c r="M75" s="3"/>
      <c r="N75" s="3"/>
      <c r="O75" s="3"/>
      <c r="P75" s="4"/>
      <c r="Q75" s="5"/>
      <c r="R75" s="5"/>
      <c r="S75" s="5"/>
      <c r="T75" s="6"/>
      <c r="U75" s="5"/>
      <c r="V75" s="6"/>
      <c r="W75" s="7"/>
      <c r="X75" s="8"/>
      <c r="Y75" s="6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6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C75" s="6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  <c r="JC75" s="5"/>
      <c r="JD75" s="5"/>
      <c r="JE75" s="5"/>
      <c r="JF75" s="5"/>
      <c r="JG75" s="5"/>
      <c r="JH75" s="5"/>
      <c r="JI75" s="5"/>
      <c r="JJ75" s="5"/>
      <c r="JK75" s="5"/>
      <c r="JM75" s="19"/>
      <c r="JO75" s="5"/>
      <c r="JP75" s="5"/>
      <c r="JQ75" s="5"/>
      <c r="JR75" s="5"/>
      <c r="JS75" s="6"/>
      <c r="JT75" s="23"/>
      <c r="JU75" s="13"/>
      <c r="JV75" s="6"/>
      <c r="JW75" s="6"/>
      <c r="JX75" s="6"/>
      <c r="JY75" s="6"/>
      <c r="JZ75" s="10"/>
      <c r="KA75" s="10"/>
      <c r="KB75" s="10"/>
      <c r="KC75" s="10"/>
      <c r="KD75" s="5"/>
      <c r="KE75" s="6"/>
    </row>
    <row r="76" spans="6:291" x14ac:dyDescent="0.3">
      <c r="F76" s="17"/>
      <c r="G76" s="9"/>
      <c r="H76" s="3"/>
      <c r="I76" s="3"/>
      <c r="J76" s="3"/>
      <c r="K76" s="3"/>
      <c r="L76" s="3"/>
      <c r="M76" s="3"/>
      <c r="N76" s="3"/>
      <c r="O76" s="3"/>
      <c r="P76" s="4"/>
      <c r="Q76" s="5"/>
      <c r="R76" s="5"/>
      <c r="S76" s="5"/>
      <c r="T76" s="6"/>
      <c r="U76" s="5"/>
      <c r="V76" s="6"/>
      <c r="W76" s="7"/>
      <c r="X76" s="8"/>
      <c r="Y76" s="6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6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C76" s="6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  <c r="JE76" s="5"/>
      <c r="JF76" s="5"/>
      <c r="JG76" s="5"/>
      <c r="JH76" s="5"/>
      <c r="JI76" s="5"/>
      <c r="JJ76" s="5"/>
      <c r="JK76" s="5"/>
      <c r="JM76" s="19"/>
      <c r="JO76" s="5"/>
      <c r="JP76" s="5"/>
      <c r="JQ76" s="5"/>
      <c r="JR76" s="5"/>
      <c r="JS76" s="6"/>
      <c r="JT76" s="23"/>
      <c r="JU76" s="13"/>
      <c r="JV76" s="6"/>
      <c r="JW76" s="6"/>
      <c r="JX76" s="6"/>
      <c r="JY76" s="6"/>
      <c r="JZ76" s="10"/>
      <c r="KA76" s="10"/>
      <c r="KB76" s="10"/>
      <c r="KC76" s="10"/>
      <c r="KD76" s="5"/>
      <c r="KE76" s="6"/>
    </row>
    <row r="77" spans="6:291" ht="14.4" customHeight="1" x14ac:dyDescent="0.3">
      <c r="F77" s="17"/>
      <c r="G77" s="9"/>
      <c r="H77" s="3"/>
      <c r="I77" s="3"/>
      <c r="J77" s="3"/>
      <c r="K77" s="3"/>
      <c r="L77" s="3"/>
      <c r="M77" s="3"/>
      <c r="N77" s="3"/>
      <c r="O77" s="3"/>
      <c r="P77" s="4"/>
      <c r="Q77" s="5"/>
      <c r="R77" s="5"/>
      <c r="S77" s="5"/>
      <c r="T77" s="6"/>
      <c r="U77" s="5"/>
      <c r="V77" s="6"/>
      <c r="W77" s="7"/>
      <c r="X77" s="8"/>
      <c r="Y77" s="6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6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C77" s="6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  <c r="JC77" s="5"/>
      <c r="JD77" s="5"/>
      <c r="JE77" s="5"/>
      <c r="JF77" s="5"/>
      <c r="JG77" s="5"/>
      <c r="JH77" s="5"/>
      <c r="JI77" s="5"/>
      <c r="JJ77" s="5"/>
      <c r="JK77" s="5"/>
      <c r="JM77" s="19"/>
      <c r="JO77" s="5"/>
      <c r="JP77" s="5"/>
      <c r="JQ77" s="5"/>
      <c r="JR77" s="5"/>
      <c r="JS77" s="6"/>
      <c r="JT77" s="23"/>
      <c r="JU77" s="13"/>
      <c r="JV77" s="6"/>
      <c r="JW77" s="6"/>
      <c r="JX77" s="6"/>
      <c r="JY77" s="6"/>
      <c r="JZ77" s="10"/>
      <c r="KA77" s="10"/>
      <c r="KB77" s="10"/>
      <c r="KC77" s="10"/>
      <c r="KD77" s="5"/>
      <c r="KE77" s="6"/>
    </row>
    <row r="78" spans="6:291" x14ac:dyDescent="0.3">
      <c r="F78" s="17"/>
      <c r="G78" s="9"/>
      <c r="H78" s="3"/>
      <c r="I78" s="3"/>
      <c r="J78" s="3"/>
      <c r="K78" s="3"/>
      <c r="L78" s="3"/>
      <c r="M78" s="3"/>
      <c r="N78" s="3"/>
      <c r="O78" s="3"/>
      <c r="P78" s="4"/>
      <c r="Q78" s="5"/>
      <c r="R78" s="5"/>
      <c r="S78" s="5"/>
      <c r="T78" s="6"/>
      <c r="U78" s="5"/>
      <c r="V78" s="6"/>
      <c r="W78" s="7"/>
      <c r="X78" s="8"/>
      <c r="Y78" s="6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6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C78" s="6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  <c r="JC78" s="5"/>
      <c r="JD78" s="5"/>
      <c r="JE78" s="5"/>
      <c r="JF78" s="5"/>
      <c r="JG78" s="5"/>
      <c r="JH78" s="5"/>
      <c r="JI78" s="5"/>
      <c r="JJ78" s="5"/>
      <c r="JK78" s="5"/>
      <c r="JM78" s="19"/>
      <c r="JO78" s="5"/>
      <c r="JP78" s="5"/>
      <c r="JQ78" s="5"/>
      <c r="JR78" s="5"/>
      <c r="JS78" s="6"/>
      <c r="JT78" s="23"/>
      <c r="JU78" s="13"/>
      <c r="JV78" s="6"/>
      <c r="JW78" s="6"/>
      <c r="JX78" s="6"/>
      <c r="JY78" s="6"/>
      <c r="JZ78" s="10"/>
      <c r="KA78" s="10"/>
      <c r="KB78" s="10"/>
      <c r="KC78" s="10"/>
      <c r="KD78" s="5"/>
      <c r="KE78" s="6"/>
    </row>
    <row r="79" spans="6:291" x14ac:dyDescent="0.3">
      <c r="F79" s="17"/>
      <c r="G79" s="9"/>
      <c r="H79" s="3"/>
      <c r="I79" s="3"/>
      <c r="J79" s="3"/>
      <c r="K79" s="3"/>
      <c r="L79" s="3"/>
      <c r="M79" s="3"/>
      <c r="N79" s="3"/>
      <c r="O79" s="3"/>
      <c r="P79" s="4"/>
      <c r="Q79" s="5"/>
      <c r="R79" s="5"/>
      <c r="S79" s="5"/>
      <c r="T79" s="6"/>
      <c r="U79" s="5"/>
      <c r="V79" s="6"/>
      <c r="W79" s="7"/>
      <c r="X79" s="8"/>
      <c r="Y79" s="6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6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C79" s="6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  <c r="JC79" s="5"/>
      <c r="JD79" s="5"/>
      <c r="JE79" s="5"/>
      <c r="JF79" s="5"/>
      <c r="JG79" s="5"/>
      <c r="JH79" s="5"/>
      <c r="JI79" s="5"/>
      <c r="JJ79" s="5"/>
      <c r="JK79" s="5"/>
      <c r="JM79" s="19"/>
      <c r="JO79" s="5"/>
      <c r="JP79" s="5"/>
      <c r="JQ79" s="5"/>
      <c r="JR79" s="5"/>
      <c r="JS79" s="6"/>
      <c r="JT79" s="23"/>
      <c r="JU79" s="13"/>
      <c r="JV79" s="6"/>
      <c r="JW79" s="6"/>
      <c r="JX79" s="6"/>
      <c r="JY79" s="6"/>
      <c r="JZ79" s="10"/>
      <c r="KA79" s="10"/>
      <c r="KB79" s="10"/>
      <c r="KC79" s="10"/>
      <c r="KD79" s="5"/>
      <c r="KE79" s="6"/>
    </row>
    <row r="80" spans="6:291" x14ac:dyDescent="0.3">
      <c r="F80" s="17"/>
      <c r="G80" s="9"/>
      <c r="H80" s="3"/>
      <c r="I80" s="3"/>
      <c r="J80" s="3"/>
      <c r="K80" s="3"/>
      <c r="L80" s="3"/>
      <c r="M80" s="3"/>
      <c r="N80" s="3"/>
      <c r="O80" s="3"/>
      <c r="P80" s="4"/>
      <c r="Q80" s="5"/>
      <c r="R80" s="5"/>
      <c r="S80" s="5"/>
      <c r="T80" s="6"/>
      <c r="U80" s="5"/>
      <c r="V80" s="6"/>
      <c r="W80" s="7"/>
      <c r="X80" s="8"/>
      <c r="Y80" s="6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6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C80" s="6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  <c r="JC80" s="5"/>
      <c r="JD80" s="5"/>
      <c r="JE80" s="5"/>
      <c r="JF80" s="5"/>
      <c r="JG80" s="5"/>
      <c r="JH80" s="5"/>
      <c r="JI80" s="5"/>
      <c r="JJ80" s="5"/>
      <c r="JK80" s="5"/>
      <c r="JM80" s="19"/>
      <c r="JO80" s="5"/>
      <c r="JP80" s="5"/>
      <c r="JQ80" s="5"/>
      <c r="JR80" s="5"/>
      <c r="JS80" s="6"/>
      <c r="JT80" s="23"/>
      <c r="JU80" s="13"/>
      <c r="JV80" s="6"/>
      <c r="JW80" s="6"/>
      <c r="JX80" s="6"/>
      <c r="JY80" s="6"/>
      <c r="JZ80" s="10"/>
      <c r="KA80" s="10"/>
      <c r="KB80" s="10"/>
      <c r="KC80" s="10"/>
      <c r="KD80" s="5"/>
      <c r="KE80" s="6"/>
    </row>
    <row r="81" spans="6:291" x14ac:dyDescent="0.3">
      <c r="F81" s="17"/>
      <c r="G81" s="9"/>
      <c r="H81" s="3"/>
      <c r="I81" s="3"/>
      <c r="J81" s="3"/>
      <c r="K81" s="3"/>
      <c r="L81" s="3"/>
      <c r="M81" s="3"/>
      <c r="N81" s="3"/>
      <c r="O81" s="3"/>
      <c r="P81" s="4"/>
      <c r="Q81" s="5"/>
      <c r="R81" s="5"/>
      <c r="S81" s="5"/>
      <c r="T81" s="6"/>
      <c r="U81" s="5"/>
      <c r="V81" s="6"/>
      <c r="W81" s="7"/>
      <c r="X81" s="8"/>
      <c r="Y81" s="6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6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C81" s="6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  <c r="JC81" s="5"/>
      <c r="JD81" s="5"/>
      <c r="JE81" s="5"/>
      <c r="JF81" s="5"/>
      <c r="JG81" s="5"/>
      <c r="JH81" s="5"/>
      <c r="JI81" s="5"/>
      <c r="JJ81" s="5"/>
      <c r="JK81" s="5"/>
      <c r="JM81" s="19"/>
      <c r="JO81" s="5"/>
      <c r="JP81" s="5"/>
      <c r="JQ81" s="5"/>
      <c r="JR81" s="5"/>
      <c r="JS81" s="6"/>
      <c r="JT81" s="23"/>
      <c r="JU81" s="13"/>
      <c r="JV81" s="6"/>
      <c r="JW81" s="6"/>
      <c r="JX81" s="6"/>
      <c r="JY81" s="6"/>
      <c r="JZ81" s="10"/>
      <c r="KA81" s="10"/>
      <c r="KB81" s="10"/>
      <c r="KC81" s="10"/>
      <c r="KD81" s="5"/>
      <c r="KE81" s="6"/>
    </row>
    <row r="82" spans="6:291" ht="14.4" customHeight="1" x14ac:dyDescent="0.3">
      <c r="F82" s="17"/>
      <c r="G82" s="9"/>
      <c r="H82" s="3"/>
      <c r="I82" s="3"/>
      <c r="J82" s="3"/>
      <c r="K82" s="3"/>
      <c r="L82" s="3"/>
      <c r="M82" s="3"/>
      <c r="N82" s="3"/>
      <c r="O82" s="3"/>
      <c r="P82" s="4"/>
      <c r="Q82" s="5"/>
      <c r="R82" s="5"/>
      <c r="S82" s="5"/>
      <c r="T82" s="6"/>
      <c r="U82" s="5"/>
      <c r="V82" s="6"/>
      <c r="W82" s="7"/>
      <c r="X82" s="8"/>
      <c r="Y82" s="6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6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C82" s="6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  <c r="JC82" s="5"/>
      <c r="JD82" s="5"/>
      <c r="JE82" s="5"/>
      <c r="JF82" s="5"/>
      <c r="JG82" s="5"/>
      <c r="JH82" s="5"/>
      <c r="JI82" s="5"/>
      <c r="JJ82" s="5"/>
      <c r="JK82" s="5"/>
      <c r="JM82" s="19"/>
      <c r="JO82" s="5"/>
      <c r="JP82" s="5"/>
      <c r="JQ82" s="5"/>
      <c r="JR82" s="5"/>
      <c r="JS82" s="6"/>
      <c r="JT82" s="23"/>
      <c r="JU82" s="13"/>
      <c r="JV82" s="6"/>
      <c r="JW82" s="6"/>
      <c r="JX82" s="6"/>
      <c r="JY82" s="6"/>
      <c r="JZ82" s="10"/>
      <c r="KA82" s="10"/>
      <c r="KB82" s="10"/>
      <c r="KC82" s="10"/>
      <c r="KD82" s="5"/>
      <c r="KE82" s="6"/>
    </row>
    <row r="83" spans="6:291" ht="14.4" customHeight="1" x14ac:dyDescent="0.3">
      <c r="F83" s="17"/>
      <c r="G83" s="9"/>
      <c r="H83" s="3"/>
      <c r="I83" s="3"/>
      <c r="J83" s="3"/>
      <c r="K83" s="3"/>
      <c r="L83" s="3"/>
      <c r="M83" s="3"/>
      <c r="N83" s="3"/>
      <c r="O83" s="3"/>
      <c r="P83" s="4"/>
      <c r="Q83" s="5"/>
      <c r="R83" s="5"/>
      <c r="S83" s="5"/>
      <c r="T83" s="6"/>
      <c r="U83" s="5"/>
      <c r="V83" s="6"/>
      <c r="W83" s="7"/>
      <c r="X83" s="8"/>
      <c r="Y83" s="6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6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C83" s="6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  <c r="JC83" s="5"/>
      <c r="JD83" s="5"/>
      <c r="JE83" s="5"/>
      <c r="JF83" s="5"/>
      <c r="JG83" s="5"/>
      <c r="JH83" s="5"/>
      <c r="JI83" s="5"/>
      <c r="JJ83" s="5"/>
      <c r="JK83" s="5"/>
      <c r="JM83" s="19"/>
      <c r="JO83" s="5"/>
      <c r="JP83" s="5"/>
      <c r="JQ83" s="5"/>
      <c r="JR83" s="5"/>
      <c r="JS83" s="6"/>
      <c r="JT83" s="23"/>
      <c r="JU83" s="13"/>
      <c r="JV83" s="6"/>
      <c r="JW83" s="6"/>
      <c r="JX83" s="6"/>
      <c r="JY83" s="6"/>
      <c r="JZ83" s="10"/>
      <c r="KA83" s="10"/>
      <c r="KB83" s="10"/>
      <c r="KC83" s="10"/>
      <c r="KD83" s="5"/>
      <c r="KE83" s="6"/>
    </row>
    <row r="84" spans="6:291" ht="14.4" customHeight="1" x14ac:dyDescent="0.3">
      <c r="F84" s="17"/>
      <c r="G84" s="9"/>
      <c r="H84" s="3"/>
      <c r="I84" s="3"/>
      <c r="J84" s="3"/>
      <c r="K84" s="3"/>
      <c r="L84" s="3"/>
      <c r="M84" s="3"/>
      <c r="N84" s="3"/>
      <c r="O84" s="3"/>
      <c r="P84" s="4"/>
      <c r="Q84" s="5"/>
      <c r="R84" s="5"/>
      <c r="S84" s="5"/>
      <c r="T84" s="6"/>
      <c r="U84" s="5"/>
      <c r="V84" s="6"/>
      <c r="W84" s="7"/>
      <c r="X84" s="8"/>
      <c r="Y84" s="6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6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C84" s="6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  <c r="JC84" s="5"/>
      <c r="JD84" s="5"/>
      <c r="JE84" s="5"/>
      <c r="JF84" s="5"/>
      <c r="JG84" s="5"/>
      <c r="JH84" s="5"/>
      <c r="JI84" s="5"/>
      <c r="JJ84" s="5"/>
      <c r="JK84" s="5"/>
      <c r="JM84" s="19"/>
      <c r="JO84" s="5"/>
      <c r="JP84" s="5"/>
      <c r="JQ84" s="5"/>
      <c r="JR84" s="5"/>
      <c r="JS84" s="6"/>
      <c r="JT84" s="23"/>
      <c r="JU84" s="13"/>
      <c r="JV84" s="6"/>
      <c r="JW84" s="6"/>
      <c r="JX84" s="6"/>
      <c r="JY84" s="6"/>
      <c r="JZ84" s="10"/>
      <c r="KA84" s="10"/>
      <c r="KB84" s="10"/>
      <c r="KC84" s="10"/>
      <c r="KD84" s="5"/>
      <c r="KE84" s="6"/>
    </row>
    <row r="85" spans="6:291" ht="14.4" customHeight="1" x14ac:dyDescent="0.3">
      <c r="F85" s="17"/>
      <c r="G85" s="9"/>
      <c r="H85" s="3"/>
      <c r="I85" s="3"/>
      <c r="J85" s="3"/>
      <c r="K85" s="3"/>
      <c r="L85" s="3"/>
      <c r="M85" s="3"/>
      <c r="N85" s="3"/>
      <c r="O85" s="3"/>
      <c r="P85" s="4"/>
      <c r="Q85" s="5"/>
      <c r="R85" s="5"/>
      <c r="S85" s="5"/>
      <c r="T85" s="6"/>
      <c r="U85" s="5"/>
      <c r="V85" s="6"/>
      <c r="W85" s="7"/>
      <c r="X85" s="8"/>
      <c r="Y85" s="6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6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C85" s="6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M85" s="19"/>
      <c r="JO85" s="5"/>
      <c r="JP85" s="5"/>
      <c r="JQ85" s="5"/>
      <c r="JR85" s="5"/>
      <c r="JS85" s="6"/>
      <c r="JT85" s="23"/>
      <c r="JU85" s="13"/>
      <c r="JV85" s="6"/>
      <c r="JW85" s="6"/>
      <c r="JX85" s="6"/>
      <c r="JY85" s="6"/>
      <c r="JZ85" s="10"/>
      <c r="KA85" s="10"/>
      <c r="KB85" s="10"/>
      <c r="KC85" s="10"/>
      <c r="KD85" s="5"/>
      <c r="KE85" s="6"/>
    </row>
    <row r="86" spans="6:291" ht="14.4" customHeight="1" x14ac:dyDescent="0.3">
      <c r="F86" s="17"/>
      <c r="G86" s="9"/>
      <c r="H86" s="3"/>
      <c r="I86" s="3"/>
      <c r="J86" s="3"/>
      <c r="K86" s="3"/>
      <c r="L86" s="3"/>
      <c r="M86" s="3"/>
      <c r="N86" s="3"/>
      <c r="O86" s="3"/>
      <c r="P86" s="4"/>
      <c r="Q86" s="5"/>
      <c r="R86" s="5"/>
      <c r="S86" s="5"/>
      <c r="T86" s="6"/>
      <c r="U86" s="5"/>
      <c r="V86" s="6"/>
      <c r="W86" s="7"/>
      <c r="X86" s="8"/>
      <c r="Y86" s="6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6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C86" s="6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M86" s="19"/>
      <c r="JO86" s="5"/>
      <c r="JP86" s="5"/>
      <c r="JQ86" s="5"/>
      <c r="JR86" s="5"/>
      <c r="JS86" s="6"/>
      <c r="JT86" s="23"/>
      <c r="JU86" s="13"/>
      <c r="JV86" s="6"/>
      <c r="JW86" s="6"/>
      <c r="JX86" s="6"/>
      <c r="JY86" s="6"/>
      <c r="JZ86" s="10"/>
      <c r="KA86" s="10"/>
      <c r="KB86" s="10"/>
      <c r="KC86" s="10"/>
      <c r="KD86" s="5"/>
      <c r="KE86" s="6"/>
    </row>
    <row r="87" spans="6:291" ht="14.4" customHeight="1" x14ac:dyDescent="0.3">
      <c r="F87" s="17"/>
      <c r="G87" s="9"/>
      <c r="H87" s="3"/>
      <c r="I87" s="3"/>
      <c r="J87" s="3"/>
      <c r="K87" s="3"/>
      <c r="L87" s="3"/>
      <c r="M87" s="3"/>
      <c r="N87" s="3"/>
      <c r="O87" s="3"/>
      <c r="P87" s="4"/>
      <c r="Q87" s="5"/>
      <c r="R87" s="5"/>
      <c r="S87" s="5"/>
      <c r="T87" s="6"/>
      <c r="U87" s="5"/>
      <c r="V87" s="6"/>
      <c r="W87" s="7"/>
      <c r="X87" s="8"/>
      <c r="Y87" s="6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6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C87" s="6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M87" s="19"/>
      <c r="JO87" s="5"/>
      <c r="JP87" s="5"/>
      <c r="JQ87" s="5"/>
      <c r="JR87" s="5"/>
      <c r="JS87" s="6"/>
      <c r="JT87" s="23"/>
      <c r="JU87" s="13"/>
      <c r="JV87" s="6"/>
      <c r="JW87" s="6"/>
      <c r="JX87" s="6"/>
      <c r="JY87" s="6"/>
      <c r="JZ87" s="10"/>
      <c r="KA87" s="10"/>
      <c r="KB87" s="10"/>
      <c r="KC87" s="10"/>
      <c r="KD87" s="5"/>
      <c r="KE87" s="6"/>
    </row>
    <row r="88" spans="6:291" ht="14.4" customHeight="1" x14ac:dyDescent="0.3">
      <c r="F88" s="17"/>
      <c r="G88" s="9"/>
      <c r="H88" s="3"/>
      <c r="I88" s="3"/>
      <c r="J88" s="3"/>
      <c r="K88" s="3"/>
      <c r="L88" s="3"/>
      <c r="M88" s="3"/>
      <c r="N88" s="3"/>
      <c r="O88" s="3"/>
      <c r="P88" s="4"/>
      <c r="Q88" s="5"/>
      <c r="R88" s="5"/>
      <c r="S88" s="5"/>
      <c r="T88" s="6"/>
      <c r="U88" s="5"/>
      <c r="V88" s="6"/>
      <c r="W88" s="7"/>
      <c r="X88" s="8"/>
      <c r="Y88" s="6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6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C88" s="6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  <c r="JC88" s="5"/>
      <c r="JD88" s="5"/>
      <c r="JE88" s="5"/>
      <c r="JF88" s="5"/>
      <c r="JG88" s="5"/>
      <c r="JH88" s="5"/>
      <c r="JI88" s="5"/>
      <c r="JJ88" s="5"/>
      <c r="JK88" s="5"/>
      <c r="JM88" s="19"/>
      <c r="JO88" s="5"/>
      <c r="JP88" s="5"/>
      <c r="JQ88" s="5"/>
      <c r="JR88" s="5"/>
      <c r="JS88" s="6"/>
      <c r="JT88" s="23"/>
      <c r="JU88" s="13"/>
      <c r="JV88" s="6"/>
      <c r="JW88" s="6"/>
      <c r="JX88" s="6"/>
      <c r="JY88" s="6"/>
      <c r="JZ88" s="10"/>
      <c r="KA88" s="10"/>
      <c r="KB88" s="10"/>
      <c r="KC88" s="10"/>
      <c r="KD88" s="5"/>
      <c r="KE88" s="6"/>
    </row>
    <row r="89" spans="6:291" ht="14.4" customHeight="1" x14ac:dyDescent="0.3">
      <c r="F89" s="17"/>
      <c r="G89" s="9"/>
      <c r="H89" s="3"/>
      <c r="I89" s="3"/>
      <c r="J89" s="3"/>
      <c r="K89" s="3"/>
      <c r="L89" s="3"/>
      <c r="M89" s="3"/>
      <c r="N89" s="3"/>
      <c r="O89" s="3"/>
      <c r="P89" s="4"/>
      <c r="Q89" s="5"/>
      <c r="R89" s="5"/>
      <c r="S89" s="5"/>
      <c r="T89" s="6"/>
      <c r="U89" s="5"/>
      <c r="V89" s="6"/>
      <c r="W89" s="7"/>
      <c r="X89" s="8"/>
      <c r="Y89" s="6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6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C89" s="6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M89" s="19"/>
      <c r="JO89" s="5"/>
      <c r="JP89" s="5"/>
      <c r="JQ89" s="5"/>
      <c r="JR89" s="5"/>
      <c r="JS89" s="6"/>
      <c r="JT89" s="23"/>
      <c r="JU89" s="13"/>
      <c r="JV89" s="6"/>
      <c r="JW89" s="6"/>
      <c r="JX89" s="6"/>
      <c r="JY89" s="6"/>
      <c r="JZ89" s="10"/>
      <c r="KA89" s="10"/>
      <c r="KB89" s="10"/>
      <c r="KC89" s="10"/>
      <c r="KD89" s="5"/>
      <c r="KE89" s="6"/>
    </row>
    <row r="90" spans="6:291" ht="14.4" customHeight="1" x14ac:dyDescent="0.3">
      <c r="F90" s="17"/>
      <c r="G90" s="9"/>
      <c r="H90" s="3"/>
      <c r="I90" s="3"/>
      <c r="J90" s="3"/>
      <c r="K90" s="3"/>
      <c r="L90" s="3"/>
      <c r="M90" s="3"/>
      <c r="N90" s="3"/>
      <c r="O90" s="3"/>
      <c r="P90" s="4"/>
      <c r="Q90" s="5"/>
      <c r="R90" s="5"/>
      <c r="S90" s="5"/>
      <c r="T90" s="6"/>
      <c r="U90" s="5"/>
      <c r="V90" s="6"/>
      <c r="W90" s="7"/>
      <c r="X90" s="8"/>
      <c r="Y90" s="6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6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C90" s="6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M90" s="19"/>
      <c r="JO90" s="5"/>
      <c r="JP90" s="5"/>
      <c r="JQ90" s="5"/>
      <c r="JR90" s="5"/>
      <c r="JS90" s="6"/>
      <c r="JT90" s="23"/>
      <c r="JU90" s="13"/>
      <c r="JV90" s="6"/>
      <c r="JW90" s="6"/>
      <c r="JX90" s="6"/>
      <c r="JY90" s="6"/>
      <c r="JZ90" s="10"/>
      <c r="KA90" s="10"/>
      <c r="KB90" s="10"/>
      <c r="KC90" s="10"/>
      <c r="KD90" s="5"/>
      <c r="KE90" s="6"/>
    </row>
    <row r="91" spans="6:291" ht="14.4" customHeight="1" x14ac:dyDescent="0.3">
      <c r="F91" s="17"/>
      <c r="G91" s="9"/>
      <c r="H91" s="3"/>
      <c r="I91" s="3"/>
      <c r="J91" s="3"/>
      <c r="K91" s="3"/>
      <c r="L91" s="3"/>
      <c r="M91" s="3"/>
      <c r="N91" s="3"/>
      <c r="O91" s="3"/>
      <c r="P91" s="4"/>
      <c r="Q91" s="5"/>
      <c r="R91" s="5"/>
      <c r="S91" s="5"/>
      <c r="T91" s="6"/>
      <c r="U91" s="5"/>
      <c r="V91" s="6"/>
      <c r="W91" s="7"/>
      <c r="X91" s="8"/>
      <c r="Y91" s="6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6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C91" s="6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M91" s="19"/>
      <c r="JO91" s="5"/>
      <c r="JP91" s="5"/>
      <c r="JQ91" s="5"/>
      <c r="JR91" s="5"/>
      <c r="JS91" s="6"/>
      <c r="JT91" s="23"/>
      <c r="JU91" s="13"/>
      <c r="JV91" s="6"/>
      <c r="JW91" s="6"/>
      <c r="JX91" s="6"/>
      <c r="JY91" s="6"/>
      <c r="JZ91" s="10"/>
      <c r="KA91" s="10"/>
      <c r="KB91" s="10"/>
      <c r="KC91" s="10"/>
      <c r="KD91" s="5"/>
      <c r="KE91" s="6"/>
    </row>
    <row r="92" spans="6:291" ht="15" customHeight="1" x14ac:dyDescent="0.3">
      <c r="F92" s="17"/>
      <c r="G92" s="9"/>
      <c r="H92" s="3"/>
      <c r="I92" s="3"/>
      <c r="J92" s="3"/>
      <c r="K92" s="3"/>
      <c r="L92" s="3"/>
      <c r="M92" s="3"/>
      <c r="N92" s="3"/>
      <c r="O92" s="3"/>
      <c r="P92" s="4"/>
      <c r="Q92" s="5"/>
      <c r="R92" s="5"/>
      <c r="S92" s="5"/>
      <c r="T92" s="6"/>
      <c r="U92" s="5"/>
      <c r="V92" s="6"/>
      <c r="W92" s="7"/>
      <c r="X92" s="8"/>
      <c r="Y92" s="6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6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C92" s="6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  <c r="JC92" s="5"/>
      <c r="JD92" s="5"/>
      <c r="JE92" s="5"/>
      <c r="JF92" s="5"/>
      <c r="JG92" s="5"/>
      <c r="JH92" s="5"/>
      <c r="JI92" s="5"/>
      <c r="JJ92" s="5"/>
      <c r="JK92" s="5"/>
      <c r="JM92" s="19"/>
      <c r="JO92" s="5"/>
      <c r="JP92" s="5"/>
      <c r="JQ92" s="5"/>
      <c r="JR92" s="5"/>
      <c r="JS92" s="6"/>
      <c r="JT92" s="23"/>
      <c r="JU92" s="13"/>
      <c r="JV92" s="6"/>
      <c r="JW92" s="6"/>
      <c r="JX92" s="6"/>
      <c r="JY92" s="6"/>
      <c r="JZ92" s="10"/>
      <c r="KA92" s="10"/>
      <c r="KB92" s="10"/>
      <c r="KC92" s="10"/>
      <c r="KD92" s="5"/>
      <c r="KE92" s="6"/>
    </row>
    <row r="93" spans="6:291" x14ac:dyDescent="0.3">
      <c r="F93" s="17"/>
      <c r="G93" s="9"/>
      <c r="H93" s="3"/>
      <c r="I93" s="3"/>
      <c r="J93" s="3"/>
      <c r="K93" s="3"/>
      <c r="L93" s="3"/>
      <c r="M93" s="3"/>
      <c r="N93" s="3"/>
      <c r="O93" s="3"/>
      <c r="P93" s="4"/>
      <c r="Q93" s="5"/>
      <c r="R93" s="5"/>
      <c r="S93" s="5"/>
      <c r="T93" s="6"/>
      <c r="U93" s="5"/>
      <c r="V93" s="6"/>
      <c r="W93" s="7"/>
      <c r="X93" s="8"/>
      <c r="Y93" s="6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6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C93" s="6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M93" s="19"/>
      <c r="JO93" s="5"/>
      <c r="JP93" s="5"/>
      <c r="JQ93" s="5"/>
      <c r="JR93" s="5"/>
      <c r="JS93" s="6"/>
      <c r="JT93" s="23"/>
      <c r="JU93" s="13"/>
      <c r="JV93" s="6"/>
      <c r="JW93" s="6"/>
      <c r="JX93" s="6"/>
      <c r="JY93" s="6"/>
      <c r="JZ93" s="10"/>
      <c r="KA93" s="10"/>
      <c r="KB93" s="10"/>
      <c r="KC93" s="10"/>
      <c r="KD93" s="5"/>
      <c r="KE93" s="6"/>
    </row>
    <row r="94" spans="6:291" x14ac:dyDescent="0.3">
      <c r="F94" s="17"/>
      <c r="G94" s="9"/>
      <c r="H94" s="3"/>
      <c r="I94" s="3"/>
      <c r="J94" s="3"/>
      <c r="K94" s="3"/>
      <c r="L94" s="3"/>
      <c r="M94" s="3"/>
      <c r="N94" s="3"/>
      <c r="O94" s="3"/>
      <c r="P94" s="4"/>
      <c r="Q94" s="5"/>
      <c r="R94" s="5"/>
      <c r="S94" s="5"/>
      <c r="T94" s="6"/>
      <c r="U94" s="5"/>
      <c r="V94" s="6"/>
      <c r="W94" s="7"/>
      <c r="X94" s="8"/>
      <c r="Y94" s="6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6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C94" s="6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M94" s="19"/>
      <c r="JO94" s="5"/>
      <c r="JP94" s="5"/>
      <c r="JQ94" s="5"/>
      <c r="JR94" s="5"/>
      <c r="JS94" s="6"/>
      <c r="JT94" s="23"/>
      <c r="JU94" s="13"/>
      <c r="JV94" s="6"/>
      <c r="JW94" s="6"/>
      <c r="JX94" s="6"/>
      <c r="JY94" s="6"/>
      <c r="JZ94" s="10"/>
      <c r="KA94" s="10"/>
      <c r="KB94" s="10"/>
      <c r="KC94" s="10"/>
      <c r="KD94" s="5"/>
      <c r="KE94" s="6"/>
    </row>
    <row r="95" spans="6:291" x14ac:dyDescent="0.3">
      <c r="F95" s="17"/>
      <c r="G95" s="9"/>
      <c r="H95" s="3"/>
      <c r="I95" s="3"/>
      <c r="J95" s="3"/>
      <c r="K95" s="3"/>
      <c r="L95" s="3"/>
      <c r="M95" s="3"/>
      <c r="N95" s="3"/>
      <c r="O95" s="3"/>
      <c r="P95" s="4"/>
      <c r="Q95" s="5"/>
      <c r="R95" s="5"/>
      <c r="S95" s="5"/>
      <c r="T95" s="6"/>
      <c r="U95" s="5"/>
      <c r="V95" s="6"/>
      <c r="W95" s="7"/>
      <c r="X95" s="8"/>
      <c r="Y95" s="6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6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C95" s="6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M95" s="19"/>
      <c r="JO95" s="5"/>
      <c r="JP95" s="5"/>
      <c r="JQ95" s="5"/>
      <c r="JR95" s="5"/>
      <c r="JS95" s="6"/>
      <c r="JT95" s="23"/>
      <c r="JU95" s="13"/>
      <c r="JV95" s="6"/>
      <c r="JW95" s="6"/>
      <c r="JX95" s="6"/>
      <c r="JY95" s="6"/>
      <c r="JZ95" s="10"/>
      <c r="KA95" s="10"/>
      <c r="KB95" s="10"/>
      <c r="KC95" s="10"/>
      <c r="KD95" s="5"/>
      <c r="KE95" s="6"/>
    </row>
    <row r="96" spans="6:291" x14ac:dyDescent="0.3">
      <c r="F96" s="17"/>
      <c r="G96" s="9"/>
      <c r="H96" s="3"/>
      <c r="I96" s="3"/>
      <c r="J96" s="3"/>
      <c r="K96" s="3"/>
      <c r="L96" s="3"/>
      <c r="M96" s="3"/>
      <c r="N96" s="3"/>
      <c r="O96" s="3"/>
      <c r="P96" s="4"/>
      <c r="Q96" s="5"/>
      <c r="R96" s="5"/>
      <c r="S96" s="5"/>
      <c r="T96" s="6"/>
      <c r="U96" s="5"/>
      <c r="V96" s="6"/>
      <c r="W96" s="7"/>
      <c r="X96" s="8"/>
      <c r="Y96" s="6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6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C96" s="6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  <c r="JC96" s="5"/>
      <c r="JD96" s="5"/>
      <c r="JE96" s="5"/>
      <c r="JF96" s="5"/>
      <c r="JG96" s="5"/>
      <c r="JH96" s="5"/>
      <c r="JI96" s="5"/>
      <c r="JJ96" s="5"/>
      <c r="JK96" s="5"/>
      <c r="JM96" s="19"/>
      <c r="JO96" s="5"/>
      <c r="JP96" s="5"/>
      <c r="JQ96" s="5"/>
      <c r="JR96" s="5"/>
      <c r="JS96" s="6"/>
      <c r="JT96" s="23"/>
      <c r="JU96" s="13"/>
      <c r="JV96" s="6"/>
      <c r="JW96" s="6"/>
      <c r="JX96" s="6"/>
      <c r="JY96" s="6"/>
      <c r="JZ96" s="10"/>
      <c r="KA96" s="10"/>
      <c r="KB96" s="10"/>
      <c r="KC96" s="10"/>
      <c r="KD96" s="5"/>
      <c r="KE96" s="6"/>
    </row>
    <row r="97" spans="6:291" x14ac:dyDescent="0.3">
      <c r="F97" s="17"/>
      <c r="G97" s="9"/>
      <c r="H97" s="3"/>
      <c r="I97" s="3"/>
      <c r="J97" s="3"/>
      <c r="K97" s="3"/>
      <c r="L97" s="3"/>
      <c r="M97" s="3"/>
      <c r="N97" s="3"/>
      <c r="O97" s="3"/>
      <c r="P97" s="4"/>
      <c r="Q97" s="5"/>
      <c r="R97" s="5"/>
      <c r="S97" s="5"/>
      <c r="T97" s="6"/>
      <c r="U97" s="5"/>
      <c r="V97" s="6"/>
      <c r="W97" s="7"/>
      <c r="X97" s="8"/>
      <c r="Y97" s="6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6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C97" s="6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M97" s="19"/>
      <c r="JO97" s="5"/>
      <c r="JP97" s="5"/>
      <c r="JQ97" s="5"/>
      <c r="JR97" s="5"/>
      <c r="JS97" s="6"/>
      <c r="JT97" s="23"/>
      <c r="JU97" s="13"/>
      <c r="JV97" s="6"/>
      <c r="JW97" s="6"/>
      <c r="JX97" s="6"/>
      <c r="JY97" s="6"/>
      <c r="JZ97" s="10"/>
      <c r="KA97" s="10"/>
      <c r="KB97" s="10"/>
      <c r="KC97" s="10"/>
      <c r="KD97" s="5"/>
      <c r="KE97" s="6"/>
    </row>
    <row r="98" spans="6:291" x14ac:dyDescent="0.3">
      <c r="F98" s="17"/>
      <c r="G98" s="9"/>
      <c r="H98" s="3"/>
      <c r="I98" s="3"/>
      <c r="J98" s="3"/>
      <c r="K98" s="3"/>
      <c r="L98" s="3"/>
      <c r="M98" s="3"/>
      <c r="N98" s="3"/>
      <c r="O98" s="3"/>
      <c r="P98" s="4"/>
      <c r="Q98" s="5"/>
      <c r="R98" s="5"/>
      <c r="S98" s="5"/>
      <c r="T98" s="6"/>
      <c r="U98" s="5"/>
      <c r="V98" s="6"/>
      <c r="W98" s="7"/>
      <c r="X98" s="8"/>
      <c r="Y98" s="6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6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C98" s="6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M98" s="19"/>
      <c r="JO98" s="5"/>
      <c r="JP98" s="5"/>
      <c r="JQ98" s="5"/>
      <c r="JR98" s="5"/>
      <c r="JS98" s="6"/>
      <c r="JT98" s="23"/>
      <c r="JU98" s="13"/>
      <c r="JV98" s="6"/>
      <c r="JW98" s="6"/>
      <c r="JX98" s="6"/>
      <c r="JY98" s="6"/>
      <c r="JZ98" s="10"/>
      <c r="KA98" s="10"/>
      <c r="KB98" s="10"/>
      <c r="KC98" s="10"/>
      <c r="KD98" s="5"/>
      <c r="KE98" s="6"/>
    </row>
    <row r="99" spans="6:291" x14ac:dyDescent="0.3">
      <c r="F99" s="17"/>
      <c r="G99" s="9"/>
      <c r="H99" s="3"/>
      <c r="I99" s="3"/>
      <c r="J99" s="3"/>
      <c r="K99" s="3"/>
      <c r="L99" s="3"/>
      <c r="M99" s="3"/>
      <c r="N99" s="3"/>
      <c r="O99" s="3"/>
      <c r="P99" s="4"/>
      <c r="Q99" s="5"/>
      <c r="R99" s="5"/>
      <c r="S99" s="5"/>
      <c r="T99" s="6"/>
      <c r="U99" s="5"/>
      <c r="V99" s="6"/>
      <c r="W99" s="7"/>
      <c r="X99" s="8"/>
      <c r="Y99" s="6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6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C99" s="6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M99" s="19"/>
      <c r="JO99" s="5"/>
      <c r="JP99" s="5"/>
      <c r="JQ99" s="5"/>
      <c r="JR99" s="5"/>
      <c r="JS99" s="6"/>
      <c r="JT99" s="23"/>
      <c r="JU99" s="13"/>
      <c r="JV99" s="6"/>
      <c r="JW99" s="6"/>
      <c r="JX99" s="6"/>
      <c r="JY99" s="6"/>
      <c r="JZ99" s="10"/>
      <c r="KA99" s="10"/>
      <c r="KB99" s="10"/>
      <c r="KC99" s="10"/>
      <c r="KD99" s="5"/>
      <c r="KE99" s="6"/>
    </row>
    <row r="100" spans="6:291" x14ac:dyDescent="0.3">
      <c r="F100" s="17"/>
      <c r="G100" s="9"/>
      <c r="H100" s="3"/>
      <c r="I100" s="3"/>
      <c r="J100" s="3"/>
      <c r="K100" s="3"/>
      <c r="L100" s="3"/>
      <c r="M100" s="3"/>
      <c r="N100" s="3"/>
      <c r="O100" s="3"/>
      <c r="P100" s="4"/>
      <c r="Q100" s="5"/>
      <c r="R100" s="5"/>
      <c r="S100" s="5"/>
      <c r="T100" s="6"/>
      <c r="U100" s="5"/>
      <c r="V100" s="6"/>
      <c r="W100" s="7"/>
      <c r="X100" s="8"/>
      <c r="Y100" s="6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6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C100" s="6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  <c r="JC100" s="5"/>
      <c r="JD100" s="5"/>
      <c r="JE100" s="5"/>
      <c r="JF100" s="5"/>
      <c r="JG100" s="5"/>
      <c r="JH100" s="5"/>
      <c r="JI100" s="5"/>
      <c r="JJ100" s="5"/>
      <c r="JK100" s="5"/>
      <c r="JM100" s="19"/>
      <c r="JO100" s="5"/>
      <c r="JP100" s="5"/>
      <c r="JQ100" s="5"/>
      <c r="JR100" s="5"/>
      <c r="JS100" s="6"/>
      <c r="JT100" s="23"/>
      <c r="JU100" s="13"/>
      <c r="JV100" s="6"/>
      <c r="JW100" s="6"/>
      <c r="JX100" s="6"/>
      <c r="JY100" s="6"/>
      <c r="JZ100" s="10"/>
      <c r="KA100" s="10"/>
      <c r="KB100" s="10"/>
      <c r="KC100" s="10"/>
      <c r="KD100" s="5"/>
      <c r="KE100" s="6"/>
    </row>
    <row r="101" spans="6:291" x14ac:dyDescent="0.3">
      <c r="F101" s="17"/>
      <c r="G101" s="9"/>
      <c r="H101" s="3"/>
      <c r="I101" s="3"/>
      <c r="J101" s="3"/>
      <c r="K101" s="3"/>
      <c r="L101" s="3"/>
      <c r="M101" s="3"/>
      <c r="N101" s="3"/>
      <c r="O101" s="3"/>
      <c r="P101" s="4"/>
      <c r="Q101" s="5"/>
      <c r="R101" s="5"/>
      <c r="S101" s="5"/>
      <c r="T101" s="6"/>
      <c r="U101" s="5"/>
      <c r="V101" s="6"/>
      <c r="W101" s="7"/>
      <c r="X101" s="8"/>
      <c r="Y101" s="6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6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C101" s="6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M101" s="19"/>
      <c r="JO101" s="5"/>
      <c r="JP101" s="5"/>
      <c r="JQ101" s="5"/>
      <c r="JR101" s="5"/>
      <c r="JS101" s="6"/>
      <c r="JT101" s="23"/>
      <c r="JU101" s="13"/>
      <c r="JV101" s="6"/>
      <c r="JW101" s="6"/>
      <c r="JX101" s="6"/>
      <c r="JY101" s="6"/>
      <c r="JZ101" s="10"/>
      <c r="KA101" s="10"/>
      <c r="KB101" s="10"/>
      <c r="KC101" s="10"/>
      <c r="KD101" s="5"/>
      <c r="KE101" s="6"/>
    </row>
    <row r="102" spans="6:291" x14ac:dyDescent="0.3">
      <c r="F102" s="17"/>
      <c r="G102" s="9"/>
      <c r="H102" s="3"/>
      <c r="I102" s="3"/>
      <c r="J102" s="3"/>
      <c r="K102" s="3"/>
      <c r="L102" s="3"/>
      <c r="M102" s="3"/>
      <c r="N102" s="3"/>
      <c r="O102" s="3"/>
      <c r="P102" s="4"/>
      <c r="Q102" s="5"/>
      <c r="R102" s="5"/>
      <c r="S102" s="5"/>
      <c r="T102" s="6"/>
      <c r="U102" s="5"/>
      <c r="V102" s="6"/>
      <c r="W102" s="7"/>
      <c r="X102" s="8"/>
      <c r="Y102" s="6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6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C102" s="6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M102" s="19"/>
      <c r="JO102" s="5"/>
      <c r="JP102" s="5"/>
      <c r="JQ102" s="5"/>
      <c r="JR102" s="5"/>
      <c r="JS102" s="6"/>
      <c r="JT102" s="23"/>
      <c r="JU102" s="13"/>
      <c r="JV102" s="6"/>
      <c r="JW102" s="6"/>
      <c r="JX102" s="6"/>
      <c r="JY102" s="6"/>
      <c r="JZ102" s="10"/>
      <c r="KA102" s="10"/>
      <c r="KB102" s="10"/>
      <c r="KC102" s="10"/>
      <c r="KD102" s="5"/>
      <c r="KE102" s="6"/>
    </row>
    <row r="103" spans="6:291" x14ac:dyDescent="0.3">
      <c r="F103" s="17"/>
      <c r="G103" s="9"/>
      <c r="H103" s="3"/>
      <c r="I103" s="3"/>
      <c r="J103" s="3"/>
      <c r="K103" s="3"/>
      <c r="L103" s="3"/>
      <c r="M103" s="3"/>
      <c r="N103" s="3"/>
      <c r="O103" s="3"/>
      <c r="P103" s="4"/>
      <c r="Q103" s="5"/>
      <c r="R103" s="5"/>
      <c r="S103" s="5"/>
      <c r="T103" s="6"/>
      <c r="U103" s="5"/>
      <c r="V103" s="6"/>
      <c r="W103" s="7"/>
      <c r="X103" s="8"/>
      <c r="Y103" s="6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6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C103" s="6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M103" s="19"/>
      <c r="JO103" s="5"/>
      <c r="JP103" s="5"/>
      <c r="JQ103" s="5"/>
      <c r="JR103" s="5"/>
      <c r="JS103" s="6"/>
      <c r="JT103" s="23"/>
      <c r="JU103" s="13"/>
      <c r="JV103" s="6"/>
      <c r="JW103" s="6"/>
      <c r="JX103" s="6"/>
      <c r="JY103" s="6"/>
      <c r="JZ103" s="10"/>
      <c r="KA103" s="10"/>
      <c r="KB103" s="10"/>
      <c r="KC103" s="10"/>
      <c r="KD103" s="5"/>
      <c r="KE103" s="6"/>
    </row>
    <row r="104" spans="6:291" x14ac:dyDescent="0.3">
      <c r="F104" s="17"/>
      <c r="G104" s="9"/>
      <c r="H104" s="3"/>
      <c r="I104" s="3"/>
      <c r="J104" s="3"/>
      <c r="K104" s="3"/>
      <c r="L104" s="3"/>
      <c r="M104" s="3"/>
      <c r="N104" s="3"/>
      <c r="O104" s="3"/>
      <c r="P104" s="4"/>
      <c r="Q104" s="5"/>
      <c r="R104" s="5"/>
      <c r="S104" s="5"/>
      <c r="T104" s="6"/>
      <c r="U104" s="5"/>
      <c r="V104" s="6"/>
      <c r="W104" s="7"/>
      <c r="X104" s="8"/>
      <c r="Y104" s="6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6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C104" s="6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  <c r="JC104" s="5"/>
      <c r="JD104" s="5"/>
      <c r="JE104" s="5"/>
      <c r="JF104" s="5"/>
      <c r="JG104" s="5"/>
      <c r="JH104" s="5"/>
      <c r="JI104" s="5"/>
      <c r="JJ104" s="5"/>
      <c r="JK104" s="5"/>
      <c r="JM104" s="19"/>
      <c r="JO104" s="5"/>
      <c r="JP104" s="5"/>
      <c r="JQ104" s="5"/>
      <c r="JR104" s="5"/>
      <c r="JS104" s="6"/>
      <c r="JT104" s="23"/>
      <c r="JU104" s="13"/>
      <c r="JV104" s="6"/>
      <c r="JW104" s="6"/>
      <c r="JX104" s="6"/>
      <c r="JY104" s="6"/>
      <c r="JZ104" s="10"/>
      <c r="KA104" s="10"/>
      <c r="KB104" s="10"/>
      <c r="KC104" s="10"/>
      <c r="KD104" s="5"/>
      <c r="KE104" s="6"/>
    </row>
    <row r="105" spans="6:291" x14ac:dyDescent="0.3">
      <c r="F105" s="17"/>
      <c r="G105" s="9"/>
      <c r="H105" s="3"/>
      <c r="I105" s="3"/>
      <c r="J105" s="3"/>
      <c r="K105" s="3"/>
      <c r="L105" s="3"/>
      <c r="M105" s="3"/>
      <c r="N105" s="3"/>
      <c r="O105" s="3"/>
      <c r="P105" s="4"/>
      <c r="Q105" s="5"/>
      <c r="R105" s="5"/>
      <c r="S105" s="5"/>
      <c r="T105" s="6"/>
      <c r="U105" s="5"/>
      <c r="V105" s="6"/>
      <c r="W105" s="7"/>
      <c r="X105" s="8"/>
      <c r="Y105" s="6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6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C105" s="6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M105" s="19"/>
      <c r="JO105" s="5"/>
      <c r="JP105" s="5"/>
      <c r="JQ105" s="5"/>
      <c r="JR105" s="5"/>
      <c r="JS105" s="6"/>
      <c r="JT105" s="23"/>
      <c r="JU105" s="13"/>
      <c r="JV105" s="6"/>
      <c r="JW105" s="6"/>
      <c r="JX105" s="6"/>
      <c r="JY105" s="6"/>
      <c r="JZ105" s="10"/>
      <c r="KA105" s="10"/>
      <c r="KB105" s="10"/>
      <c r="KC105" s="10"/>
      <c r="KD105" s="5"/>
      <c r="KE105" s="6"/>
    </row>
    <row r="106" spans="6:291" x14ac:dyDescent="0.3">
      <c r="F106" s="17"/>
      <c r="G106" s="9"/>
      <c r="H106" s="3"/>
      <c r="I106" s="3"/>
      <c r="J106" s="3"/>
      <c r="K106" s="3"/>
      <c r="L106" s="3"/>
      <c r="M106" s="3"/>
      <c r="N106" s="3"/>
      <c r="O106" s="3"/>
      <c r="P106" s="4"/>
      <c r="Q106" s="5"/>
      <c r="R106" s="5"/>
      <c r="S106" s="5"/>
      <c r="T106" s="6"/>
      <c r="U106" s="5"/>
      <c r="V106" s="6"/>
      <c r="W106" s="7"/>
      <c r="X106" s="8"/>
      <c r="Y106" s="6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6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C106" s="6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M106" s="19"/>
      <c r="JO106" s="5"/>
      <c r="JP106" s="5"/>
      <c r="JQ106" s="5"/>
      <c r="JR106" s="5"/>
      <c r="JS106" s="6"/>
      <c r="JT106" s="23"/>
      <c r="JU106" s="13"/>
      <c r="JV106" s="6"/>
      <c r="JW106" s="6"/>
      <c r="JX106" s="6"/>
      <c r="JY106" s="6"/>
      <c r="JZ106" s="10"/>
      <c r="KA106" s="10"/>
      <c r="KB106" s="10"/>
      <c r="KC106" s="10"/>
      <c r="KD106" s="5"/>
      <c r="KE106" s="6"/>
    </row>
    <row r="107" spans="6:291" x14ac:dyDescent="0.3">
      <c r="F107" s="17"/>
      <c r="G107" s="9"/>
      <c r="H107" s="3"/>
      <c r="I107" s="3"/>
      <c r="J107" s="3"/>
      <c r="K107" s="3"/>
      <c r="L107" s="3"/>
      <c r="M107" s="3"/>
      <c r="N107" s="3"/>
      <c r="O107" s="3"/>
      <c r="P107" s="4"/>
      <c r="Q107" s="5"/>
      <c r="R107" s="5"/>
      <c r="S107" s="5"/>
      <c r="T107" s="6"/>
      <c r="U107" s="5"/>
      <c r="V107" s="6"/>
      <c r="W107" s="7"/>
      <c r="X107" s="8"/>
      <c r="Y107" s="6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6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C107" s="6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M107" s="19"/>
      <c r="JO107" s="5"/>
      <c r="JP107" s="5"/>
      <c r="JQ107" s="5"/>
      <c r="JR107" s="5"/>
      <c r="JS107" s="6"/>
      <c r="JT107" s="23"/>
      <c r="JU107" s="13"/>
      <c r="JV107" s="6"/>
      <c r="JW107" s="6"/>
      <c r="JX107" s="6"/>
      <c r="JY107" s="6"/>
      <c r="JZ107" s="10"/>
      <c r="KA107" s="10"/>
      <c r="KB107" s="10"/>
      <c r="KC107" s="10"/>
      <c r="KD107" s="5"/>
      <c r="KE107" s="6"/>
    </row>
    <row r="108" spans="6:291" x14ac:dyDescent="0.3">
      <c r="F108" s="17"/>
      <c r="G108" s="9"/>
      <c r="H108" s="3"/>
      <c r="I108" s="3"/>
      <c r="J108" s="3"/>
      <c r="K108" s="3"/>
      <c r="L108" s="3"/>
      <c r="M108" s="3"/>
      <c r="N108" s="3"/>
      <c r="O108" s="3"/>
      <c r="P108" s="4"/>
      <c r="Q108" s="5"/>
      <c r="R108" s="5"/>
      <c r="S108" s="5"/>
      <c r="T108" s="6"/>
      <c r="U108" s="5"/>
      <c r="V108" s="6"/>
      <c r="W108" s="7"/>
      <c r="X108" s="8"/>
      <c r="Y108" s="6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6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C108" s="6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  <c r="JC108" s="5"/>
      <c r="JD108" s="5"/>
      <c r="JE108" s="5"/>
      <c r="JF108" s="5"/>
      <c r="JG108" s="5"/>
      <c r="JH108" s="5"/>
      <c r="JI108" s="5"/>
      <c r="JJ108" s="5"/>
      <c r="JK108" s="5"/>
      <c r="JM108" s="19"/>
      <c r="JO108" s="5"/>
      <c r="JP108" s="5"/>
      <c r="JQ108" s="5"/>
      <c r="JR108" s="5"/>
      <c r="JS108" s="6"/>
      <c r="JT108" s="23"/>
      <c r="JU108" s="13"/>
      <c r="JV108" s="6"/>
      <c r="JW108" s="6"/>
      <c r="JX108" s="6"/>
      <c r="JY108" s="6"/>
      <c r="JZ108" s="10"/>
      <c r="KA108" s="10"/>
      <c r="KB108" s="10"/>
      <c r="KC108" s="10"/>
      <c r="KD108" s="5"/>
      <c r="KE108" s="6"/>
    </row>
    <row r="109" spans="6:291" x14ac:dyDescent="0.3">
      <c r="F109" s="17"/>
      <c r="G109" s="9"/>
      <c r="H109" s="3"/>
      <c r="I109" s="3"/>
      <c r="J109" s="3"/>
      <c r="K109" s="3"/>
      <c r="L109" s="3"/>
      <c r="M109" s="3"/>
      <c r="N109" s="3"/>
      <c r="O109" s="3"/>
      <c r="P109" s="4"/>
      <c r="Q109" s="5"/>
      <c r="R109" s="5"/>
      <c r="S109" s="5"/>
      <c r="T109" s="6"/>
      <c r="U109" s="5"/>
      <c r="V109" s="6"/>
      <c r="W109" s="7"/>
      <c r="X109" s="8"/>
      <c r="Y109" s="6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6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C109" s="6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M109" s="19"/>
      <c r="JO109" s="5"/>
      <c r="JP109" s="5"/>
      <c r="JQ109" s="5"/>
      <c r="JR109" s="5"/>
      <c r="JS109" s="6"/>
      <c r="JT109" s="23"/>
      <c r="JU109" s="13"/>
      <c r="JV109" s="6"/>
      <c r="JW109" s="6"/>
      <c r="JX109" s="6"/>
      <c r="JY109" s="6"/>
      <c r="JZ109" s="10"/>
      <c r="KA109" s="10"/>
      <c r="KB109" s="10"/>
      <c r="KC109" s="10"/>
      <c r="KD109" s="5"/>
      <c r="KE109" s="6"/>
    </row>
    <row r="110" spans="6:291" x14ac:dyDescent="0.3">
      <c r="F110" s="17"/>
      <c r="G110" s="9"/>
      <c r="H110" s="3"/>
      <c r="I110" s="3"/>
      <c r="J110" s="3"/>
      <c r="K110" s="3"/>
      <c r="L110" s="3"/>
      <c r="M110" s="3"/>
      <c r="N110" s="3"/>
      <c r="O110" s="3"/>
      <c r="P110" s="4"/>
      <c r="Q110" s="5"/>
      <c r="R110" s="5"/>
      <c r="S110" s="5"/>
      <c r="T110" s="6"/>
      <c r="U110" s="5"/>
      <c r="V110" s="6"/>
      <c r="W110" s="7"/>
      <c r="X110" s="8"/>
      <c r="Y110" s="6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6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C110" s="6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M110" s="19"/>
      <c r="JO110" s="5"/>
      <c r="JP110" s="5"/>
      <c r="JQ110" s="5"/>
      <c r="JR110" s="5"/>
      <c r="JS110" s="6"/>
      <c r="JT110" s="23"/>
      <c r="JU110" s="13"/>
      <c r="JV110" s="6"/>
      <c r="JW110" s="6"/>
      <c r="JX110" s="6"/>
      <c r="JY110" s="6"/>
      <c r="JZ110" s="10"/>
      <c r="KA110" s="10"/>
      <c r="KB110" s="10"/>
      <c r="KC110" s="10"/>
      <c r="KD110" s="5"/>
      <c r="KE110" s="6"/>
    </row>
    <row r="111" spans="6:291" x14ac:dyDescent="0.3">
      <c r="F111" s="17"/>
      <c r="G111" s="9"/>
      <c r="H111" s="3"/>
      <c r="I111" s="3"/>
      <c r="J111" s="3"/>
      <c r="K111" s="3"/>
      <c r="L111" s="3"/>
      <c r="M111" s="3"/>
      <c r="N111" s="3"/>
      <c r="O111" s="3"/>
      <c r="P111" s="4"/>
      <c r="Q111" s="5"/>
      <c r="R111" s="5"/>
      <c r="S111" s="5"/>
      <c r="T111" s="6"/>
      <c r="U111" s="5"/>
      <c r="V111" s="6"/>
      <c r="W111" s="7"/>
      <c r="X111" s="8"/>
      <c r="Y111" s="6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6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C111" s="6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M111" s="19"/>
      <c r="JO111" s="5"/>
      <c r="JP111" s="5"/>
      <c r="JQ111" s="5"/>
      <c r="JR111" s="5"/>
      <c r="JS111" s="6"/>
      <c r="JT111" s="23"/>
      <c r="JU111" s="13"/>
      <c r="JV111" s="6"/>
      <c r="JW111" s="6"/>
      <c r="JX111" s="6"/>
      <c r="JY111" s="6"/>
      <c r="JZ111" s="10"/>
      <c r="KA111" s="10"/>
      <c r="KB111" s="10"/>
      <c r="KC111" s="10"/>
      <c r="KD111" s="5"/>
      <c r="KE111" s="6"/>
    </row>
    <row r="112" spans="6:291" x14ac:dyDescent="0.3">
      <c r="F112" s="17"/>
      <c r="G112" s="9"/>
      <c r="H112" s="3"/>
      <c r="I112" s="3"/>
      <c r="J112" s="3"/>
      <c r="K112" s="3"/>
      <c r="L112" s="3"/>
      <c r="M112" s="3"/>
      <c r="N112" s="3"/>
      <c r="O112" s="3"/>
      <c r="P112" s="4"/>
      <c r="Q112" s="5"/>
      <c r="R112" s="5"/>
      <c r="S112" s="5"/>
      <c r="T112" s="6"/>
      <c r="U112" s="5"/>
      <c r="V112" s="6"/>
      <c r="W112" s="7"/>
      <c r="X112" s="8"/>
      <c r="Y112" s="6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6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C112" s="6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  <c r="JC112" s="5"/>
      <c r="JD112" s="5"/>
      <c r="JE112" s="5"/>
      <c r="JF112" s="5"/>
      <c r="JG112" s="5"/>
      <c r="JH112" s="5"/>
      <c r="JI112" s="5"/>
      <c r="JJ112" s="5"/>
      <c r="JK112" s="5"/>
      <c r="JM112" s="19"/>
      <c r="JO112" s="5"/>
      <c r="JP112" s="5"/>
      <c r="JQ112" s="5"/>
      <c r="JR112" s="5"/>
      <c r="JS112" s="6"/>
      <c r="JT112" s="23"/>
      <c r="JU112" s="13"/>
      <c r="JV112" s="6"/>
      <c r="JW112" s="6"/>
      <c r="JX112" s="6"/>
      <c r="JY112" s="6"/>
      <c r="JZ112" s="10"/>
      <c r="KA112" s="10"/>
      <c r="KB112" s="10"/>
      <c r="KC112" s="10"/>
      <c r="KD112" s="5"/>
      <c r="KE112" s="6"/>
    </row>
    <row r="113" spans="6:291" x14ac:dyDescent="0.3">
      <c r="F113" s="17"/>
      <c r="G113" s="9"/>
      <c r="H113" s="3"/>
      <c r="I113" s="3"/>
      <c r="J113" s="3"/>
      <c r="K113" s="3"/>
      <c r="L113" s="3"/>
      <c r="M113" s="3"/>
      <c r="N113" s="3"/>
      <c r="O113" s="3"/>
      <c r="P113" s="4"/>
      <c r="Q113" s="5"/>
      <c r="R113" s="5"/>
      <c r="S113" s="5"/>
      <c r="T113" s="6"/>
      <c r="U113" s="5"/>
      <c r="V113" s="6"/>
      <c r="W113" s="7"/>
      <c r="X113" s="8"/>
      <c r="Y113" s="6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6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C113" s="6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M113" s="19"/>
      <c r="JO113" s="5"/>
      <c r="JP113" s="5"/>
      <c r="JQ113" s="5"/>
      <c r="JR113" s="5"/>
      <c r="JS113" s="6"/>
      <c r="JT113" s="23"/>
      <c r="JU113" s="13"/>
      <c r="JV113" s="6"/>
      <c r="JW113" s="6"/>
      <c r="JX113" s="6"/>
      <c r="JY113" s="6"/>
      <c r="JZ113" s="10"/>
      <c r="KA113" s="10"/>
      <c r="KB113" s="10"/>
      <c r="KC113" s="10"/>
      <c r="KD113" s="5"/>
      <c r="KE113" s="6"/>
    </row>
    <row r="114" spans="6:291" x14ac:dyDescent="0.3">
      <c r="F114" s="17"/>
      <c r="G114" s="9"/>
      <c r="H114" s="3"/>
      <c r="I114" s="3"/>
      <c r="J114" s="3"/>
      <c r="K114" s="3"/>
      <c r="L114" s="3"/>
      <c r="M114" s="3"/>
      <c r="N114" s="3"/>
      <c r="O114" s="3"/>
      <c r="P114" s="4"/>
      <c r="Q114" s="5"/>
      <c r="R114" s="5"/>
      <c r="S114" s="5"/>
      <c r="T114" s="6"/>
      <c r="U114" s="5"/>
      <c r="V114" s="6"/>
      <c r="W114" s="7"/>
      <c r="X114" s="8"/>
      <c r="Y114" s="6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6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C114" s="6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M114" s="19"/>
      <c r="JO114" s="5"/>
      <c r="JP114" s="5"/>
      <c r="JQ114" s="5"/>
      <c r="JR114" s="5"/>
      <c r="JS114" s="6"/>
      <c r="JT114" s="23"/>
      <c r="JU114" s="13"/>
      <c r="JV114" s="6"/>
      <c r="JW114" s="6"/>
      <c r="JX114" s="6"/>
      <c r="JY114" s="6"/>
      <c r="JZ114" s="10"/>
      <c r="KA114" s="10"/>
      <c r="KB114" s="10"/>
      <c r="KC114" s="10"/>
      <c r="KD114" s="5"/>
      <c r="KE114" s="6"/>
    </row>
    <row r="115" spans="6:291" x14ac:dyDescent="0.3">
      <c r="F115" s="17"/>
      <c r="G115" s="9"/>
      <c r="H115" s="3"/>
      <c r="I115" s="3"/>
      <c r="J115" s="3"/>
      <c r="K115" s="3"/>
      <c r="L115" s="3"/>
      <c r="M115" s="3"/>
      <c r="N115" s="3"/>
      <c r="O115" s="3"/>
      <c r="P115" s="4"/>
      <c r="Q115" s="5"/>
      <c r="R115" s="5"/>
      <c r="S115" s="5"/>
      <c r="T115" s="6"/>
      <c r="U115" s="5"/>
      <c r="V115" s="6"/>
      <c r="W115" s="7"/>
      <c r="X115" s="8"/>
      <c r="Y115" s="6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6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C115" s="6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M115" s="19"/>
      <c r="JO115" s="5"/>
      <c r="JP115" s="5"/>
      <c r="JQ115" s="5"/>
      <c r="JR115" s="5"/>
      <c r="JS115" s="6"/>
      <c r="JT115" s="23"/>
      <c r="JU115" s="13"/>
      <c r="JV115" s="6"/>
      <c r="JW115" s="6"/>
      <c r="JX115" s="6"/>
      <c r="JY115" s="6"/>
      <c r="JZ115" s="10"/>
      <c r="KA115" s="10"/>
      <c r="KB115" s="10"/>
      <c r="KC115" s="10"/>
      <c r="KD115" s="5"/>
      <c r="KE115" s="6"/>
    </row>
    <row r="116" spans="6:291" x14ac:dyDescent="0.3">
      <c r="F116" s="17"/>
      <c r="G116" s="9"/>
      <c r="H116" s="3"/>
      <c r="I116" s="3"/>
      <c r="J116" s="3"/>
      <c r="K116" s="3"/>
      <c r="L116" s="3"/>
      <c r="M116" s="3"/>
      <c r="N116" s="3"/>
      <c r="O116" s="3"/>
      <c r="P116" s="4"/>
      <c r="Q116" s="5"/>
      <c r="R116" s="5"/>
      <c r="S116" s="5"/>
      <c r="T116" s="6"/>
      <c r="U116" s="5"/>
      <c r="V116" s="6"/>
      <c r="W116" s="7"/>
      <c r="X116" s="8"/>
      <c r="Y116" s="6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6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C116" s="6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  <c r="JC116" s="5"/>
      <c r="JD116" s="5"/>
      <c r="JE116" s="5"/>
      <c r="JF116" s="5"/>
      <c r="JG116" s="5"/>
      <c r="JH116" s="5"/>
      <c r="JI116" s="5"/>
      <c r="JJ116" s="5"/>
      <c r="JK116" s="5"/>
      <c r="JM116" s="19"/>
      <c r="JO116" s="5"/>
      <c r="JP116" s="5"/>
      <c r="JQ116" s="5"/>
      <c r="JR116" s="5"/>
      <c r="JS116" s="6"/>
      <c r="JT116" s="23"/>
      <c r="JU116" s="13"/>
      <c r="JV116" s="6"/>
      <c r="JW116" s="6"/>
      <c r="JX116" s="6"/>
      <c r="JY116" s="6"/>
      <c r="JZ116" s="10"/>
      <c r="KA116" s="10"/>
      <c r="KB116" s="10"/>
      <c r="KC116" s="10"/>
      <c r="KD116" s="5"/>
      <c r="KE116" s="6"/>
    </row>
    <row r="117" spans="6:291" x14ac:dyDescent="0.3">
      <c r="F117" s="17"/>
      <c r="G117" s="9"/>
      <c r="H117" s="3"/>
      <c r="I117" s="3"/>
      <c r="J117" s="3"/>
      <c r="K117" s="3"/>
      <c r="L117" s="3"/>
      <c r="M117" s="3"/>
      <c r="N117" s="3"/>
      <c r="O117" s="3"/>
      <c r="P117" s="4"/>
      <c r="Q117" s="5"/>
      <c r="R117" s="5"/>
      <c r="S117" s="5"/>
      <c r="T117" s="6"/>
      <c r="U117" s="5"/>
      <c r="V117" s="6"/>
      <c r="W117" s="7"/>
      <c r="X117" s="8"/>
      <c r="Y117" s="6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6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C117" s="6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M117" s="19"/>
      <c r="JO117" s="5"/>
      <c r="JP117" s="5"/>
      <c r="JQ117" s="5"/>
      <c r="JR117" s="5"/>
      <c r="JS117" s="6"/>
      <c r="JT117" s="23"/>
      <c r="JU117" s="13"/>
      <c r="JV117" s="6"/>
      <c r="JW117" s="6"/>
      <c r="JX117" s="6"/>
      <c r="JY117" s="6"/>
      <c r="JZ117" s="10"/>
      <c r="KA117" s="10"/>
      <c r="KB117" s="10"/>
      <c r="KC117" s="10"/>
      <c r="KD117" s="5"/>
      <c r="KE117" s="6"/>
    </row>
    <row r="118" spans="6:291" x14ac:dyDescent="0.3">
      <c r="F118" s="17"/>
      <c r="G118" s="9"/>
      <c r="H118" s="3"/>
      <c r="I118" s="3"/>
      <c r="J118" s="3"/>
      <c r="K118" s="3"/>
      <c r="L118" s="3"/>
      <c r="M118" s="3"/>
      <c r="N118" s="3"/>
      <c r="O118" s="3"/>
      <c r="P118" s="4"/>
      <c r="Q118" s="5"/>
      <c r="R118" s="5"/>
      <c r="S118" s="5"/>
      <c r="T118" s="6"/>
      <c r="U118" s="5"/>
      <c r="V118" s="6"/>
      <c r="W118" s="7"/>
      <c r="X118" s="8"/>
      <c r="Y118" s="6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6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C118" s="6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M118" s="19"/>
      <c r="JO118" s="5"/>
      <c r="JP118" s="5"/>
      <c r="JQ118" s="5"/>
      <c r="JR118" s="5"/>
      <c r="JS118" s="6"/>
      <c r="JT118" s="23"/>
      <c r="JU118" s="13"/>
      <c r="JV118" s="6"/>
      <c r="JW118" s="6"/>
      <c r="JX118" s="6"/>
      <c r="JY118" s="6"/>
      <c r="JZ118" s="10"/>
      <c r="KA118" s="10"/>
      <c r="KB118" s="10"/>
      <c r="KC118" s="10"/>
      <c r="KD118" s="5"/>
      <c r="KE118" s="6"/>
    </row>
    <row r="119" spans="6:291" x14ac:dyDescent="0.3">
      <c r="F119" s="17"/>
      <c r="G119" s="9"/>
      <c r="H119" s="3"/>
      <c r="I119" s="3"/>
      <c r="J119" s="3"/>
      <c r="K119" s="3"/>
      <c r="L119" s="3"/>
      <c r="M119" s="3"/>
      <c r="N119" s="3"/>
      <c r="O119" s="3"/>
      <c r="P119" s="4"/>
      <c r="Q119" s="5"/>
      <c r="R119" s="5"/>
      <c r="S119" s="5"/>
      <c r="T119" s="6"/>
      <c r="U119" s="5"/>
      <c r="V119" s="6"/>
      <c r="W119" s="7"/>
      <c r="X119" s="8"/>
      <c r="Y119" s="6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6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C119" s="6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M119" s="19"/>
      <c r="JO119" s="5"/>
      <c r="JP119" s="5"/>
      <c r="JQ119" s="5"/>
      <c r="JR119" s="5"/>
      <c r="JS119" s="6"/>
      <c r="JT119" s="23"/>
      <c r="JU119" s="13"/>
      <c r="JV119" s="6"/>
      <c r="JW119" s="6"/>
      <c r="JX119" s="6"/>
      <c r="JY119" s="6"/>
      <c r="JZ119" s="10"/>
      <c r="KA119" s="10"/>
      <c r="KB119" s="10"/>
      <c r="KC119" s="10"/>
      <c r="KD119" s="5"/>
      <c r="KE119" s="6"/>
    </row>
    <row r="120" spans="6:291" x14ac:dyDescent="0.3">
      <c r="F120" s="17"/>
      <c r="G120" s="9"/>
      <c r="H120" s="3"/>
      <c r="I120" s="3"/>
      <c r="J120" s="3"/>
      <c r="K120" s="3"/>
      <c r="L120" s="3"/>
      <c r="M120" s="3"/>
      <c r="N120" s="3"/>
      <c r="O120" s="3"/>
      <c r="P120" s="4"/>
      <c r="Q120" s="5"/>
      <c r="R120" s="5"/>
      <c r="S120" s="5"/>
      <c r="T120" s="6"/>
      <c r="U120" s="5"/>
      <c r="V120" s="6"/>
      <c r="W120" s="7"/>
      <c r="X120" s="8"/>
      <c r="Y120" s="6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6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C120" s="6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  <c r="JE120" s="5"/>
      <c r="JF120" s="5"/>
      <c r="JG120" s="5"/>
      <c r="JH120" s="5"/>
      <c r="JI120" s="5"/>
      <c r="JJ120" s="5"/>
      <c r="JK120" s="5"/>
      <c r="JM120" s="19"/>
      <c r="JO120" s="5"/>
      <c r="JP120" s="5"/>
      <c r="JQ120" s="5"/>
      <c r="JR120" s="5"/>
      <c r="JS120" s="6"/>
      <c r="JT120" s="23"/>
      <c r="JU120" s="13"/>
      <c r="JV120" s="6"/>
      <c r="JW120" s="6"/>
      <c r="JX120" s="6"/>
      <c r="JY120" s="6"/>
      <c r="JZ120" s="10"/>
      <c r="KA120" s="10"/>
      <c r="KB120" s="10"/>
      <c r="KC120" s="10"/>
      <c r="KD120" s="5"/>
      <c r="KE120" s="6"/>
    </row>
    <row r="121" spans="6:291" x14ac:dyDescent="0.3">
      <c r="F121" s="17"/>
      <c r="G121" s="9"/>
      <c r="H121" s="3"/>
      <c r="I121" s="3"/>
      <c r="J121" s="3"/>
      <c r="K121" s="3"/>
      <c r="L121" s="3"/>
      <c r="M121" s="3"/>
      <c r="N121" s="3"/>
      <c r="O121" s="3"/>
      <c r="P121" s="4"/>
      <c r="Q121" s="5"/>
      <c r="R121" s="5"/>
      <c r="S121" s="5"/>
      <c r="T121" s="6"/>
      <c r="U121" s="5"/>
      <c r="V121" s="6"/>
      <c r="W121" s="7"/>
      <c r="X121" s="8"/>
      <c r="Y121" s="6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6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C121" s="6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M121" s="19"/>
      <c r="JO121" s="5"/>
      <c r="JP121" s="5"/>
      <c r="JQ121" s="5"/>
      <c r="JR121" s="5"/>
      <c r="JS121" s="6"/>
      <c r="JT121" s="23"/>
      <c r="JU121" s="13"/>
      <c r="JV121" s="6"/>
      <c r="JW121" s="6"/>
      <c r="JX121" s="6"/>
      <c r="JY121" s="6"/>
      <c r="JZ121" s="10"/>
      <c r="KA121" s="10"/>
      <c r="KB121" s="10"/>
      <c r="KC121" s="10"/>
      <c r="KD121" s="5"/>
      <c r="KE121" s="6"/>
    </row>
    <row r="122" spans="6:291" x14ac:dyDescent="0.3">
      <c r="F122" s="17"/>
      <c r="G122" s="9"/>
      <c r="H122" s="3"/>
      <c r="I122" s="3"/>
      <c r="J122" s="3"/>
      <c r="K122" s="3"/>
      <c r="L122" s="3"/>
      <c r="M122" s="3"/>
      <c r="N122" s="3"/>
      <c r="O122" s="3"/>
      <c r="P122" s="4"/>
      <c r="Q122" s="5"/>
      <c r="R122" s="5"/>
      <c r="S122" s="5"/>
      <c r="T122" s="6"/>
      <c r="U122" s="5"/>
      <c r="V122" s="6"/>
      <c r="W122" s="7"/>
      <c r="X122" s="8"/>
      <c r="Y122" s="6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6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C122" s="6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M122" s="19"/>
      <c r="JO122" s="5"/>
      <c r="JP122" s="5"/>
      <c r="JQ122" s="5"/>
      <c r="JR122" s="5"/>
      <c r="JS122" s="6"/>
      <c r="JT122" s="23"/>
      <c r="JU122" s="13"/>
      <c r="JV122" s="6"/>
      <c r="JW122" s="6"/>
      <c r="JX122" s="6"/>
      <c r="JY122" s="6"/>
      <c r="JZ122" s="10"/>
      <c r="KA122" s="10"/>
      <c r="KB122" s="10"/>
      <c r="KC122" s="10"/>
      <c r="KD122" s="5"/>
      <c r="KE122" s="6"/>
    </row>
    <row r="123" spans="6:291" x14ac:dyDescent="0.3">
      <c r="F123" s="17"/>
      <c r="G123" s="9"/>
      <c r="H123" s="3"/>
      <c r="I123" s="3"/>
      <c r="J123" s="3"/>
      <c r="K123" s="3"/>
      <c r="L123" s="3"/>
      <c r="M123" s="3"/>
      <c r="N123" s="3"/>
      <c r="O123" s="3"/>
      <c r="P123" s="4"/>
      <c r="Q123" s="5"/>
      <c r="R123" s="5"/>
      <c r="S123" s="5"/>
      <c r="T123" s="6"/>
      <c r="U123" s="5"/>
      <c r="V123" s="6"/>
      <c r="W123" s="7"/>
      <c r="X123" s="8"/>
      <c r="Y123" s="6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6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C123" s="6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M123" s="19"/>
      <c r="JO123" s="5"/>
      <c r="JP123" s="5"/>
      <c r="JQ123" s="5"/>
      <c r="JR123" s="5"/>
      <c r="JS123" s="6"/>
      <c r="JT123" s="23"/>
      <c r="JU123" s="13"/>
      <c r="JV123" s="6"/>
      <c r="JW123" s="6"/>
      <c r="JX123" s="6"/>
      <c r="JY123" s="6"/>
      <c r="JZ123" s="10"/>
      <c r="KA123" s="10"/>
      <c r="KB123" s="10"/>
      <c r="KC123" s="10"/>
      <c r="KD123" s="5"/>
      <c r="KE123" s="6"/>
    </row>
    <row r="124" spans="6:291" x14ac:dyDescent="0.3">
      <c r="F124" s="17"/>
      <c r="G124" s="9"/>
      <c r="H124" s="3"/>
      <c r="I124" s="3"/>
      <c r="J124" s="3"/>
      <c r="K124" s="3"/>
      <c r="L124" s="3"/>
      <c r="M124" s="3"/>
      <c r="N124" s="3"/>
      <c r="O124" s="3"/>
      <c r="P124" s="4"/>
      <c r="Q124" s="5"/>
      <c r="R124" s="5"/>
      <c r="S124" s="5"/>
      <c r="T124" s="6"/>
      <c r="U124" s="5"/>
      <c r="V124" s="6"/>
      <c r="W124" s="7"/>
      <c r="X124" s="8"/>
      <c r="Y124" s="6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6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C124" s="6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  <c r="JE124" s="5"/>
      <c r="JF124" s="5"/>
      <c r="JG124" s="5"/>
      <c r="JH124" s="5"/>
      <c r="JI124" s="5"/>
      <c r="JJ124" s="5"/>
      <c r="JK124" s="5"/>
      <c r="JM124" s="19"/>
      <c r="JO124" s="5"/>
      <c r="JP124" s="5"/>
      <c r="JQ124" s="5"/>
      <c r="JR124" s="5"/>
      <c r="JS124" s="6"/>
      <c r="JT124" s="23"/>
      <c r="JU124" s="13"/>
      <c r="JV124" s="6"/>
      <c r="JW124" s="6"/>
      <c r="JX124" s="6"/>
      <c r="JY124" s="6"/>
      <c r="JZ124" s="10"/>
      <c r="KA124" s="10"/>
      <c r="KB124" s="10"/>
      <c r="KC124" s="10"/>
      <c r="KD124" s="5"/>
      <c r="KE124" s="6"/>
    </row>
    <row r="125" spans="6:291" x14ac:dyDescent="0.3">
      <c r="F125" s="17"/>
      <c r="G125" s="9"/>
      <c r="H125" s="3"/>
      <c r="I125" s="3"/>
      <c r="J125" s="3"/>
      <c r="K125" s="3"/>
      <c r="L125" s="3"/>
      <c r="M125" s="3"/>
      <c r="N125" s="3"/>
      <c r="O125" s="3"/>
      <c r="P125" s="4"/>
      <c r="Q125" s="5"/>
      <c r="R125" s="5"/>
      <c r="S125" s="5"/>
      <c r="T125" s="6"/>
      <c r="U125" s="5"/>
      <c r="V125" s="6"/>
      <c r="W125" s="7"/>
      <c r="X125" s="8"/>
      <c r="Y125" s="6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6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C125" s="6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M125" s="19"/>
      <c r="JO125" s="5"/>
      <c r="JP125" s="5"/>
      <c r="JQ125" s="5"/>
      <c r="JR125" s="5"/>
      <c r="JS125" s="6"/>
      <c r="JT125" s="23"/>
      <c r="JU125" s="13"/>
      <c r="JV125" s="6"/>
      <c r="JW125" s="6"/>
      <c r="JX125" s="6"/>
      <c r="JY125" s="6"/>
      <c r="JZ125" s="10"/>
      <c r="KA125" s="10"/>
      <c r="KB125" s="10"/>
      <c r="KC125" s="10"/>
      <c r="KD125" s="5"/>
      <c r="KE125" s="6"/>
    </row>
    <row r="126" spans="6:291" x14ac:dyDescent="0.3">
      <c r="F126" s="17"/>
      <c r="G126" s="9"/>
      <c r="H126" s="3"/>
      <c r="I126" s="3"/>
      <c r="J126" s="3"/>
      <c r="K126" s="3"/>
      <c r="L126" s="3"/>
      <c r="M126" s="3"/>
      <c r="N126" s="3"/>
      <c r="O126" s="3"/>
      <c r="P126" s="4"/>
      <c r="Q126" s="5"/>
      <c r="R126" s="5"/>
      <c r="S126" s="5"/>
      <c r="T126" s="6"/>
      <c r="U126" s="5"/>
      <c r="V126" s="6"/>
      <c r="W126" s="7"/>
      <c r="X126" s="8"/>
      <c r="Y126" s="6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6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C126" s="6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M126" s="19"/>
      <c r="JO126" s="5"/>
      <c r="JP126" s="5"/>
      <c r="JQ126" s="5"/>
      <c r="JR126" s="5"/>
      <c r="JS126" s="6"/>
      <c r="JT126" s="23"/>
      <c r="JU126" s="13"/>
      <c r="JV126" s="6"/>
      <c r="JW126" s="6"/>
      <c r="JX126" s="6"/>
      <c r="JY126" s="6"/>
      <c r="JZ126" s="10"/>
      <c r="KA126" s="10"/>
      <c r="KB126" s="10"/>
      <c r="KC126" s="10"/>
      <c r="KD126" s="5"/>
      <c r="KE126" s="6"/>
    </row>
    <row r="127" spans="6:291" x14ac:dyDescent="0.3">
      <c r="F127" s="17"/>
      <c r="G127" s="9"/>
      <c r="H127" s="3"/>
      <c r="I127" s="3"/>
      <c r="J127" s="3"/>
      <c r="K127" s="3"/>
      <c r="L127" s="3"/>
      <c r="M127" s="3"/>
      <c r="N127" s="3"/>
      <c r="O127" s="3"/>
      <c r="P127" s="4"/>
      <c r="Q127" s="5"/>
      <c r="R127" s="5"/>
      <c r="S127" s="5"/>
      <c r="T127" s="6"/>
      <c r="U127" s="5"/>
      <c r="V127" s="6"/>
      <c r="W127" s="7"/>
      <c r="X127" s="8"/>
      <c r="Y127" s="6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6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C127" s="6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M127" s="19"/>
      <c r="JO127" s="5"/>
      <c r="JP127" s="5"/>
      <c r="JQ127" s="5"/>
      <c r="JR127" s="5"/>
      <c r="JS127" s="6"/>
      <c r="JT127" s="23"/>
      <c r="JU127" s="13"/>
      <c r="JV127" s="6"/>
      <c r="JW127" s="6"/>
      <c r="JX127" s="6"/>
      <c r="JY127" s="6"/>
      <c r="JZ127" s="10"/>
      <c r="KA127" s="10"/>
      <c r="KB127" s="10"/>
      <c r="KC127" s="10"/>
      <c r="KD127" s="5"/>
      <c r="KE127" s="6"/>
    </row>
    <row r="128" spans="6:291" x14ac:dyDescent="0.3">
      <c r="F128" s="17"/>
      <c r="G128" s="9"/>
      <c r="H128" s="3"/>
      <c r="I128" s="3"/>
      <c r="J128" s="3"/>
      <c r="K128" s="3"/>
      <c r="L128" s="3"/>
      <c r="M128" s="3"/>
      <c r="N128" s="3"/>
      <c r="O128" s="3"/>
      <c r="P128" s="4"/>
      <c r="Q128" s="5"/>
      <c r="R128" s="5"/>
      <c r="S128" s="5"/>
      <c r="T128" s="6"/>
      <c r="U128" s="5"/>
      <c r="V128" s="6"/>
      <c r="W128" s="7"/>
      <c r="X128" s="8"/>
      <c r="Y128" s="6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6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C128" s="6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  <c r="JC128" s="5"/>
      <c r="JD128" s="5"/>
      <c r="JE128" s="5"/>
      <c r="JF128" s="5"/>
      <c r="JG128" s="5"/>
      <c r="JH128" s="5"/>
      <c r="JI128" s="5"/>
      <c r="JJ128" s="5"/>
      <c r="JK128" s="5"/>
      <c r="JM128" s="19"/>
      <c r="JO128" s="5"/>
      <c r="JP128" s="5"/>
      <c r="JQ128" s="5"/>
      <c r="JR128" s="5"/>
      <c r="JS128" s="6"/>
      <c r="JT128" s="23"/>
      <c r="JU128" s="13"/>
      <c r="JV128" s="6"/>
      <c r="JW128" s="6"/>
      <c r="JX128" s="6"/>
      <c r="JY128" s="6"/>
      <c r="JZ128" s="10"/>
      <c r="KA128" s="10"/>
      <c r="KB128" s="10"/>
      <c r="KC128" s="10"/>
      <c r="KD128" s="5"/>
      <c r="KE128" s="6"/>
    </row>
    <row r="129" spans="6:291" x14ac:dyDescent="0.3">
      <c r="F129" s="17"/>
      <c r="G129" s="9"/>
      <c r="H129" s="3"/>
      <c r="I129" s="3"/>
      <c r="J129" s="3"/>
      <c r="K129" s="3"/>
      <c r="L129" s="3"/>
      <c r="M129" s="3"/>
      <c r="N129" s="3"/>
      <c r="O129" s="3"/>
      <c r="P129" s="4"/>
      <c r="Q129" s="5"/>
      <c r="R129" s="5"/>
      <c r="S129" s="5"/>
      <c r="T129" s="6"/>
      <c r="U129" s="5"/>
      <c r="V129" s="6"/>
      <c r="W129" s="7"/>
      <c r="X129" s="8"/>
      <c r="Y129" s="6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6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C129" s="6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M129" s="19"/>
      <c r="JO129" s="5"/>
      <c r="JP129" s="5"/>
      <c r="JQ129" s="5"/>
      <c r="JR129" s="5"/>
      <c r="JS129" s="6"/>
      <c r="JT129" s="23"/>
      <c r="JU129" s="13"/>
      <c r="JV129" s="6"/>
      <c r="JW129" s="6"/>
      <c r="JX129" s="6"/>
      <c r="JY129" s="6"/>
      <c r="JZ129" s="10"/>
      <c r="KA129" s="10"/>
      <c r="KB129" s="10"/>
      <c r="KC129" s="10"/>
      <c r="KD129" s="5"/>
      <c r="KE129" s="6"/>
    </row>
    <row r="130" spans="6:291" x14ac:dyDescent="0.3">
      <c r="F130" s="17"/>
      <c r="G130" s="9"/>
      <c r="H130" s="3"/>
      <c r="I130" s="3"/>
      <c r="J130" s="3"/>
      <c r="K130" s="3"/>
      <c r="L130" s="3"/>
      <c r="M130" s="3"/>
      <c r="N130" s="3"/>
      <c r="O130" s="3"/>
      <c r="P130" s="4"/>
      <c r="Q130" s="5"/>
      <c r="R130" s="5"/>
      <c r="S130" s="5"/>
      <c r="T130" s="6"/>
      <c r="U130" s="5"/>
      <c r="V130" s="6"/>
      <c r="W130" s="7"/>
      <c r="X130" s="8"/>
      <c r="Y130" s="6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6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C130" s="6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M130" s="19"/>
      <c r="JO130" s="5"/>
      <c r="JP130" s="5"/>
      <c r="JQ130" s="5"/>
      <c r="JR130" s="5"/>
      <c r="JS130" s="6"/>
      <c r="JT130" s="23"/>
      <c r="JU130" s="13"/>
      <c r="JV130" s="6"/>
      <c r="JW130" s="6"/>
      <c r="JX130" s="6"/>
      <c r="JY130" s="6"/>
      <c r="JZ130" s="10"/>
      <c r="KA130" s="10"/>
      <c r="KB130" s="10"/>
      <c r="KC130" s="10"/>
      <c r="KD130" s="5"/>
      <c r="KE130" s="6"/>
    </row>
    <row r="131" spans="6:291" x14ac:dyDescent="0.3">
      <c r="F131" s="17"/>
      <c r="G131" s="9"/>
      <c r="H131" s="3"/>
      <c r="I131" s="3"/>
      <c r="J131" s="3"/>
      <c r="K131" s="3"/>
      <c r="L131" s="3"/>
      <c r="M131" s="3"/>
      <c r="N131" s="3"/>
      <c r="O131" s="3"/>
      <c r="P131" s="4"/>
      <c r="Q131" s="5"/>
      <c r="R131" s="5"/>
      <c r="S131" s="5"/>
      <c r="T131" s="6"/>
      <c r="U131" s="5"/>
      <c r="V131" s="6"/>
      <c r="W131" s="7"/>
      <c r="X131" s="8"/>
      <c r="Y131" s="6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6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C131" s="6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M131" s="19"/>
      <c r="JO131" s="5"/>
      <c r="JP131" s="5"/>
      <c r="JQ131" s="5"/>
      <c r="JR131" s="5"/>
      <c r="JS131" s="6"/>
      <c r="JT131" s="23"/>
      <c r="JU131" s="13"/>
      <c r="JV131" s="6"/>
      <c r="JW131" s="6"/>
      <c r="JX131" s="6"/>
      <c r="JY131" s="6"/>
      <c r="JZ131" s="10"/>
      <c r="KA131" s="10"/>
      <c r="KB131" s="10"/>
      <c r="KC131" s="10"/>
      <c r="KD131" s="5"/>
      <c r="KE131" s="6"/>
    </row>
    <row r="132" spans="6:291" x14ac:dyDescent="0.3">
      <c r="F132" s="17"/>
      <c r="G132" s="9"/>
      <c r="H132" s="3"/>
      <c r="I132" s="3"/>
      <c r="J132" s="3"/>
      <c r="K132" s="3"/>
      <c r="L132" s="3"/>
      <c r="M132" s="3"/>
      <c r="N132" s="3"/>
      <c r="O132" s="3"/>
      <c r="P132" s="4"/>
      <c r="Q132" s="5"/>
      <c r="R132" s="5"/>
      <c r="S132" s="5"/>
      <c r="T132" s="6"/>
      <c r="U132" s="5"/>
      <c r="V132" s="6"/>
      <c r="W132" s="7"/>
      <c r="X132" s="8"/>
      <c r="Y132" s="6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6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C132" s="6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  <c r="JC132" s="5"/>
      <c r="JD132" s="5"/>
      <c r="JE132" s="5"/>
      <c r="JF132" s="5"/>
      <c r="JG132" s="5"/>
      <c r="JH132" s="5"/>
      <c r="JI132" s="5"/>
      <c r="JJ132" s="5"/>
      <c r="JK132" s="5"/>
      <c r="JM132" s="19"/>
      <c r="JO132" s="5"/>
      <c r="JP132" s="5"/>
      <c r="JQ132" s="5"/>
      <c r="JR132" s="5"/>
      <c r="JS132" s="6"/>
      <c r="JT132" s="23"/>
      <c r="JU132" s="13"/>
      <c r="JV132" s="6"/>
      <c r="JW132" s="6"/>
      <c r="JX132" s="6"/>
      <c r="JY132" s="6"/>
      <c r="JZ132" s="10"/>
      <c r="KA132" s="10"/>
      <c r="KB132" s="10"/>
      <c r="KC132" s="10"/>
      <c r="KD132" s="5"/>
      <c r="KE132" s="6"/>
    </row>
    <row r="133" spans="6:291" x14ac:dyDescent="0.3">
      <c r="F133" s="17"/>
      <c r="G133" s="9"/>
      <c r="H133" s="3"/>
      <c r="I133" s="3"/>
      <c r="J133" s="3"/>
      <c r="K133" s="3"/>
      <c r="L133" s="3"/>
      <c r="M133" s="3"/>
      <c r="N133" s="3"/>
      <c r="O133" s="3"/>
      <c r="P133" s="4"/>
      <c r="Q133" s="5"/>
      <c r="R133" s="5"/>
      <c r="S133" s="5"/>
      <c r="T133" s="6"/>
      <c r="U133" s="5"/>
      <c r="V133" s="6"/>
      <c r="W133" s="7"/>
      <c r="X133" s="8"/>
      <c r="Y133" s="6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6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C133" s="6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M133" s="19"/>
      <c r="JO133" s="5"/>
      <c r="JP133" s="5"/>
      <c r="JQ133" s="5"/>
      <c r="JR133" s="5"/>
      <c r="JS133" s="6"/>
      <c r="JT133" s="23"/>
      <c r="JU133" s="13"/>
      <c r="JV133" s="6"/>
      <c r="JW133" s="6"/>
      <c r="JX133" s="6"/>
      <c r="JY133" s="6"/>
      <c r="JZ133" s="10"/>
      <c r="KA133" s="10"/>
      <c r="KB133" s="10"/>
      <c r="KC133" s="10"/>
      <c r="KD133" s="5"/>
      <c r="KE133" s="6"/>
    </row>
    <row r="134" spans="6:291" x14ac:dyDescent="0.3">
      <c r="F134" s="17"/>
      <c r="G134" s="9"/>
      <c r="H134" s="3"/>
      <c r="I134" s="3"/>
      <c r="J134" s="3"/>
      <c r="K134" s="3"/>
      <c r="L134" s="3"/>
      <c r="M134" s="3"/>
      <c r="N134" s="3"/>
      <c r="O134" s="3"/>
      <c r="P134" s="4"/>
      <c r="Q134" s="5"/>
      <c r="R134" s="5"/>
      <c r="S134" s="5"/>
      <c r="T134" s="6"/>
      <c r="U134" s="5"/>
      <c r="V134" s="6"/>
      <c r="W134" s="7"/>
      <c r="X134" s="8"/>
      <c r="Y134" s="6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6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C134" s="6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M134" s="19"/>
      <c r="JO134" s="5"/>
      <c r="JP134" s="5"/>
      <c r="JQ134" s="5"/>
      <c r="JR134" s="5"/>
      <c r="JS134" s="6"/>
      <c r="JT134" s="23"/>
      <c r="JU134" s="13"/>
      <c r="JV134" s="6"/>
      <c r="JW134" s="6"/>
      <c r="JX134" s="6"/>
      <c r="JY134" s="6"/>
      <c r="JZ134" s="10"/>
      <c r="KA134" s="10"/>
      <c r="KB134" s="10"/>
      <c r="KC134" s="10"/>
      <c r="KD134" s="5"/>
      <c r="KE134" s="6"/>
    </row>
    <row r="135" spans="6:291" x14ac:dyDescent="0.3">
      <c r="F135" s="17"/>
      <c r="G135" s="9"/>
      <c r="H135" s="3"/>
      <c r="I135" s="3"/>
      <c r="J135" s="3"/>
      <c r="K135" s="3"/>
      <c r="L135" s="3"/>
      <c r="M135" s="3"/>
      <c r="N135" s="3"/>
      <c r="O135" s="3"/>
      <c r="P135" s="4"/>
      <c r="Q135" s="5"/>
      <c r="R135" s="5"/>
      <c r="S135" s="5"/>
      <c r="T135" s="6"/>
      <c r="U135" s="5"/>
      <c r="V135" s="6"/>
      <c r="W135" s="7"/>
      <c r="X135" s="8"/>
      <c r="Y135" s="6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6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C135" s="6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M135" s="19"/>
      <c r="JO135" s="5"/>
      <c r="JP135" s="5"/>
      <c r="JQ135" s="5"/>
      <c r="JR135" s="5"/>
      <c r="JS135" s="6"/>
      <c r="JT135" s="23"/>
      <c r="JU135" s="13"/>
      <c r="JV135" s="6"/>
      <c r="JW135" s="6"/>
      <c r="JX135" s="6"/>
      <c r="JY135" s="6"/>
      <c r="JZ135" s="10"/>
      <c r="KA135" s="10"/>
      <c r="KB135" s="10"/>
      <c r="KC135" s="10"/>
      <c r="KD135" s="5"/>
      <c r="KE135" s="6"/>
    </row>
    <row r="136" spans="6:291" x14ac:dyDescent="0.3">
      <c r="F136" s="17"/>
      <c r="G136" s="9"/>
      <c r="H136" s="3"/>
      <c r="I136" s="3"/>
      <c r="J136" s="3"/>
      <c r="K136" s="3"/>
      <c r="L136" s="3"/>
      <c r="M136" s="3"/>
      <c r="N136" s="3"/>
      <c r="O136" s="3"/>
      <c r="P136" s="4"/>
      <c r="Q136" s="5"/>
      <c r="R136" s="5"/>
      <c r="S136" s="5"/>
      <c r="T136" s="6"/>
      <c r="U136" s="5"/>
      <c r="V136" s="6"/>
      <c r="W136" s="7"/>
      <c r="X136" s="8"/>
      <c r="Y136" s="6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6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C136" s="6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  <c r="JC136" s="5"/>
      <c r="JD136" s="5"/>
      <c r="JE136" s="5"/>
      <c r="JF136" s="5"/>
      <c r="JG136" s="5"/>
      <c r="JH136" s="5"/>
      <c r="JI136" s="5"/>
      <c r="JJ136" s="5"/>
      <c r="JK136" s="5"/>
      <c r="JM136" s="19"/>
      <c r="JO136" s="5"/>
      <c r="JP136" s="5"/>
      <c r="JQ136" s="5"/>
      <c r="JR136" s="5"/>
      <c r="JS136" s="6"/>
      <c r="JT136" s="23"/>
      <c r="JU136" s="13"/>
      <c r="JV136" s="6"/>
      <c r="JW136" s="6"/>
      <c r="JX136" s="6"/>
      <c r="JY136" s="6"/>
      <c r="JZ136" s="10"/>
      <c r="KA136" s="10"/>
      <c r="KB136" s="10"/>
      <c r="KC136" s="10"/>
      <c r="KD136" s="5"/>
      <c r="KE136" s="6"/>
    </row>
    <row r="137" spans="6:291" x14ac:dyDescent="0.3">
      <c r="F137" s="17"/>
      <c r="G137" s="9"/>
      <c r="H137" s="3"/>
      <c r="I137" s="3"/>
      <c r="J137" s="3"/>
      <c r="K137" s="3"/>
      <c r="L137" s="3"/>
      <c r="M137" s="3"/>
      <c r="N137" s="3"/>
      <c r="O137" s="3"/>
      <c r="P137" s="4"/>
      <c r="Q137" s="5"/>
      <c r="R137" s="5"/>
      <c r="S137" s="5"/>
      <c r="T137" s="6"/>
      <c r="U137" s="5"/>
      <c r="V137" s="6"/>
      <c r="W137" s="7"/>
      <c r="X137" s="8"/>
      <c r="Y137" s="6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6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C137" s="6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M137" s="19"/>
      <c r="JO137" s="5"/>
      <c r="JP137" s="5"/>
      <c r="JQ137" s="5"/>
      <c r="JR137" s="5"/>
      <c r="JS137" s="6"/>
      <c r="JT137" s="23"/>
      <c r="JU137" s="13"/>
      <c r="JV137" s="6"/>
      <c r="JW137" s="6"/>
      <c r="JX137" s="6"/>
      <c r="JY137" s="6"/>
      <c r="JZ137" s="10"/>
      <c r="KA137" s="10"/>
      <c r="KB137" s="10"/>
      <c r="KC137" s="10"/>
      <c r="KD137" s="5"/>
      <c r="KE137" s="6"/>
    </row>
    <row r="138" spans="6:291" x14ac:dyDescent="0.3">
      <c r="F138" s="17"/>
      <c r="G138" s="9"/>
      <c r="H138" s="3"/>
      <c r="I138" s="3"/>
      <c r="J138" s="3"/>
      <c r="K138" s="3"/>
      <c r="L138" s="3"/>
      <c r="M138" s="3"/>
      <c r="N138" s="3"/>
      <c r="O138" s="3"/>
      <c r="P138" s="4"/>
      <c r="Q138" s="5"/>
      <c r="R138" s="5"/>
      <c r="S138" s="5"/>
      <c r="T138" s="6"/>
      <c r="U138" s="5"/>
      <c r="V138" s="6"/>
      <c r="W138" s="7"/>
      <c r="X138" s="8"/>
      <c r="Y138" s="6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6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C138" s="6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M138" s="19"/>
      <c r="JO138" s="5"/>
      <c r="JP138" s="5"/>
      <c r="JQ138" s="5"/>
      <c r="JR138" s="5"/>
      <c r="JS138" s="6"/>
      <c r="JT138" s="23"/>
      <c r="JU138" s="13"/>
      <c r="JV138" s="6"/>
      <c r="JW138" s="6"/>
      <c r="JX138" s="6"/>
      <c r="JY138" s="6"/>
      <c r="JZ138" s="10"/>
      <c r="KA138" s="10"/>
      <c r="KB138" s="10"/>
      <c r="KC138" s="10"/>
      <c r="KD138" s="5"/>
      <c r="KE138" s="6"/>
    </row>
    <row r="139" spans="6:291" x14ac:dyDescent="0.3">
      <c r="F139" s="17"/>
      <c r="G139" s="9"/>
      <c r="H139" s="3"/>
      <c r="I139" s="3"/>
      <c r="J139" s="3"/>
      <c r="K139" s="3"/>
      <c r="L139" s="3"/>
      <c r="M139" s="3"/>
      <c r="N139" s="3"/>
      <c r="O139" s="3"/>
      <c r="P139" s="4"/>
      <c r="Q139" s="5"/>
      <c r="R139" s="5"/>
      <c r="S139" s="5"/>
      <c r="T139" s="6"/>
      <c r="U139" s="5"/>
      <c r="V139" s="6"/>
      <c r="W139" s="7"/>
      <c r="X139" s="8"/>
      <c r="Y139" s="6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6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C139" s="6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M139" s="19"/>
      <c r="JO139" s="5"/>
      <c r="JP139" s="5"/>
      <c r="JQ139" s="5"/>
      <c r="JR139" s="5"/>
      <c r="JS139" s="6"/>
      <c r="JT139" s="23"/>
      <c r="JU139" s="13"/>
      <c r="JV139" s="6"/>
      <c r="JW139" s="6"/>
      <c r="JX139" s="6"/>
      <c r="JY139" s="6"/>
      <c r="JZ139" s="10"/>
      <c r="KA139" s="10"/>
      <c r="KB139" s="10"/>
      <c r="KC139" s="10"/>
      <c r="KD139" s="5"/>
      <c r="KE139" s="6"/>
    </row>
    <row r="140" spans="6:291" x14ac:dyDescent="0.3">
      <c r="F140" s="17"/>
      <c r="G140" s="9"/>
      <c r="H140" s="3"/>
      <c r="I140" s="3"/>
      <c r="J140" s="3"/>
      <c r="K140" s="3"/>
      <c r="L140" s="3"/>
      <c r="M140" s="3"/>
      <c r="N140" s="3"/>
      <c r="O140" s="3"/>
      <c r="P140" s="4"/>
      <c r="Q140" s="5"/>
      <c r="R140" s="5"/>
      <c r="S140" s="5"/>
      <c r="T140" s="6"/>
      <c r="U140" s="5"/>
      <c r="V140" s="6"/>
      <c r="W140" s="7"/>
      <c r="X140" s="8"/>
      <c r="Y140" s="6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6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C140" s="6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  <c r="JC140" s="5"/>
      <c r="JD140" s="5"/>
      <c r="JE140" s="5"/>
      <c r="JF140" s="5"/>
      <c r="JG140" s="5"/>
      <c r="JH140" s="5"/>
      <c r="JI140" s="5"/>
      <c r="JJ140" s="5"/>
      <c r="JK140" s="5"/>
      <c r="JM140" s="19"/>
      <c r="JO140" s="5"/>
      <c r="JP140" s="5"/>
      <c r="JQ140" s="5"/>
      <c r="JR140" s="5"/>
      <c r="JS140" s="6"/>
      <c r="JT140" s="23"/>
      <c r="JU140" s="13"/>
      <c r="JV140" s="6"/>
      <c r="JW140" s="6"/>
      <c r="JX140" s="6"/>
      <c r="JY140" s="6"/>
      <c r="JZ140" s="10"/>
      <c r="KA140" s="10"/>
      <c r="KB140" s="10"/>
      <c r="KC140" s="10"/>
      <c r="KD140" s="5"/>
      <c r="KE140" s="6"/>
    </row>
    <row r="141" spans="6:291" x14ac:dyDescent="0.3">
      <c r="F141" s="17"/>
      <c r="G141" s="9"/>
      <c r="H141" s="3"/>
      <c r="I141" s="3"/>
      <c r="J141" s="3"/>
      <c r="K141" s="3"/>
      <c r="L141" s="3"/>
      <c r="M141" s="3"/>
      <c r="N141" s="3"/>
      <c r="O141" s="3"/>
      <c r="P141" s="4"/>
      <c r="Q141" s="5"/>
      <c r="R141" s="5"/>
      <c r="S141" s="5"/>
      <c r="T141" s="6"/>
      <c r="U141" s="5"/>
      <c r="V141" s="6"/>
      <c r="W141" s="7"/>
      <c r="X141" s="8"/>
      <c r="Y141" s="6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6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C141" s="6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M141" s="19"/>
      <c r="JO141" s="5"/>
      <c r="JP141" s="5"/>
      <c r="JQ141" s="5"/>
      <c r="JR141" s="5"/>
      <c r="JS141" s="6"/>
      <c r="JT141" s="23"/>
      <c r="JU141" s="13"/>
      <c r="JV141" s="6"/>
      <c r="JW141" s="6"/>
      <c r="JX141" s="6"/>
      <c r="JY141" s="6"/>
      <c r="JZ141" s="10"/>
      <c r="KA141" s="10"/>
      <c r="KB141" s="10"/>
      <c r="KC141" s="10"/>
      <c r="KD141" s="5"/>
      <c r="KE141" s="6"/>
    </row>
    <row r="142" spans="6:291" x14ac:dyDescent="0.3">
      <c r="F142" s="17"/>
      <c r="G142" s="9"/>
      <c r="H142" s="3"/>
      <c r="I142" s="3"/>
      <c r="J142" s="3"/>
      <c r="K142" s="3"/>
      <c r="L142" s="3"/>
      <c r="M142" s="3"/>
      <c r="N142" s="3"/>
      <c r="O142" s="3"/>
      <c r="P142" s="4"/>
      <c r="Q142" s="5"/>
      <c r="R142" s="5"/>
      <c r="S142" s="5"/>
      <c r="T142" s="6"/>
      <c r="U142" s="5"/>
      <c r="V142" s="6"/>
      <c r="W142" s="7"/>
      <c r="X142" s="8"/>
      <c r="Y142" s="6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6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C142" s="6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M142" s="19"/>
      <c r="JO142" s="5"/>
      <c r="JP142" s="5"/>
      <c r="JQ142" s="5"/>
      <c r="JR142" s="5"/>
      <c r="JS142" s="6"/>
      <c r="JT142" s="23"/>
      <c r="JU142" s="13"/>
      <c r="JV142" s="6"/>
      <c r="JW142" s="6"/>
      <c r="JX142" s="6"/>
      <c r="JY142" s="6"/>
      <c r="JZ142" s="10"/>
      <c r="KA142" s="10"/>
      <c r="KB142" s="10"/>
      <c r="KC142" s="10"/>
      <c r="KD142" s="5"/>
      <c r="KE142" s="6"/>
    </row>
    <row r="143" spans="6:291" x14ac:dyDescent="0.3">
      <c r="F143" s="17"/>
      <c r="G143" s="9"/>
      <c r="H143" s="3"/>
      <c r="I143" s="3"/>
      <c r="J143" s="3"/>
      <c r="K143" s="3"/>
      <c r="L143" s="3"/>
      <c r="M143" s="3"/>
      <c r="N143" s="3"/>
      <c r="O143" s="3"/>
      <c r="P143" s="4"/>
      <c r="Q143" s="5"/>
      <c r="R143" s="5"/>
      <c r="S143" s="5"/>
      <c r="T143" s="6"/>
      <c r="U143" s="5"/>
      <c r="V143" s="6"/>
      <c r="W143" s="7"/>
      <c r="X143" s="8"/>
      <c r="Y143" s="6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6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C143" s="6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M143" s="19"/>
      <c r="JO143" s="5"/>
      <c r="JP143" s="5"/>
      <c r="JQ143" s="5"/>
      <c r="JR143" s="5"/>
      <c r="JS143" s="6"/>
      <c r="JT143" s="23"/>
      <c r="JU143" s="13"/>
      <c r="JV143" s="6"/>
      <c r="JW143" s="6"/>
      <c r="JX143" s="6"/>
      <c r="JY143" s="6"/>
      <c r="JZ143" s="10"/>
      <c r="KA143" s="10"/>
      <c r="KB143" s="10"/>
      <c r="KC143" s="10"/>
      <c r="KD143" s="5"/>
      <c r="KE143" s="6"/>
    </row>
    <row r="144" spans="6:291" x14ac:dyDescent="0.3">
      <c r="F144" s="17"/>
      <c r="G144" s="9"/>
      <c r="H144" s="3"/>
      <c r="I144" s="3"/>
      <c r="J144" s="3"/>
      <c r="K144" s="3"/>
      <c r="L144" s="3"/>
      <c r="M144" s="3"/>
      <c r="N144" s="3"/>
      <c r="O144" s="3"/>
      <c r="P144" s="4"/>
      <c r="Q144" s="5"/>
      <c r="R144" s="5"/>
      <c r="S144" s="5"/>
      <c r="T144" s="6"/>
      <c r="U144" s="5"/>
      <c r="V144" s="6"/>
      <c r="W144" s="7"/>
      <c r="X144" s="8"/>
      <c r="Y144" s="6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6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C144" s="6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  <c r="JC144" s="5"/>
      <c r="JD144" s="5"/>
      <c r="JE144" s="5"/>
      <c r="JF144" s="5"/>
      <c r="JG144" s="5"/>
      <c r="JH144" s="5"/>
      <c r="JI144" s="5"/>
      <c r="JJ144" s="5"/>
      <c r="JK144" s="5"/>
      <c r="JM144" s="19"/>
      <c r="JO144" s="5"/>
      <c r="JP144" s="5"/>
      <c r="JQ144" s="5"/>
      <c r="JR144" s="5"/>
      <c r="JS144" s="6"/>
      <c r="JT144" s="23"/>
      <c r="JU144" s="13"/>
      <c r="JV144" s="6"/>
      <c r="JW144" s="6"/>
      <c r="JX144" s="6"/>
      <c r="JY144" s="6"/>
      <c r="JZ144" s="10"/>
      <c r="KA144" s="10"/>
      <c r="KB144" s="10"/>
      <c r="KC144" s="10"/>
      <c r="KD144" s="5"/>
      <c r="KE144" s="6"/>
    </row>
    <row r="145" spans="6:291" x14ac:dyDescent="0.3">
      <c r="F145" s="17"/>
      <c r="G145" s="9"/>
      <c r="H145" s="3"/>
      <c r="I145" s="3"/>
      <c r="J145" s="3"/>
      <c r="K145" s="3"/>
      <c r="L145" s="3"/>
      <c r="M145" s="3"/>
      <c r="N145" s="3"/>
      <c r="O145" s="3"/>
      <c r="P145" s="4"/>
      <c r="Q145" s="5"/>
      <c r="R145" s="5"/>
      <c r="S145" s="5"/>
      <c r="T145" s="6"/>
      <c r="U145" s="5"/>
      <c r="V145" s="6"/>
      <c r="W145" s="7"/>
      <c r="X145" s="8"/>
      <c r="Y145" s="6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6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C145" s="6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M145" s="19"/>
      <c r="JO145" s="5"/>
      <c r="JP145" s="5"/>
      <c r="JQ145" s="5"/>
      <c r="JR145" s="5"/>
      <c r="JS145" s="6"/>
      <c r="JT145" s="23"/>
      <c r="JU145" s="13"/>
      <c r="JV145" s="6"/>
      <c r="JW145" s="6"/>
      <c r="JX145" s="6"/>
      <c r="JY145" s="6"/>
      <c r="JZ145" s="10"/>
      <c r="KA145" s="10"/>
      <c r="KB145" s="10"/>
      <c r="KC145" s="10"/>
      <c r="KD145" s="5"/>
      <c r="KE145" s="6"/>
    </row>
    <row r="146" spans="6:291" x14ac:dyDescent="0.3">
      <c r="F146" s="17"/>
      <c r="G146" s="9"/>
      <c r="H146" s="3"/>
      <c r="I146" s="3"/>
      <c r="J146" s="3"/>
      <c r="K146" s="3"/>
      <c r="L146" s="3"/>
      <c r="M146" s="3"/>
      <c r="N146" s="3"/>
      <c r="O146" s="3"/>
      <c r="P146" s="4"/>
      <c r="Q146" s="5"/>
      <c r="R146" s="5"/>
      <c r="S146" s="5"/>
      <c r="T146" s="6"/>
      <c r="U146" s="5"/>
      <c r="V146" s="6"/>
      <c r="W146" s="7"/>
      <c r="X146" s="8"/>
      <c r="Y146" s="6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6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C146" s="6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M146" s="19"/>
      <c r="JO146" s="5"/>
      <c r="JP146" s="5"/>
      <c r="JQ146" s="5"/>
      <c r="JR146" s="5"/>
      <c r="JS146" s="6"/>
      <c r="JT146" s="23"/>
      <c r="JU146" s="13"/>
      <c r="JV146" s="6"/>
      <c r="JW146" s="6"/>
      <c r="JX146" s="6"/>
      <c r="JY146" s="6"/>
      <c r="JZ146" s="10"/>
      <c r="KA146" s="10"/>
      <c r="KB146" s="10"/>
      <c r="KC146" s="10"/>
      <c r="KD146" s="5"/>
      <c r="KE146" s="6"/>
    </row>
    <row r="147" spans="6:291" x14ac:dyDescent="0.3">
      <c r="F147" s="17"/>
      <c r="G147" s="9"/>
      <c r="H147" s="3"/>
      <c r="I147" s="3"/>
      <c r="J147" s="3"/>
      <c r="K147" s="3"/>
      <c r="L147" s="3"/>
      <c r="M147" s="3"/>
      <c r="N147" s="3"/>
      <c r="O147" s="3"/>
      <c r="P147" s="4"/>
      <c r="Q147" s="5"/>
      <c r="R147" s="5"/>
      <c r="S147" s="5"/>
      <c r="T147" s="6"/>
      <c r="U147" s="5"/>
      <c r="V147" s="6"/>
      <c r="W147" s="7"/>
      <c r="X147" s="8"/>
      <c r="Y147" s="6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6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C147" s="6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M147" s="19"/>
      <c r="JO147" s="5"/>
      <c r="JP147" s="5"/>
      <c r="JQ147" s="5"/>
      <c r="JR147" s="5"/>
      <c r="JS147" s="6"/>
      <c r="JT147" s="23"/>
      <c r="JU147" s="13"/>
      <c r="JV147" s="6"/>
      <c r="JW147" s="6"/>
      <c r="JX147" s="6"/>
      <c r="JY147" s="6"/>
      <c r="JZ147" s="10"/>
      <c r="KA147" s="10"/>
      <c r="KB147" s="10"/>
      <c r="KC147" s="10"/>
      <c r="KD147" s="5"/>
      <c r="KE147" s="6"/>
    </row>
    <row r="148" spans="6:291" x14ac:dyDescent="0.3">
      <c r="F148" s="17"/>
      <c r="G148" s="9"/>
      <c r="H148" s="3"/>
      <c r="I148" s="3"/>
      <c r="J148" s="3"/>
      <c r="K148" s="3"/>
      <c r="L148" s="3"/>
      <c r="M148" s="3"/>
      <c r="N148" s="3"/>
      <c r="O148" s="3"/>
      <c r="P148" s="4"/>
      <c r="Q148" s="5"/>
      <c r="R148" s="5"/>
      <c r="S148" s="5"/>
      <c r="T148" s="6"/>
      <c r="U148" s="5"/>
      <c r="V148" s="6"/>
      <c r="W148" s="7"/>
      <c r="X148" s="8"/>
      <c r="Y148" s="6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6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C148" s="6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  <c r="JC148" s="5"/>
      <c r="JD148" s="5"/>
      <c r="JE148" s="5"/>
      <c r="JF148" s="5"/>
      <c r="JG148" s="5"/>
      <c r="JH148" s="5"/>
      <c r="JI148" s="5"/>
      <c r="JJ148" s="5"/>
      <c r="JK148" s="5"/>
      <c r="JM148" s="19"/>
      <c r="JO148" s="5"/>
      <c r="JP148" s="5"/>
      <c r="JQ148" s="5"/>
      <c r="JR148" s="5"/>
      <c r="JS148" s="6"/>
      <c r="JT148" s="23"/>
      <c r="JU148" s="13"/>
      <c r="JV148" s="6"/>
      <c r="JW148" s="6"/>
      <c r="JX148" s="6"/>
      <c r="JY148" s="6"/>
      <c r="JZ148" s="10"/>
      <c r="KA148" s="10"/>
      <c r="KB148" s="10"/>
      <c r="KC148" s="10"/>
      <c r="KD148" s="5"/>
      <c r="KE148" s="6"/>
    </row>
    <row r="149" spans="6:291" x14ac:dyDescent="0.3">
      <c r="F149" s="17"/>
      <c r="G149" s="9"/>
      <c r="H149" s="3"/>
      <c r="I149" s="3"/>
      <c r="J149" s="3"/>
      <c r="K149" s="3"/>
      <c r="L149" s="3"/>
      <c r="M149" s="3"/>
      <c r="N149" s="3"/>
      <c r="O149" s="3"/>
      <c r="P149" s="4"/>
      <c r="Q149" s="5"/>
      <c r="R149" s="5"/>
      <c r="S149" s="5"/>
      <c r="T149" s="6"/>
      <c r="U149" s="5"/>
      <c r="V149" s="6"/>
      <c r="W149" s="7"/>
      <c r="X149" s="8"/>
      <c r="Y149" s="6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6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C149" s="6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M149" s="19"/>
      <c r="JO149" s="5"/>
      <c r="JP149" s="5"/>
      <c r="JQ149" s="5"/>
      <c r="JR149" s="5"/>
      <c r="JS149" s="6"/>
      <c r="JT149" s="23"/>
      <c r="JU149" s="13"/>
      <c r="JV149" s="6"/>
      <c r="JW149" s="6"/>
      <c r="JX149" s="6"/>
      <c r="JY149" s="6"/>
      <c r="JZ149" s="10"/>
      <c r="KA149" s="10"/>
      <c r="KB149" s="10"/>
      <c r="KC149" s="10"/>
      <c r="KD149" s="5"/>
      <c r="KE149" s="6"/>
    </row>
    <row r="150" spans="6:291" x14ac:dyDescent="0.3">
      <c r="F150" s="17"/>
      <c r="G150" s="9"/>
      <c r="H150" s="3"/>
      <c r="I150" s="3"/>
      <c r="J150" s="3"/>
      <c r="K150" s="3"/>
      <c r="L150" s="3"/>
      <c r="M150" s="3"/>
      <c r="N150" s="3"/>
      <c r="O150" s="3"/>
      <c r="P150" s="4"/>
      <c r="Q150" s="5"/>
      <c r="R150" s="5"/>
      <c r="S150" s="5"/>
      <c r="T150" s="6"/>
      <c r="U150" s="5"/>
      <c r="V150" s="6"/>
      <c r="W150" s="7"/>
      <c r="X150" s="8"/>
      <c r="Y150" s="6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6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C150" s="6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M150" s="19"/>
      <c r="JO150" s="5"/>
      <c r="JP150" s="5"/>
      <c r="JQ150" s="5"/>
      <c r="JR150" s="5"/>
      <c r="JS150" s="6"/>
      <c r="JT150" s="23"/>
      <c r="JU150" s="13"/>
      <c r="JV150" s="6"/>
      <c r="JW150" s="6"/>
      <c r="JX150" s="6"/>
      <c r="JY150" s="6"/>
      <c r="JZ150" s="10"/>
      <c r="KA150" s="10"/>
      <c r="KB150" s="10"/>
      <c r="KC150" s="10"/>
      <c r="KD150" s="5"/>
      <c r="KE150" s="6"/>
    </row>
    <row r="151" spans="6:291" x14ac:dyDescent="0.3">
      <c r="F151" s="17"/>
      <c r="G151" s="9"/>
      <c r="H151" s="3"/>
      <c r="I151" s="3"/>
      <c r="J151" s="3"/>
      <c r="K151" s="3"/>
      <c r="L151" s="3"/>
      <c r="M151" s="3"/>
      <c r="N151" s="3"/>
      <c r="O151" s="3"/>
      <c r="P151" s="4"/>
      <c r="Q151" s="5"/>
      <c r="R151" s="5"/>
      <c r="S151" s="5"/>
      <c r="T151" s="6"/>
      <c r="U151" s="5"/>
      <c r="V151" s="6"/>
      <c r="W151" s="7"/>
      <c r="X151" s="8"/>
      <c r="Y151" s="6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6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C151" s="6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M151" s="19"/>
      <c r="JO151" s="5"/>
      <c r="JP151" s="5"/>
      <c r="JQ151" s="5"/>
      <c r="JR151" s="5"/>
      <c r="JS151" s="6"/>
      <c r="JT151" s="23"/>
      <c r="JU151" s="13"/>
      <c r="JV151" s="6"/>
      <c r="JW151" s="6"/>
      <c r="JX151" s="6"/>
      <c r="JY151" s="6"/>
      <c r="JZ151" s="10"/>
      <c r="KA151" s="10"/>
      <c r="KB151" s="10"/>
      <c r="KC151" s="10"/>
      <c r="KD151" s="5"/>
      <c r="KE151" s="6"/>
    </row>
    <row r="152" spans="6:291" x14ac:dyDescent="0.3">
      <c r="F152" s="17"/>
      <c r="G152" s="9"/>
      <c r="H152" s="3"/>
      <c r="I152" s="3"/>
      <c r="J152" s="3"/>
      <c r="K152" s="3"/>
      <c r="L152" s="3"/>
      <c r="M152" s="3"/>
      <c r="N152" s="3"/>
      <c r="O152" s="3"/>
      <c r="P152" s="4"/>
      <c r="Q152" s="5"/>
      <c r="R152" s="5"/>
      <c r="S152" s="5"/>
      <c r="T152" s="6"/>
      <c r="U152" s="5"/>
      <c r="V152" s="6"/>
      <c r="W152" s="7"/>
      <c r="X152" s="8"/>
      <c r="Y152" s="6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6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C152" s="6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  <c r="JC152" s="5"/>
      <c r="JD152" s="5"/>
      <c r="JE152" s="5"/>
      <c r="JF152" s="5"/>
      <c r="JG152" s="5"/>
      <c r="JH152" s="5"/>
      <c r="JI152" s="5"/>
      <c r="JJ152" s="5"/>
      <c r="JK152" s="5"/>
      <c r="JM152" s="19"/>
      <c r="JO152" s="5"/>
      <c r="JP152" s="5"/>
      <c r="JQ152" s="5"/>
      <c r="JR152" s="5"/>
      <c r="JS152" s="6"/>
      <c r="JT152" s="23"/>
      <c r="JU152" s="13"/>
      <c r="JV152" s="6"/>
      <c r="JW152" s="6"/>
      <c r="JX152" s="6"/>
      <c r="JY152" s="6"/>
      <c r="JZ152" s="10"/>
      <c r="KA152" s="10"/>
      <c r="KB152" s="10"/>
      <c r="KC152" s="10"/>
      <c r="KD152" s="5"/>
      <c r="KE152" s="6"/>
    </row>
    <row r="153" spans="6:291" x14ac:dyDescent="0.3">
      <c r="F153" s="17"/>
      <c r="G153" s="9"/>
      <c r="H153" s="3"/>
      <c r="I153" s="3"/>
      <c r="J153" s="3"/>
      <c r="K153" s="3"/>
      <c r="L153" s="3"/>
      <c r="M153" s="3"/>
      <c r="N153" s="3"/>
      <c r="O153" s="3"/>
      <c r="P153" s="4"/>
      <c r="Q153" s="5"/>
      <c r="R153" s="5"/>
      <c r="S153" s="5"/>
      <c r="T153" s="6"/>
      <c r="U153" s="5"/>
      <c r="V153" s="6"/>
      <c r="W153" s="7"/>
      <c r="X153" s="8"/>
      <c r="Y153" s="6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6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C153" s="6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M153" s="19"/>
      <c r="JO153" s="5"/>
      <c r="JP153" s="5"/>
      <c r="JQ153" s="5"/>
      <c r="JR153" s="5"/>
      <c r="JS153" s="6"/>
      <c r="JT153" s="23"/>
      <c r="JU153" s="13"/>
      <c r="JV153" s="6"/>
      <c r="JW153" s="6"/>
      <c r="JX153" s="6"/>
      <c r="JY153" s="6"/>
      <c r="JZ153" s="10"/>
      <c r="KA153" s="10"/>
      <c r="KB153" s="10"/>
      <c r="KC153" s="10"/>
      <c r="KD153" s="5"/>
      <c r="KE153" s="6"/>
    </row>
    <row r="154" spans="6:291" x14ac:dyDescent="0.3">
      <c r="F154" s="17"/>
      <c r="G154" s="9"/>
      <c r="H154" s="3"/>
      <c r="I154" s="3"/>
      <c r="J154" s="3"/>
      <c r="K154" s="3"/>
      <c r="L154" s="3"/>
      <c r="M154" s="3"/>
      <c r="N154" s="3"/>
      <c r="O154" s="3"/>
      <c r="P154" s="4"/>
      <c r="Q154" s="5"/>
      <c r="R154" s="5"/>
      <c r="S154" s="5"/>
      <c r="T154" s="6"/>
      <c r="U154" s="5"/>
      <c r="V154" s="6"/>
      <c r="W154" s="7"/>
      <c r="X154" s="8"/>
      <c r="Y154" s="6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6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C154" s="6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M154" s="19"/>
      <c r="JO154" s="5"/>
      <c r="JP154" s="5"/>
      <c r="JQ154" s="5"/>
      <c r="JR154" s="5"/>
      <c r="JS154" s="6"/>
      <c r="JT154" s="23"/>
      <c r="JU154" s="13"/>
      <c r="JV154" s="6"/>
      <c r="JW154" s="6"/>
      <c r="JX154" s="6"/>
      <c r="JY154" s="6"/>
      <c r="JZ154" s="10"/>
      <c r="KA154" s="10"/>
      <c r="KB154" s="10"/>
      <c r="KC154" s="10"/>
      <c r="KD154" s="5"/>
      <c r="KE154" s="6"/>
    </row>
    <row r="155" spans="6:291" x14ac:dyDescent="0.3">
      <c r="F155" s="17"/>
      <c r="G155" s="9"/>
      <c r="H155" s="3"/>
      <c r="I155" s="3"/>
      <c r="J155" s="3"/>
      <c r="K155" s="3"/>
      <c r="L155" s="3"/>
      <c r="M155" s="3"/>
      <c r="N155" s="3"/>
      <c r="O155" s="3"/>
      <c r="P155" s="4"/>
      <c r="Q155" s="5"/>
      <c r="R155" s="5"/>
      <c r="S155" s="5"/>
      <c r="T155" s="6"/>
      <c r="U155" s="5"/>
      <c r="V155" s="6"/>
      <c r="W155" s="7"/>
      <c r="X155" s="8"/>
      <c r="Y155" s="6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6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C155" s="6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M155" s="19"/>
      <c r="JO155" s="5"/>
      <c r="JP155" s="5"/>
      <c r="JQ155" s="5"/>
      <c r="JR155" s="5"/>
      <c r="JS155" s="6"/>
      <c r="JT155" s="23"/>
      <c r="JU155" s="13"/>
      <c r="JV155" s="6"/>
      <c r="JW155" s="6"/>
      <c r="JX155" s="6"/>
      <c r="JY155" s="6"/>
      <c r="JZ155" s="10"/>
      <c r="KA155" s="10"/>
      <c r="KB155" s="10"/>
      <c r="KC155" s="10"/>
      <c r="KD155" s="5"/>
      <c r="KE155" s="6"/>
    </row>
    <row r="156" spans="6:291" x14ac:dyDescent="0.3">
      <c r="F156" s="17"/>
      <c r="G156" s="9"/>
      <c r="H156" s="3"/>
      <c r="I156" s="3"/>
      <c r="J156" s="3"/>
      <c r="K156" s="3"/>
      <c r="L156" s="3"/>
      <c r="M156" s="3"/>
      <c r="N156" s="3"/>
      <c r="O156" s="3"/>
      <c r="P156" s="4"/>
      <c r="Q156" s="5"/>
      <c r="R156" s="5"/>
      <c r="S156" s="5"/>
      <c r="T156" s="6"/>
      <c r="U156" s="5"/>
      <c r="V156" s="6"/>
      <c r="W156" s="7"/>
      <c r="X156" s="8"/>
      <c r="Y156" s="6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6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C156" s="6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  <c r="JC156" s="5"/>
      <c r="JD156" s="5"/>
      <c r="JE156" s="5"/>
      <c r="JF156" s="5"/>
      <c r="JG156" s="5"/>
      <c r="JH156" s="5"/>
      <c r="JI156" s="5"/>
      <c r="JJ156" s="5"/>
      <c r="JK156" s="5"/>
      <c r="JM156" s="19"/>
      <c r="JO156" s="5"/>
      <c r="JP156" s="5"/>
      <c r="JQ156" s="5"/>
      <c r="JR156" s="5"/>
      <c r="JS156" s="6"/>
      <c r="JT156" s="23"/>
      <c r="JU156" s="13"/>
      <c r="JV156" s="6"/>
      <c r="JW156" s="6"/>
      <c r="JX156" s="6"/>
      <c r="JY156" s="6"/>
      <c r="JZ156" s="10"/>
      <c r="KA156" s="10"/>
      <c r="KB156" s="10"/>
      <c r="KC156" s="10"/>
      <c r="KD156" s="5"/>
      <c r="KE156" s="6"/>
    </row>
    <row r="157" spans="6:291" x14ac:dyDescent="0.3">
      <c r="F157" s="17"/>
      <c r="G157" s="9"/>
      <c r="H157" s="3"/>
      <c r="I157" s="3"/>
      <c r="J157" s="3"/>
      <c r="K157" s="3"/>
      <c r="L157" s="3"/>
      <c r="M157" s="3"/>
      <c r="N157" s="3"/>
      <c r="O157" s="3"/>
      <c r="P157" s="4"/>
      <c r="Q157" s="5"/>
      <c r="R157" s="5"/>
      <c r="S157" s="5"/>
      <c r="T157" s="6"/>
      <c r="U157" s="5"/>
      <c r="V157" s="6"/>
      <c r="W157" s="7"/>
      <c r="X157" s="8"/>
      <c r="Y157" s="6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6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C157" s="6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M157" s="19"/>
      <c r="JO157" s="5"/>
      <c r="JP157" s="5"/>
      <c r="JQ157" s="5"/>
      <c r="JR157" s="5"/>
      <c r="JS157" s="6"/>
      <c r="JT157" s="23"/>
      <c r="JU157" s="13"/>
      <c r="JV157" s="6"/>
      <c r="JW157" s="6"/>
      <c r="JX157" s="6"/>
      <c r="JY157" s="6"/>
      <c r="JZ157" s="10"/>
      <c r="KA157" s="10"/>
      <c r="KB157" s="10"/>
      <c r="KC157" s="10"/>
      <c r="KD157" s="5"/>
      <c r="KE157" s="6"/>
    </row>
    <row r="158" spans="6:291" x14ac:dyDescent="0.3">
      <c r="F158" s="17"/>
      <c r="G158" s="9"/>
      <c r="H158" s="3"/>
      <c r="I158" s="3"/>
      <c r="J158" s="3"/>
      <c r="K158" s="3"/>
      <c r="L158" s="3"/>
      <c r="M158" s="3"/>
      <c r="N158" s="3"/>
      <c r="O158" s="3"/>
      <c r="P158" s="4"/>
      <c r="Q158" s="5"/>
      <c r="R158" s="5"/>
      <c r="S158" s="5"/>
      <c r="T158" s="6"/>
      <c r="U158" s="5"/>
      <c r="V158" s="6"/>
      <c r="W158" s="7"/>
      <c r="X158" s="8"/>
      <c r="Y158" s="6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6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C158" s="6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M158" s="19"/>
      <c r="JO158" s="5"/>
      <c r="JP158" s="5"/>
      <c r="JQ158" s="5"/>
      <c r="JR158" s="5"/>
      <c r="JS158" s="6"/>
      <c r="JT158" s="23"/>
      <c r="JU158" s="13"/>
      <c r="JV158" s="6"/>
      <c r="JW158" s="6"/>
      <c r="JX158" s="6"/>
      <c r="JY158" s="6"/>
      <c r="JZ158" s="10"/>
      <c r="KA158" s="10"/>
      <c r="KB158" s="10"/>
      <c r="KC158" s="10"/>
      <c r="KD158" s="5"/>
      <c r="KE158" s="6"/>
    </row>
    <row r="159" spans="6:291" x14ac:dyDescent="0.3">
      <c r="F159" s="17"/>
      <c r="G159" s="9"/>
      <c r="H159" s="3"/>
      <c r="I159" s="3"/>
      <c r="J159" s="3"/>
      <c r="K159" s="3"/>
      <c r="L159" s="3"/>
      <c r="M159" s="3"/>
      <c r="N159" s="3"/>
      <c r="O159" s="3"/>
      <c r="P159" s="4"/>
      <c r="Q159" s="5"/>
      <c r="R159" s="5"/>
      <c r="S159" s="5"/>
      <c r="T159" s="6"/>
      <c r="U159" s="5"/>
      <c r="V159" s="6"/>
      <c r="W159" s="7"/>
      <c r="X159" s="8"/>
      <c r="Y159" s="6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6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C159" s="6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M159" s="19"/>
      <c r="JO159" s="5"/>
      <c r="JP159" s="5"/>
      <c r="JQ159" s="5"/>
      <c r="JR159" s="5"/>
      <c r="JS159" s="6"/>
      <c r="JT159" s="23"/>
      <c r="JU159" s="13"/>
      <c r="JV159" s="6"/>
      <c r="JW159" s="6"/>
      <c r="JX159" s="6"/>
      <c r="JY159" s="6"/>
      <c r="JZ159" s="10"/>
      <c r="KA159" s="10"/>
      <c r="KB159" s="10"/>
      <c r="KC159" s="10"/>
      <c r="KD159" s="5"/>
      <c r="KE159" s="6"/>
    </row>
    <row r="160" spans="6:291" x14ac:dyDescent="0.3">
      <c r="F160" s="17"/>
      <c r="G160" s="9"/>
      <c r="H160" s="3"/>
      <c r="I160" s="3"/>
      <c r="J160" s="3"/>
      <c r="K160" s="3"/>
      <c r="L160" s="3"/>
      <c r="M160" s="3"/>
      <c r="N160" s="3"/>
      <c r="O160" s="3"/>
      <c r="P160" s="4"/>
      <c r="Q160" s="5"/>
      <c r="R160" s="5"/>
      <c r="S160" s="5"/>
      <c r="T160" s="6"/>
      <c r="U160" s="5"/>
      <c r="V160" s="6"/>
      <c r="W160" s="7"/>
      <c r="X160" s="8"/>
      <c r="Y160" s="6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6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C160" s="6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  <c r="JC160" s="5"/>
      <c r="JD160" s="5"/>
      <c r="JE160" s="5"/>
      <c r="JF160" s="5"/>
      <c r="JG160" s="5"/>
      <c r="JH160" s="5"/>
      <c r="JI160" s="5"/>
      <c r="JJ160" s="5"/>
      <c r="JK160" s="5"/>
      <c r="JM160" s="19"/>
      <c r="JO160" s="5"/>
      <c r="JP160" s="5"/>
      <c r="JQ160" s="5"/>
      <c r="JR160" s="5"/>
      <c r="JS160" s="6"/>
      <c r="JT160" s="23"/>
      <c r="JU160" s="13"/>
      <c r="JV160" s="6"/>
      <c r="JW160" s="6"/>
      <c r="JX160" s="6"/>
      <c r="JY160" s="6"/>
      <c r="JZ160" s="10"/>
      <c r="KA160" s="10"/>
      <c r="KB160" s="10"/>
      <c r="KC160" s="10"/>
      <c r="KD160" s="5"/>
      <c r="KE160" s="6"/>
    </row>
    <row r="161" spans="6:291" x14ac:dyDescent="0.3">
      <c r="F161" s="17"/>
      <c r="G161" s="9"/>
      <c r="H161" s="3"/>
      <c r="I161" s="3"/>
      <c r="J161" s="3"/>
      <c r="K161" s="3"/>
      <c r="L161" s="3"/>
      <c r="M161" s="3"/>
      <c r="N161" s="3"/>
      <c r="O161" s="3"/>
      <c r="P161" s="4"/>
      <c r="Q161" s="5"/>
      <c r="R161" s="5"/>
      <c r="S161" s="5"/>
      <c r="T161" s="6"/>
      <c r="U161" s="5"/>
      <c r="V161" s="6"/>
      <c r="W161" s="7"/>
      <c r="X161" s="8"/>
      <c r="Y161" s="6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6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C161" s="6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M161" s="19"/>
      <c r="JO161" s="5"/>
      <c r="JP161" s="5"/>
      <c r="JQ161" s="5"/>
      <c r="JR161" s="5"/>
      <c r="JS161" s="6"/>
      <c r="JT161" s="23"/>
      <c r="JU161" s="13"/>
      <c r="JV161" s="6"/>
      <c r="JW161" s="6"/>
      <c r="JX161" s="6"/>
      <c r="JY161" s="6"/>
      <c r="JZ161" s="10"/>
      <c r="KA161" s="10"/>
      <c r="KB161" s="10"/>
      <c r="KC161" s="10"/>
      <c r="KD161" s="5"/>
      <c r="KE161" s="6"/>
    </row>
    <row r="162" spans="6:291" x14ac:dyDescent="0.3">
      <c r="F162" s="17"/>
      <c r="G162" s="9"/>
      <c r="H162" s="3"/>
      <c r="I162" s="3"/>
      <c r="J162" s="3"/>
      <c r="K162" s="3"/>
      <c r="L162" s="3"/>
      <c r="M162" s="3"/>
      <c r="N162" s="3"/>
      <c r="O162" s="3"/>
      <c r="P162" s="4"/>
      <c r="Q162" s="5"/>
      <c r="R162" s="5"/>
      <c r="S162" s="5"/>
      <c r="T162" s="6"/>
      <c r="U162" s="5"/>
      <c r="V162" s="6"/>
      <c r="W162" s="7"/>
      <c r="X162" s="8"/>
      <c r="Y162" s="6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6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C162" s="6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M162" s="19"/>
      <c r="JO162" s="5"/>
      <c r="JP162" s="5"/>
      <c r="JQ162" s="5"/>
      <c r="JR162" s="5"/>
      <c r="JS162" s="6"/>
      <c r="JT162" s="23"/>
      <c r="JU162" s="13"/>
      <c r="JV162" s="6"/>
      <c r="JW162" s="6"/>
      <c r="JX162" s="6"/>
      <c r="JY162" s="6"/>
      <c r="JZ162" s="10"/>
      <c r="KA162" s="10"/>
      <c r="KB162" s="10"/>
      <c r="KC162" s="10"/>
      <c r="KD162" s="5"/>
      <c r="KE162" s="6"/>
    </row>
    <row r="163" spans="6:291" x14ac:dyDescent="0.3">
      <c r="F163" s="17"/>
      <c r="G163" s="9"/>
      <c r="H163" s="3"/>
      <c r="I163" s="3"/>
      <c r="J163" s="3"/>
      <c r="K163" s="3"/>
      <c r="L163" s="3"/>
      <c r="M163" s="3"/>
      <c r="N163" s="3"/>
      <c r="O163" s="3"/>
      <c r="P163" s="4"/>
      <c r="Q163" s="5"/>
      <c r="R163" s="5"/>
      <c r="S163" s="5"/>
      <c r="T163" s="6"/>
      <c r="U163" s="5"/>
      <c r="V163" s="6"/>
      <c r="W163" s="7"/>
      <c r="X163" s="8"/>
      <c r="Y163" s="6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6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C163" s="6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M163" s="19"/>
      <c r="JO163" s="5"/>
      <c r="JP163" s="5"/>
      <c r="JQ163" s="5"/>
      <c r="JR163" s="5"/>
      <c r="JS163" s="6"/>
      <c r="JT163" s="23"/>
      <c r="JU163" s="13"/>
      <c r="JV163" s="6"/>
      <c r="JW163" s="6"/>
      <c r="JX163" s="6"/>
      <c r="JY163" s="6"/>
      <c r="JZ163" s="10"/>
      <c r="KA163" s="10"/>
      <c r="KB163" s="10"/>
      <c r="KC163" s="10"/>
      <c r="KD163" s="5"/>
      <c r="KE163" s="6"/>
    </row>
    <row r="164" spans="6:291" x14ac:dyDescent="0.3">
      <c r="F164" s="17"/>
      <c r="G164" s="9"/>
      <c r="H164" s="3"/>
      <c r="I164" s="3"/>
      <c r="J164" s="3"/>
      <c r="K164" s="3"/>
      <c r="L164" s="3"/>
      <c r="M164" s="3"/>
      <c r="N164" s="3"/>
      <c r="O164" s="3"/>
      <c r="P164" s="4"/>
      <c r="Q164" s="5"/>
      <c r="R164" s="5"/>
      <c r="S164" s="5"/>
      <c r="T164" s="6"/>
      <c r="U164" s="5"/>
      <c r="V164" s="6"/>
      <c r="W164" s="7"/>
      <c r="X164" s="8"/>
      <c r="Y164" s="6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6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C164" s="6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  <c r="JC164" s="5"/>
      <c r="JD164" s="5"/>
      <c r="JE164" s="5"/>
      <c r="JF164" s="5"/>
      <c r="JG164" s="5"/>
      <c r="JH164" s="5"/>
      <c r="JI164" s="5"/>
      <c r="JJ164" s="5"/>
      <c r="JK164" s="5"/>
      <c r="JM164" s="19"/>
      <c r="JO164" s="5"/>
      <c r="JP164" s="5"/>
      <c r="JQ164" s="5"/>
      <c r="JR164" s="5"/>
      <c r="JS164" s="6"/>
      <c r="JT164" s="23"/>
      <c r="JU164" s="13"/>
      <c r="JV164" s="6"/>
      <c r="JW164" s="6"/>
      <c r="JX164" s="6"/>
      <c r="JY164" s="6"/>
      <c r="JZ164" s="10"/>
      <c r="KA164" s="10"/>
      <c r="KB164" s="10"/>
      <c r="KC164" s="10"/>
      <c r="KD164" s="5"/>
      <c r="KE164" s="6"/>
    </row>
    <row r="165" spans="6:291" x14ac:dyDescent="0.3">
      <c r="F165" s="17"/>
      <c r="G165" s="9"/>
      <c r="H165" s="3"/>
      <c r="I165" s="3"/>
      <c r="J165" s="3"/>
      <c r="K165" s="3"/>
      <c r="L165" s="3"/>
      <c r="M165" s="3"/>
      <c r="N165" s="3"/>
      <c r="O165" s="3"/>
      <c r="P165" s="4"/>
      <c r="Q165" s="5"/>
      <c r="R165" s="5"/>
      <c r="S165" s="5"/>
      <c r="T165" s="6"/>
      <c r="U165" s="5"/>
      <c r="V165" s="6"/>
      <c r="W165" s="7"/>
      <c r="X165" s="8"/>
      <c r="Y165" s="6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6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C165" s="6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M165" s="19"/>
      <c r="JO165" s="5"/>
      <c r="JP165" s="5"/>
      <c r="JQ165" s="5"/>
      <c r="JR165" s="5"/>
      <c r="JS165" s="6"/>
      <c r="JT165" s="23"/>
      <c r="JU165" s="13"/>
      <c r="JV165" s="6"/>
      <c r="JW165" s="6"/>
      <c r="JX165" s="6"/>
      <c r="JY165" s="6"/>
      <c r="JZ165" s="10"/>
      <c r="KA165" s="10"/>
      <c r="KB165" s="10"/>
      <c r="KC165" s="10"/>
      <c r="KD165" s="5"/>
      <c r="KE165" s="6"/>
    </row>
    <row r="166" spans="6:291" x14ac:dyDescent="0.3">
      <c r="F166" s="17"/>
      <c r="G166" s="9"/>
      <c r="H166" s="3"/>
      <c r="I166" s="3"/>
      <c r="J166" s="3"/>
      <c r="K166" s="3"/>
      <c r="L166" s="3"/>
      <c r="M166" s="3"/>
      <c r="N166" s="3"/>
      <c r="O166" s="3"/>
      <c r="P166" s="4"/>
      <c r="Q166" s="5"/>
      <c r="R166" s="5"/>
      <c r="S166" s="5"/>
      <c r="T166" s="6"/>
      <c r="U166" s="5"/>
      <c r="V166" s="6"/>
      <c r="W166" s="7"/>
      <c r="X166" s="8"/>
      <c r="Y166" s="6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6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C166" s="6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M166" s="19"/>
      <c r="JO166" s="5"/>
      <c r="JP166" s="5"/>
      <c r="JQ166" s="5"/>
      <c r="JR166" s="5"/>
      <c r="JS166" s="6"/>
      <c r="JT166" s="23"/>
      <c r="JU166" s="13"/>
      <c r="JV166" s="6"/>
      <c r="JW166" s="6"/>
      <c r="JX166" s="6"/>
      <c r="JY166" s="6"/>
      <c r="JZ166" s="10"/>
      <c r="KA166" s="10"/>
      <c r="KB166" s="10"/>
      <c r="KC166" s="10"/>
      <c r="KD166" s="5"/>
      <c r="KE166" s="6"/>
    </row>
    <row r="167" spans="6:291" x14ac:dyDescent="0.3">
      <c r="F167" s="17"/>
      <c r="G167" s="9"/>
      <c r="H167" s="3"/>
      <c r="I167" s="3"/>
      <c r="J167" s="3"/>
      <c r="K167" s="3"/>
      <c r="L167" s="3"/>
      <c r="M167" s="3"/>
      <c r="N167" s="3"/>
      <c r="O167" s="3"/>
      <c r="P167" s="4"/>
      <c r="Q167" s="5"/>
      <c r="R167" s="5"/>
      <c r="S167" s="5"/>
      <c r="T167" s="6"/>
      <c r="U167" s="5"/>
      <c r="V167" s="6"/>
      <c r="W167" s="7"/>
      <c r="X167" s="8"/>
      <c r="Y167" s="6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6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C167" s="6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M167" s="19"/>
      <c r="JO167" s="5"/>
      <c r="JP167" s="5"/>
      <c r="JQ167" s="5"/>
      <c r="JR167" s="5"/>
      <c r="JS167" s="6"/>
      <c r="JT167" s="23"/>
      <c r="JU167" s="13"/>
      <c r="JV167" s="6"/>
      <c r="JW167" s="6"/>
      <c r="JX167" s="6"/>
      <c r="JY167" s="6"/>
      <c r="JZ167" s="10"/>
      <c r="KA167" s="10"/>
      <c r="KB167" s="10"/>
      <c r="KC167" s="10"/>
      <c r="KD167" s="5"/>
      <c r="KE167" s="6"/>
    </row>
    <row r="168" spans="6:291" x14ac:dyDescent="0.3">
      <c r="F168" s="17"/>
      <c r="G168" s="9"/>
      <c r="H168" s="3"/>
      <c r="I168" s="3"/>
      <c r="J168" s="3"/>
      <c r="K168" s="3"/>
      <c r="L168" s="3"/>
      <c r="M168" s="3"/>
      <c r="N168" s="3"/>
      <c r="O168" s="3"/>
      <c r="P168" s="4"/>
      <c r="Q168" s="5"/>
      <c r="R168" s="5"/>
      <c r="S168" s="5"/>
      <c r="T168" s="6"/>
      <c r="U168" s="5"/>
      <c r="V168" s="6"/>
      <c r="W168" s="7"/>
      <c r="X168" s="8"/>
      <c r="Y168" s="6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6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C168" s="6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  <c r="JC168" s="5"/>
      <c r="JD168" s="5"/>
      <c r="JE168" s="5"/>
      <c r="JF168" s="5"/>
      <c r="JG168" s="5"/>
      <c r="JH168" s="5"/>
      <c r="JI168" s="5"/>
      <c r="JJ168" s="5"/>
      <c r="JK168" s="5"/>
      <c r="JM168" s="19"/>
      <c r="JO168" s="5"/>
      <c r="JP168" s="5"/>
      <c r="JQ168" s="5"/>
      <c r="JR168" s="5"/>
      <c r="JS168" s="6"/>
      <c r="JT168" s="23"/>
      <c r="JU168" s="13"/>
      <c r="JV168" s="6"/>
      <c r="JW168" s="6"/>
      <c r="JX168" s="6"/>
      <c r="JY168" s="6"/>
      <c r="JZ168" s="10"/>
      <c r="KA168" s="10"/>
      <c r="KB168" s="10"/>
      <c r="KC168" s="10"/>
      <c r="KD168" s="5"/>
      <c r="KE168" s="6"/>
    </row>
    <row r="169" spans="6:291" x14ac:dyDescent="0.3">
      <c r="F169" s="17"/>
      <c r="G169" s="9"/>
      <c r="H169" s="3"/>
      <c r="I169" s="3"/>
      <c r="J169" s="3"/>
      <c r="K169" s="3"/>
      <c r="L169" s="3"/>
      <c r="M169" s="3"/>
      <c r="N169" s="3"/>
      <c r="O169" s="3"/>
      <c r="P169" s="4"/>
      <c r="Q169" s="5"/>
      <c r="R169" s="5"/>
      <c r="S169" s="5"/>
      <c r="T169" s="6"/>
      <c r="U169" s="5"/>
      <c r="V169" s="6"/>
      <c r="W169" s="7"/>
      <c r="X169" s="8"/>
      <c r="Y169" s="6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6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C169" s="6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M169" s="19"/>
      <c r="JO169" s="5"/>
      <c r="JP169" s="5"/>
      <c r="JQ169" s="5"/>
      <c r="JR169" s="5"/>
      <c r="JS169" s="6"/>
      <c r="JT169" s="23"/>
      <c r="JU169" s="13"/>
      <c r="JV169" s="6"/>
      <c r="JW169" s="6"/>
      <c r="JX169" s="6"/>
      <c r="JY169" s="6"/>
      <c r="JZ169" s="10"/>
      <c r="KA169" s="10"/>
      <c r="KB169" s="10"/>
      <c r="KC169" s="10"/>
      <c r="KD169" s="5"/>
      <c r="KE169" s="6"/>
    </row>
    <row r="170" spans="6:291" x14ac:dyDescent="0.3">
      <c r="F170" s="17"/>
      <c r="G170" s="9"/>
      <c r="H170" s="3"/>
      <c r="I170" s="3"/>
      <c r="J170" s="3"/>
      <c r="K170" s="3"/>
      <c r="L170" s="3"/>
      <c r="M170" s="3"/>
      <c r="N170" s="3"/>
      <c r="O170" s="3"/>
      <c r="P170" s="4"/>
      <c r="Q170" s="5"/>
      <c r="R170" s="5"/>
      <c r="S170" s="5"/>
      <c r="T170" s="6"/>
      <c r="U170" s="5"/>
      <c r="V170" s="6"/>
      <c r="W170" s="7"/>
      <c r="X170" s="8"/>
      <c r="Y170" s="6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6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C170" s="6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M170" s="19"/>
      <c r="JO170" s="5"/>
      <c r="JP170" s="5"/>
      <c r="JQ170" s="5"/>
      <c r="JR170" s="5"/>
      <c r="JS170" s="6"/>
      <c r="JT170" s="23"/>
      <c r="JU170" s="13"/>
      <c r="JV170" s="6"/>
      <c r="JW170" s="6"/>
      <c r="JX170" s="6"/>
      <c r="JY170" s="6"/>
      <c r="JZ170" s="10"/>
      <c r="KA170" s="10"/>
      <c r="KB170" s="10"/>
      <c r="KC170" s="10"/>
      <c r="KD170" s="5"/>
      <c r="KE170" s="6"/>
    </row>
    <row r="171" spans="6:291" x14ac:dyDescent="0.3">
      <c r="F171" s="17"/>
      <c r="G171" s="9"/>
      <c r="H171" s="3"/>
      <c r="I171" s="3"/>
      <c r="J171" s="3"/>
      <c r="K171" s="3"/>
      <c r="L171" s="3"/>
      <c r="M171" s="3"/>
      <c r="N171" s="3"/>
      <c r="O171" s="3"/>
      <c r="P171" s="4"/>
      <c r="Q171" s="5"/>
      <c r="R171" s="5"/>
      <c r="S171" s="5"/>
      <c r="T171" s="6"/>
      <c r="U171" s="5"/>
      <c r="V171" s="6"/>
      <c r="W171" s="7"/>
      <c r="X171" s="8"/>
      <c r="Y171" s="6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6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C171" s="6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M171" s="19"/>
      <c r="JO171" s="5"/>
      <c r="JP171" s="5"/>
      <c r="JQ171" s="5"/>
      <c r="JR171" s="5"/>
      <c r="JS171" s="6"/>
      <c r="JT171" s="23"/>
      <c r="JU171" s="13"/>
      <c r="JV171" s="6"/>
      <c r="JW171" s="6"/>
      <c r="JX171" s="6"/>
      <c r="JY171" s="6"/>
      <c r="JZ171" s="10"/>
      <c r="KA171" s="10"/>
      <c r="KB171" s="10"/>
      <c r="KC171" s="10"/>
      <c r="KD171" s="5"/>
      <c r="KE171" s="6"/>
    </row>
    <row r="172" spans="6:291" x14ac:dyDescent="0.3">
      <c r="F172" s="17"/>
      <c r="G172" s="9"/>
      <c r="H172" s="3"/>
      <c r="I172" s="3"/>
      <c r="J172" s="3"/>
      <c r="K172" s="3"/>
      <c r="L172" s="3"/>
      <c r="M172" s="3"/>
      <c r="N172" s="3"/>
      <c r="O172" s="3"/>
      <c r="P172" s="4"/>
      <c r="Q172" s="5"/>
      <c r="R172" s="5"/>
      <c r="S172" s="5"/>
      <c r="T172" s="6"/>
      <c r="U172" s="5"/>
      <c r="V172" s="6"/>
      <c r="W172" s="7"/>
      <c r="X172" s="8"/>
      <c r="Y172" s="6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6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C172" s="6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  <c r="JC172" s="5"/>
      <c r="JD172" s="5"/>
      <c r="JE172" s="5"/>
      <c r="JF172" s="5"/>
      <c r="JG172" s="5"/>
      <c r="JH172" s="5"/>
      <c r="JI172" s="5"/>
      <c r="JJ172" s="5"/>
      <c r="JK172" s="5"/>
      <c r="JM172" s="19"/>
      <c r="JO172" s="5"/>
      <c r="JP172" s="5"/>
      <c r="JQ172" s="5"/>
      <c r="JR172" s="5"/>
      <c r="JS172" s="6"/>
      <c r="JT172" s="23"/>
      <c r="JU172" s="13"/>
      <c r="JV172" s="6"/>
      <c r="JW172" s="6"/>
      <c r="JX172" s="6"/>
      <c r="JY172" s="6"/>
      <c r="JZ172" s="10"/>
      <c r="KA172" s="10"/>
      <c r="KB172" s="10"/>
      <c r="KC172" s="10"/>
      <c r="KD172" s="5"/>
      <c r="KE172" s="6"/>
    </row>
    <row r="173" spans="6:291" x14ac:dyDescent="0.3">
      <c r="F173" s="17"/>
      <c r="G173" s="9"/>
      <c r="H173" s="3"/>
      <c r="I173" s="3"/>
      <c r="J173" s="3"/>
      <c r="K173" s="3"/>
      <c r="L173" s="3"/>
      <c r="M173" s="3"/>
      <c r="N173" s="3"/>
      <c r="O173" s="3"/>
      <c r="P173" s="4"/>
      <c r="Q173" s="5"/>
      <c r="R173" s="5"/>
      <c r="S173" s="5"/>
      <c r="T173" s="6"/>
      <c r="U173" s="5"/>
      <c r="V173" s="6"/>
      <c r="W173" s="7"/>
      <c r="X173" s="8"/>
      <c r="Y173" s="6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6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C173" s="6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M173" s="19"/>
      <c r="JO173" s="5"/>
      <c r="JP173" s="5"/>
      <c r="JQ173" s="5"/>
      <c r="JR173" s="5"/>
      <c r="JS173" s="6"/>
      <c r="JT173" s="23"/>
      <c r="JU173" s="13"/>
      <c r="JV173" s="6"/>
      <c r="JW173" s="6"/>
      <c r="JX173" s="6"/>
      <c r="JY173" s="6"/>
      <c r="JZ173" s="10"/>
      <c r="KA173" s="10"/>
      <c r="KB173" s="10"/>
      <c r="KC173" s="10"/>
      <c r="KD173" s="5"/>
      <c r="KE173" s="6"/>
    </row>
    <row r="174" spans="6:291" x14ac:dyDescent="0.3">
      <c r="F174" s="17"/>
      <c r="G174" s="9"/>
      <c r="H174" s="3"/>
      <c r="I174" s="3"/>
      <c r="J174" s="3"/>
      <c r="K174" s="3"/>
      <c r="L174" s="3"/>
      <c r="M174" s="3"/>
      <c r="N174" s="3"/>
      <c r="O174" s="3"/>
      <c r="P174" s="4"/>
      <c r="Q174" s="5"/>
      <c r="R174" s="5"/>
      <c r="S174" s="5"/>
      <c r="T174" s="6"/>
      <c r="U174" s="5"/>
      <c r="V174" s="6"/>
      <c r="W174" s="7"/>
      <c r="X174" s="8"/>
      <c r="Y174" s="6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6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C174" s="6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M174" s="19"/>
      <c r="JO174" s="5"/>
      <c r="JP174" s="5"/>
      <c r="JQ174" s="5"/>
      <c r="JR174" s="5"/>
      <c r="JS174" s="6"/>
      <c r="JT174" s="23"/>
      <c r="JU174" s="13"/>
      <c r="JV174" s="6"/>
      <c r="JW174" s="6"/>
      <c r="JX174" s="6"/>
      <c r="JY174" s="6"/>
      <c r="JZ174" s="10"/>
      <c r="KA174" s="10"/>
      <c r="KB174" s="10"/>
      <c r="KC174" s="10"/>
      <c r="KD174" s="5"/>
      <c r="KE174" s="6"/>
    </row>
    <row r="175" spans="6:291" x14ac:dyDescent="0.3">
      <c r="F175" s="17"/>
      <c r="G175" s="9"/>
      <c r="H175" s="3"/>
      <c r="I175" s="3"/>
      <c r="J175" s="3"/>
      <c r="K175" s="3"/>
      <c r="L175" s="3"/>
      <c r="M175" s="3"/>
      <c r="N175" s="3"/>
      <c r="O175" s="3"/>
      <c r="P175" s="4"/>
      <c r="Q175" s="5"/>
      <c r="R175" s="5"/>
      <c r="S175" s="5"/>
      <c r="T175" s="6"/>
      <c r="U175" s="5"/>
      <c r="V175" s="6"/>
      <c r="W175" s="7"/>
      <c r="X175" s="8"/>
      <c r="Y175" s="6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6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C175" s="6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M175" s="19"/>
      <c r="JO175" s="5"/>
      <c r="JP175" s="5"/>
      <c r="JQ175" s="5"/>
      <c r="JR175" s="5"/>
      <c r="JS175" s="6"/>
      <c r="JT175" s="23"/>
      <c r="JU175" s="13"/>
      <c r="JV175" s="6"/>
      <c r="JW175" s="6"/>
      <c r="JX175" s="6"/>
      <c r="JY175" s="6"/>
      <c r="JZ175" s="10"/>
      <c r="KA175" s="10"/>
      <c r="KB175" s="10"/>
      <c r="KC175" s="10"/>
      <c r="KD175" s="5"/>
      <c r="KE175" s="6"/>
    </row>
    <row r="176" spans="6:291" x14ac:dyDescent="0.3">
      <c r="F176" s="17"/>
      <c r="G176" s="9"/>
      <c r="H176" s="3"/>
      <c r="I176" s="3"/>
      <c r="J176" s="3"/>
      <c r="K176" s="3"/>
      <c r="L176" s="3"/>
      <c r="M176" s="3"/>
      <c r="N176" s="3"/>
      <c r="O176" s="3"/>
      <c r="P176" s="4"/>
      <c r="Q176" s="5"/>
      <c r="R176" s="5"/>
      <c r="S176" s="5"/>
      <c r="T176" s="6"/>
      <c r="U176" s="5"/>
      <c r="V176" s="6"/>
      <c r="W176" s="7"/>
      <c r="X176" s="8"/>
      <c r="Y176" s="6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6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C176" s="6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  <c r="JC176" s="5"/>
      <c r="JD176" s="5"/>
      <c r="JE176" s="5"/>
      <c r="JF176" s="5"/>
      <c r="JG176" s="5"/>
      <c r="JH176" s="5"/>
      <c r="JI176" s="5"/>
      <c r="JJ176" s="5"/>
      <c r="JK176" s="5"/>
      <c r="JM176" s="19"/>
      <c r="JO176" s="5"/>
      <c r="JP176" s="5"/>
      <c r="JQ176" s="5"/>
      <c r="JR176" s="5"/>
      <c r="JS176" s="6"/>
      <c r="JT176" s="23"/>
      <c r="JU176" s="13"/>
      <c r="JV176" s="6"/>
      <c r="JW176" s="6"/>
      <c r="JX176" s="6"/>
      <c r="JY176" s="6"/>
      <c r="JZ176" s="10"/>
      <c r="KA176" s="10"/>
      <c r="KB176" s="10"/>
      <c r="KC176" s="10"/>
      <c r="KD176" s="5"/>
      <c r="KE176" s="6"/>
    </row>
    <row r="177" spans="6:291" x14ac:dyDescent="0.3">
      <c r="F177" s="17"/>
      <c r="G177" s="9"/>
      <c r="H177" s="3"/>
      <c r="I177" s="3"/>
      <c r="J177" s="3"/>
      <c r="K177" s="3"/>
      <c r="L177" s="3"/>
      <c r="M177" s="3"/>
      <c r="N177" s="3"/>
      <c r="O177" s="3"/>
      <c r="P177" s="4"/>
      <c r="Q177" s="5"/>
      <c r="R177" s="5"/>
      <c r="S177" s="5"/>
      <c r="T177" s="6"/>
      <c r="U177" s="5"/>
      <c r="V177" s="6"/>
      <c r="W177" s="7"/>
      <c r="X177" s="8"/>
      <c r="Y177" s="6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6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C177" s="6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M177" s="19"/>
      <c r="JO177" s="5"/>
      <c r="JP177" s="5"/>
      <c r="JQ177" s="5"/>
      <c r="JR177" s="5"/>
      <c r="JS177" s="6"/>
      <c r="JT177" s="23"/>
      <c r="JU177" s="13"/>
      <c r="JV177" s="6"/>
      <c r="JW177" s="6"/>
      <c r="JX177" s="6"/>
      <c r="JY177" s="6"/>
      <c r="JZ177" s="10"/>
      <c r="KA177" s="10"/>
      <c r="KB177" s="10"/>
      <c r="KC177" s="10"/>
      <c r="KD177" s="5"/>
      <c r="KE177" s="6"/>
    </row>
    <row r="178" spans="6:291" x14ac:dyDescent="0.3">
      <c r="F178" s="17"/>
      <c r="G178" s="9"/>
      <c r="H178" s="3"/>
      <c r="I178" s="3"/>
      <c r="J178" s="3"/>
      <c r="K178" s="3"/>
      <c r="L178" s="3"/>
      <c r="M178" s="3"/>
      <c r="N178" s="3"/>
      <c r="O178" s="3"/>
      <c r="P178" s="4"/>
      <c r="Q178" s="5"/>
      <c r="R178" s="5"/>
      <c r="S178" s="5"/>
      <c r="T178" s="6"/>
      <c r="U178" s="5"/>
      <c r="V178" s="6"/>
      <c r="W178" s="7"/>
      <c r="X178" s="8"/>
      <c r="Y178" s="6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6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C178" s="6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M178" s="19"/>
      <c r="JO178" s="5"/>
      <c r="JP178" s="5"/>
      <c r="JQ178" s="5"/>
      <c r="JR178" s="5"/>
      <c r="JS178" s="6"/>
      <c r="JT178" s="23"/>
      <c r="JU178" s="13"/>
      <c r="JV178" s="6"/>
      <c r="JW178" s="6"/>
      <c r="JX178" s="6"/>
      <c r="JY178" s="6"/>
      <c r="JZ178" s="10"/>
      <c r="KA178" s="10"/>
      <c r="KB178" s="10"/>
      <c r="KC178" s="10"/>
      <c r="KD178" s="5"/>
      <c r="KE178" s="6"/>
    </row>
    <row r="179" spans="6:291" x14ac:dyDescent="0.3">
      <c r="F179" s="17"/>
      <c r="G179" s="9"/>
      <c r="H179" s="3"/>
      <c r="I179" s="3"/>
      <c r="J179" s="3"/>
      <c r="K179" s="3"/>
      <c r="L179" s="3"/>
      <c r="M179" s="3"/>
      <c r="N179" s="3"/>
      <c r="O179" s="3"/>
      <c r="P179" s="4"/>
      <c r="Q179" s="5"/>
      <c r="R179" s="5"/>
      <c r="S179" s="5"/>
      <c r="T179" s="6"/>
      <c r="U179" s="5"/>
      <c r="V179" s="6"/>
      <c r="W179" s="7"/>
      <c r="X179" s="8"/>
      <c r="Y179" s="6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6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C179" s="6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M179" s="19"/>
      <c r="JO179" s="5"/>
      <c r="JP179" s="5"/>
      <c r="JQ179" s="5"/>
      <c r="JR179" s="5"/>
      <c r="JS179" s="6"/>
      <c r="JT179" s="23"/>
      <c r="JU179" s="13"/>
      <c r="JV179" s="6"/>
      <c r="JW179" s="6"/>
      <c r="JX179" s="6"/>
      <c r="JY179" s="6"/>
      <c r="JZ179" s="10"/>
      <c r="KA179" s="10"/>
      <c r="KB179" s="10"/>
      <c r="KC179" s="10"/>
      <c r="KD179" s="5"/>
      <c r="KE179" s="6"/>
    </row>
    <row r="180" spans="6:291" x14ac:dyDescent="0.3">
      <c r="F180" s="17"/>
      <c r="G180" s="9"/>
      <c r="H180" s="3"/>
      <c r="I180" s="3"/>
      <c r="J180" s="3"/>
      <c r="K180" s="3"/>
      <c r="L180" s="3"/>
      <c r="M180" s="3"/>
      <c r="N180" s="3"/>
      <c r="O180" s="3"/>
      <c r="P180" s="4"/>
      <c r="Q180" s="5"/>
      <c r="R180" s="5"/>
      <c r="S180" s="5"/>
      <c r="T180" s="6"/>
      <c r="U180" s="5"/>
      <c r="V180" s="6"/>
      <c r="W180" s="7"/>
      <c r="X180" s="8"/>
      <c r="Y180" s="6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6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C180" s="6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M180" s="19"/>
      <c r="JO180" s="5"/>
      <c r="JP180" s="5"/>
      <c r="JQ180" s="5"/>
      <c r="JR180" s="5"/>
      <c r="JS180" s="6"/>
      <c r="JT180" s="23"/>
      <c r="JU180" s="13"/>
      <c r="JV180" s="6"/>
      <c r="JW180" s="6"/>
      <c r="JX180" s="6"/>
      <c r="JY180" s="6"/>
      <c r="JZ180" s="10"/>
      <c r="KA180" s="10"/>
      <c r="KB180" s="10"/>
      <c r="KC180" s="10"/>
      <c r="KD180" s="5"/>
      <c r="KE180" s="6"/>
    </row>
    <row r="181" spans="6:291" x14ac:dyDescent="0.3">
      <c r="F181" s="17"/>
      <c r="G181" s="9"/>
      <c r="H181" s="3"/>
      <c r="I181" s="3"/>
      <c r="J181" s="3"/>
      <c r="K181" s="3"/>
      <c r="L181" s="3"/>
      <c r="M181" s="3"/>
      <c r="N181" s="3"/>
      <c r="O181" s="3"/>
      <c r="P181" s="4"/>
      <c r="Q181" s="5"/>
      <c r="R181" s="5"/>
      <c r="S181" s="5"/>
      <c r="T181" s="6"/>
      <c r="U181" s="5"/>
      <c r="V181" s="6"/>
      <c r="W181" s="7"/>
      <c r="X181" s="8"/>
      <c r="Y181" s="6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6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C181" s="6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M181" s="19"/>
      <c r="JO181" s="5"/>
      <c r="JP181" s="5"/>
      <c r="JQ181" s="5"/>
      <c r="JR181" s="5"/>
      <c r="JS181" s="6"/>
      <c r="JT181" s="23"/>
      <c r="JU181" s="13"/>
      <c r="JV181" s="6"/>
      <c r="JW181" s="6"/>
      <c r="JX181" s="6"/>
      <c r="JY181" s="6"/>
      <c r="JZ181" s="10"/>
      <c r="KA181" s="10"/>
      <c r="KB181" s="10"/>
      <c r="KC181" s="10"/>
      <c r="KD181" s="5"/>
      <c r="KE181" s="6"/>
    </row>
    <row r="182" spans="6:291" x14ac:dyDescent="0.3">
      <c r="F182" s="17"/>
      <c r="G182" s="9"/>
      <c r="H182" s="3"/>
      <c r="I182" s="3"/>
      <c r="J182" s="3"/>
      <c r="K182" s="3"/>
      <c r="L182" s="3"/>
      <c r="M182" s="3"/>
      <c r="N182" s="3"/>
      <c r="O182" s="3"/>
      <c r="P182" s="4"/>
      <c r="Q182" s="5"/>
      <c r="R182" s="5"/>
      <c r="S182" s="5"/>
      <c r="T182" s="6"/>
      <c r="U182" s="5"/>
      <c r="V182" s="6"/>
      <c r="W182" s="7"/>
      <c r="X182" s="8"/>
      <c r="Y182" s="6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6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C182" s="6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  <c r="JC182" s="5"/>
      <c r="JD182" s="5"/>
      <c r="JE182" s="5"/>
      <c r="JF182" s="5"/>
      <c r="JG182" s="5"/>
      <c r="JH182" s="5"/>
      <c r="JI182" s="5"/>
      <c r="JJ182" s="5"/>
      <c r="JK182" s="5"/>
      <c r="JM182" s="19"/>
      <c r="JO182" s="5"/>
      <c r="JP182" s="5"/>
      <c r="JQ182" s="5"/>
      <c r="JR182" s="5"/>
      <c r="JS182" s="6"/>
      <c r="JT182" s="23"/>
      <c r="JU182" s="13"/>
      <c r="JV182" s="6"/>
      <c r="JW182" s="6"/>
      <c r="JX182" s="6"/>
      <c r="JY182" s="6"/>
      <c r="JZ182" s="10"/>
      <c r="KA182" s="10"/>
      <c r="KB182" s="10"/>
      <c r="KC182" s="10"/>
      <c r="KD182" s="5"/>
      <c r="KE182" s="6"/>
    </row>
    <row r="183" spans="6:291" x14ac:dyDescent="0.3">
      <c r="F183" s="17"/>
      <c r="G183" s="9"/>
      <c r="H183" s="3"/>
      <c r="I183" s="3"/>
      <c r="J183" s="3"/>
      <c r="K183" s="3"/>
      <c r="L183" s="3"/>
      <c r="M183" s="3"/>
      <c r="N183" s="3"/>
      <c r="O183" s="3"/>
      <c r="P183" s="4"/>
      <c r="Q183" s="5"/>
      <c r="R183" s="5"/>
      <c r="S183" s="5"/>
      <c r="T183" s="6"/>
      <c r="U183" s="5"/>
      <c r="V183" s="6"/>
      <c r="W183" s="7"/>
      <c r="X183" s="8"/>
      <c r="Y183" s="6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6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C183" s="6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  <c r="JC183" s="5"/>
      <c r="JD183" s="5"/>
      <c r="JE183" s="5"/>
      <c r="JF183" s="5"/>
      <c r="JG183" s="5"/>
      <c r="JH183" s="5"/>
      <c r="JI183" s="5"/>
      <c r="JJ183" s="5"/>
      <c r="JK183" s="5"/>
      <c r="JM183" s="19"/>
      <c r="JO183" s="5"/>
      <c r="JP183" s="5"/>
      <c r="JQ183" s="5"/>
      <c r="JR183" s="5"/>
      <c r="JS183" s="6"/>
      <c r="JT183" s="23"/>
      <c r="JU183" s="13"/>
      <c r="JV183" s="6"/>
      <c r="JW183" s="6"/>
      <c r="JX183" s="6"/>
      <c r="JY183" s="6"/>
      <c r="JZ183" s="10"/>
      <c r="KA183" s="10"/>
      <c r="KB183" s="10"/>
      <c r="KC183" s="10"/>
      <c r="KD183" s="5"/>
      <c r="KE183" s="6"/>
    </row>
    <row r="184" spans="6:291" x14ac:dyDescent="0.3">
      <c r="F184" s="17"/>
      <c r="G184" s="9"/>
      <c r="H184" s="3"/>
      <c r="I184" s="3"/>
      <c r="J184" s="3"/>
      <c r="K184" s="3"/>
      <c r="L184" s="3"/>
      <c r="M184" s="3"/>
      <c r="N184" s="3"/>
      <c r="O184" s="3"/>
      <c r="P184" s="4"/>
      <c r="Q184" s="5"/>
      <c r="R184" s="5"/>
      <c r="S184" s="5"/>
      <c r="T184" s="6"/>
      <c r="U184" s="5"/>
      <c r="V184" s="6"/>
      <c r="W184" s="7"/>
      <c r="X184" s="8"/>
      <c r="Y184" s="6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6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C184" s="6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  <c r="JC184" s="5"/>
      <c r="JD184" s="5"/>
      <c r="JE184" s="5"/>
      <c r="JF184" s="5"/>
      <c r="JG184" s="5"/>
      <c r="JH184" s="5"/>
      <c r="JI184" s="5"/>
      <c r="JJ184" s="5"/>
      <c r="JK184" s="5"/>
      <c r="JM184" s="19"/>
      <c r="JO184" s="5"/>
      <c r="JP184" s="5"/>
      <c r="JQ184" s="5"/>
      <c r="JR184" s="5"/>
      <c r="JS184" s="6"/>
      <c r="JT184" s="23"/>
      <c r="JU184" s="13"/>
      <c r="JV184" s="6"/>
      <c r="JW184" s="6"/>
      <c r="JX184" s="6"/>
      <c r="JY184" s="6"/>
      <c r="JZ184" s="10"/>
      <c r="KA184" s="10"/>
      <c r="KB184" s="10"/>
      <c r="KC184" s="10"/>
      <c r="KD184" s="5"/>
      <c r="KE184" s="6"/>
    </row>
    <row r="185" spans="6:291" x14ac:dyDescent="0.3">
      <c r="F185" s="17"/>
      <c r="G185" s="9"/>
      <c r="H185" s="3"/>
      <c r="I185" s="3"/>
      <c r="J185" s="3"/>
      <c r="K185" s="3"/>
      <c r="L185" s="3"/>
      <c r="M185" s="3"/>
      <c r="N185" s="3"/>
      <c r="O185" s="3"/>
      <c r="P185" s="4"/>
      <c r="Q185" s="5"/>
      <c r="R185" s="5"/>
      <c r="S185" s="5"/>
      <c r="T185" s="6"/>
      <c r="U185" s="5"/>
      <c r="V185" s="6"/>
      <c r="W185" s="7"/>
      <c r="X185" s="8"/>
      <c r="Y185" s="6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6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C185" s="6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  <c r="JC185" s="5"/>
      <c r="JD185" s="5"/>
      <c r="JE185" s="5"/>
      <c r="JF185" s="5"/>
      <c r="JG185" s="5"/>
      <c r="JH185" s="5"/>
      <c r="JI185" s="5"/>
      <c r="JJ185" s="5"/>
      <c r="JK185" s="5"/>
      <c r="JM185" s="19"/>
      <c r="JO185" s="5"/>
      <c r="JP185" s="5"/>
      <c r="JQ185" s="5"/>
      <c r="JR185" s="5"/>
      <c r="JS185" s="6"/>
      <c r="JT185" s="23"/>
      <c r="JU185" s="13"/>
      <c r="JV185" s="6"/>
      <c r="JW185" s="6"/>
      <c r="JX185" s="6"/>
      <c r="JY185" s="6"/>
      <c r="JZ185" s="10"/>
      <c r="KA185" s="10"/>
      <c r="KB185" s="10"/>
      <c r="KC185" s="10"/>
      <c r="KD185" s="5"/>
      <c r="KE185" s="6"/>
    </row>
    <row r="186" spans="6:291" x14ac:dyDescent="0.3">
      <c r="F186" s="17"/>
      <c r="G186" s="9"/>
      <c r="H186" s="3"/>
      <c r="I186" s="3"/>
      <c r="J186" s="3"/>
      <c r="K186" s="3"/>
      <c r="L186" s="3"/>
      <c r="M186" s="3"/>
      <c r="N186" s="3"/>
      <c r="O186" s="3"/>
      <c r="P186" s="4"/>
      <c r="Q186" s="5"/>
      <c r="R186" s="5"/>
      <c r="S186" s="5"/>
      <c r="T186" s="6"/>
      <c r="U186" s="5"/>
      <c r="V186" s="6"/>
      <c r="W186" s="7"/>
      <c r="X186" s="8"/>
      <c r="Y186" s="6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6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C186" s="6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  <c r="JC186" s="5"/>
      <c r="JD186" s="5"/>
      <c r="JE186" s="5"/>
      <c r="JF186" s="5"/>
      <c r="JG186" s="5"/>
      <c r="JH186" s="5"/>
      <c r="JI186" s="5"/>
      <c r="JJ186" s="5"/>
      <c r="JK186" s="5"/>
      <c r="JM186" s="19"/>
      <c r="JO186" s="5"/>
      <c r="JP186" s="5"/>
      <c r="JQ186" s="5"/>
      <c r="JR186" s="5"/>
      <c r="JS186" s="6"/>
      <c r="JT186" s="23"/>
      <c r="JU186" s="13"/>
      <c r="JV186" s="6"/>
      <c r="JW186" s="6"/>
      <c r="JX186" s="6"/>
      <c r="JY186" s="6"/>
      <c r="JZ186" s="10"/>
      <c r="KA186" s="10"/>
      <c r="KB186" s="10"/>
      <c r="KC186" s="10"/>
      <c r="KD186" s="5"/>
      <c r="KE186" s="6"/>
    </row>
    <row r="187" spans="6:291" x14ac:dyDescent="0.3">
      <c r="F187" s="17"/>
      <c r="G187" s="9"/>
      <c r="H187" s="3"/>
      <c r="I187" s="3"/>
      <c r="J187" s="3"/>
      <c r="K187" s="3"/>
      <c r="L187" s="3"/>
      <c r="M187" s="3"/>
      <c r="N187" s="3"/>
      <c r="O187" s="3"/>
      <c r="P187" s="4"/>
      <c r="Q187" s="5"/>
      <c r="R187" s="5"/>
      <c r="S187" s="5"/>
      <c r="T187" s="6"/>
      <c r="U187" s="5"/>
      <c r="V187" s="6"/>
      <c r="W187" s="7"/>
      <c r="X187" s="8"/>
      <c r="Y187" s="6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6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C187" s="6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  <c r="JC187" s="5"/>
      <c r="JD187" s="5"/>
      <c r="JE187" s="5"/>
      <c r="JF187" s="5"/>
      <c r="JG187" s="5"/>
      <c r="JH187" s="5"/>
      <c r="JI187" s="5"/>
      <c r="JJ187" s="5"/>
      <c r="JK187" s="5"/>
      <c r="JM187" s="19"/>
      <c r="JO187" s="5"/>
      <c r="JP187" s="5"/>
      <c r="JQ187" s="5"/>
      <c r="JR187" s="5"/>
      <c r="JS187" s="6"/>
      <c r="JT187" s="23"/>
      <c r="JU187" s="13"/>
      <c r="JV187" s="6"/>
      <c r="JW187" s="6"/>
      <c r="JX187" s="6"/>
      <c r="JY187" s="6"/>
      <c r="JZ187" s="10"/>
      <c r="KA187" s="10"/>
      <c r="KB187" s="10"/>
      <c r="KC187" s="10"/>
      <c r="KD187" s="5"/>
      <c r="KE187" s="6"/>
    </row>
    <row r="188" spans="6:291" x14ac:dyDescent="0.3">
      <c r="F188" s="17"/>
      <c r="G188" s="9"/>
      <c r="H188" s="3"/>
      <c r="I188" s="3"/>
      <c r="J188" s="3"/>
      <c r="K188" s="3"/>
      <c r="L188" s="3"/>
      <c r="M188" s="3"/>
      <c r="N188" s="3"/>
      <c r="O188" s="3"/>
      <c r="P188" s="4"/>
      <c r="Q188" s="5"/>
      <c r="R188" s="5"/>
      <c r="S188" s="5"/>
      <c r="T188" s="6"/>
      <c r="U188" s="5"/>
      <c r="V188" s="6"/>
      <c r="W188" s="7"/>
      <c r="X188" s="8"/>
      <c r="Y188" s="6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6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C188" s="6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  <c r="JE188" s="5"/>
      <c r="JF188" s="5"/>
      <c r="JG188" s="5"/>
      <c r="JH188" s="5"/>
      <c r="JI188" s="5"/>
      <c r="JJ188" s="5"/>
      <c r="JK188" s="5"/>
      <c r="JM188" s="19"/>
      <c r="JO188" s="5"/>
      <c r="JP188" s="5"/>
      <c r="JQ188" s="5"/>
      <c r="JR188" s="5"/>
      <c r="JS188" s="6"/>
      <c r="JT188" s="23"/>
      <c r="JU188" s="13"/>
      <c r="JV188" s="6"/>
      <c r="JW188" s="6"/>
      <c r="JX188" s="6"/>
      <c r="JY188" s="6"/>
      <c r="JZ188" s="10"/>
      <c r="KA188" s="10"/>
      <c r="KB188" s="10"/>
      <c r="KC188" s="10"/>
      <c r="KD188" s="5"/>
      <c r="KE188" s="6"/>
    </row>
    <row r="189" spans="6:291" x14ac:dyDescent="0.3">
      <c r="F189" s="17"/>
      <c r="G189" s="9"/>
      <c r="H189" s="3"/>
      <c r="I189" s="3"/>
      <c r="J189" s="3"/>
      <c r="K189" s="3"/>
      <c r="L189" s="3"/>
      <c r="M189" s="3"/>
      <c r="N189" s="3"/>
      <c r="O189" s="3"/>
      <c r="P189" s="4"/>
      <c r="Q189" s="5"/>
      <c r="R189" s="5"/>
      <c r="S189" s="5"/>
      <c r="T189" s="6"/>
      <c r="U189" s="5"/>
      <c r="V189" s="6"/>
      <c r="W189" s="7"/>
      <c r="X189" s="8"/>
      <c r="Y189" s="6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6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C189" s="6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  <c r="JE189" s="5"/>
      <c r="JF189" s="5"/>
      <c r="JG189" s="5"/>
      <c r="JH189" s="5"/>
      <c r="JI189" s="5"/>
      <c r="JJ189" s="5"/>
      <c r="JK189" s="5"/>
      <c r="JM189" s="19"/>
      <c r="JO189" s="5"/>
      <c r="JP189" s="5"/>
      <c r="JQ189" s="5"/>
      <c r="JR189" s="5"/>
      <c r="JS189" s="6"/>
      <c r="JT189" s="23"/>
      <c r="JU189" s="13"/>
      <c r="JV189" s="6"/>
      <c r="JW189" s="6"/>
      <c r="JX189" s="6"/>
      <c r="JY189" s="6"/>
      <c r="JZ189" s="10"/>
      <c r="KA189" s="10"/>
      <c r="KB189" s="10"/>
      <c r="KC189" s="10"/>
      <c r="KD189" s="5"/>
      <c r="KE189" s="6"/>
    </row>
    <row r="190" spans="6:291" x14ac:dyDescent="0.3">
      <c r="F190" s="17"/>
      <c r="G190" s="9"/>
      <c r="H190" s="3"/>
      <c r="I190" s="3"/>
      <c r="J190" s="3"/>
      <c r="K190" s="3"/>
      <c r="L190" s="3"/>
      <c r="M190" s="3"/>
      <c r="N190" s="3"/>
      <c r="O190" s="3"/>
      <c r="P190" s="4"/>
      <c r="Q190" s="5"/>
      <c r="R190" s="5"/>
      <c r="S190" s="5"/>
      <c r="T190" s="6"/>
      <c r="U190" s="5"/>
      <c r="V190" s="6"/>
      <c r="W190" s="7"/>
      <c r="X190" s="8"/>
      <c r="Y190" s="6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6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C190" s="6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  <c r="JE190" s="5"/>
      <c r="JF190" s="5"/>
      <c r="JG190" s="5"/>
      <c r="JH190" s="5"/>
      <c r="JI190" s="5"/>
      <c r="JJ190" s="5"/>
      <c r="JK190" s="5"/>
      <c r="JM190" s="19"/>
      <c r="JO190" s="5"/>
      <c r="JP190" s="5"/>
      <c r="JQ190" s="5"/>
      <c r="JR190" s="5"/>
      <c r="JS190" s="6"/>
      <c r="JT190" s="23"/>
      <c r="JU190" s="13"/>
      <c r="JV190" s="6"/>
      <c r="JW190" s="6"/>
      <c r="JX190" s="6"/>
      <c r="JY190" s="6"/>
      <c r="JZ190" s="10"/>
      <c r="KA190" s="10"/>
      <c r="KB190" s="10"/>
      <c r="KC190" s="10"/>
      <c r="KD190" s="5"/>
      <c r="KE190" s="6"/>
    </row>
    <row r="191" spans="6:291" x14ac:dyDescent="0.3">
      <c r="F191" s="17"/>
      <c r="G191" s="9"/>
      <c r="H191" s="3"/>
      <c r="I191" s="3"/>
      <c r="J191" s="3"/>
      <c r="K191" s="3"/>
      <c r="L191" s="3"/>
      <c r="M191" s="3"/>
      <c r="N191" s="3"/>
      <c r="O191" s="3"/>
      <c r="P191" s="4"/>
      <c r="Q191" s="5"/>
      <c r="R191" s="5"/>
      <c r="S191" s="5"/>
      <c r="T191" s="6"/>
      <c r="U191" s="5"/>
      <c r="V191" s="6"/>
      <c r="W191" s="7"/>
      <c r="X191" s="8"/>
      <c r="Y191" s="6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6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C191" s="6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  <c r="JE191" s="5"/>
      <c r="JF191" s="5"/>
      <c r="JG191" s="5"/>
      <c r="JH191" s="5"/>
      <c r="JI191" s="5"/>
      <c r="JJ191" s="5"/>
      <c r="JK191" s="5"/>
      <c r="JM191" s="19"/>
      <c r="JO191" s="5"/>
      <c r="JP191" s="5"/>
      <c r="JQ191" s="5"/>
      <c r="JR191" s="5"/>
      <c r="JS191" s="6"/>
      <c r="JT191" s="23"/>
      <c r="JU191" s="13"/>
      <c r="JV191" s="6"/>
      <c r="JW191" s="6"/>
      <c r="JX191" s="6"/>
      <c r="JY191" s="6"/>
      <c r="JZ191" s="10"/>
      <c r="KA191" s="10"/>
      <c r="KB191" s="10"/>
      <c r="KC191" s="10"/>
      <c r="KD191" s="5"/>
      <c r="KE191" s="6"/>
    </row>
    <row r="192" spans="6:291" x14ac:dyDescent="0.3">
      <c r="F192" s="17"/>
      <c r="G192" s="9"/>
      <c r="H192" s="3"/>
      <c r="I192" s="3"/>
      <c r="J192" s="3"/>
      <c r="K192" s="3"/>
      <c r="L192" s="3"/>
      <c r="M192" s="3"/>
      <c r="N192" s="3"/>
      <c r="O192" s="3"/>
      <c r="P192" s="4"/>
      <c r="Q192" s="5"/>
      <c r="R192" s="5"/>
      <c r="S192" s="5"/>
      <c r="T192" s="6"/>
      <c r="U192" s="5"/>
      <c r="V192" s="6"/>
      <c r="W192" s="7"/>
      <c r="X192" s="8"/>
      <c r="Y192" s="6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6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C192" s="6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  <c r="JE192" s="5"/>
      <c r="JF192" s="5"/>
      <c r="JG192" s="5"/>
      <c r="JH192" s="5"/>
      <c r="JI192" s="5"/>
      <c r="JJ192" s="5"/>
      <c r="JK192" s="5"/>
      <c r="JM192" s="19"/>
      <c r="JO192" s="5"/>
      <c r="JP192" s="5"/>
      <c r="JQ192" s="5"/>
      <c r="JR192" s="5"/>
      <c r="JS192" s="6"/>
      <c r="JT192" s="23"/>
      <c r="JU192" s="13"/>
      <c r="JV192" s="6"/>
      <c r="JW192" s="6"/>
      <c r="JX192" s="6"/>
      <c r="JY192" s="6"/>
      <c r="JZ192" s="10"/>
      <c r="KA192" s="10"/>
      <c r="KB192" s="10"/>
      <c r="KC192" s="10"/>
      <c r="KD192" s="5"/>
      <c r="KE192" s="6"/>
    </row>
    <row r="193" spans="6:291" x14ac:dyDescent="0.3">
      <c r="F193" s="17"/>
      <c r="G193" s="9"/>
      <c r="H193" s="3"/>
      <c r="I193" s="3"/>
      <c r="J193" s="3"/>
      <c r="K193" s="3"/>
      <c r="L193" s="3"/>
      <c r="M193" s="3"/>
      <c r="N193" s="3"/>
      <c r="O193" s="3"/>
      <c r="P193" s="4"/>
      <c r="Q193" s="5"/>
      <c r="R193" s="5"/>
      <c r="S193" s="5"/>
      <c r="T193" s="6"/>
      <c r="U193" s="5"/>
      <c r="V193" s="6"/>
      <c r="W193" s="7"/>
      <c r="X193" s="8"/>
      <c r="Y193" s="6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6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C193" s="6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  <c r="JE193" s="5"/>
      <c r="JF193" s="5"/>
      <c r="JG193" s="5"/>
      <c r="JH193" s="5"/>
      <c r="JI193" s="5"/>
      <c r="JJ193" s="5"/>
      <c r="JK193" s="5"/>
      <c r="JM193" s="19"/>
      <c r="JO193" s="5"/>
      <c r="JP193" s="5"/>
      <c r="JQ193" s="5"/>
      <c r="JR193" s="5"/>
      <c r="JS193" s="6"/>
      <c r="JT193" s="23"/>
      <c r="JU193" s="13"/>
      <c r="JV193" s="6"/>
      <c r="JW193" s="6"/>
      <c r="JX193" s="6"/>
      <c r="JY193" s="6"/>
      <c r="JZ193" s="10"/>
      <c r="KA193" s="10"/>
      <c r="KB193" s="10"/>
      <c r="KC193" s="10"/>
      <c r="KD193" s="5"/>
      <c r="KE193" s="6"/>
    </row>
    <row r="194" spans="6:291" x14ac:dyDescent="0.3">
      <c r="F194" s="17"/>
      <c r="G194" s="9"/>
      <c r="H194" s="3"/>
      <c r="I194" s="3"/>
      <c r="J194" s="3"/>
      <c r="K194" s="3"/>
      <c r="L194" s="3"/>
      <c r="M194" s="3"/>
      <c r="N194" s="3"/>
      <c r="O194" s="3"/>
      <c r="P194" s="4"/>
      <c r="Q194" s="5"/>
      <c r="R194" s="5"/>
      <c r="S194" s="5"/>
      <c r="T194" s="6"/>
      <c r="U194" s="5"/>
      <c r="V194" s="6"/>
      <c r="W194" s="7"/>
      <c r="X194" s="8"/>
      <c r="Y194" s="6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6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C194" s="6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  <c r="JE194" s="5"/>
      <c r="JF194" s="5"/>
      <c r="JG194" s="5"/>
      <c r="JH194" s="5"/>
      <c r="JI194" s="5"/>
      <c r="JJ194" s="5"/>
      <c r="JK194" s="5"/>
      <c r="JM194" s="19"/>
      <c r="JO194" s="5"/>
      <c r="JP194" s="5"/>
      <c r="JQ194" s="5"/>
      <c r="JR194" s="5"/>
      <c r="JS194" s="6"/>
      <c r="JT194" s="23"/>
      <c r="JU194" s="13"/>
      <c r="JV194" s="6"/>
      <c r="JW194" s="6"/>
      <c r="JX194" s="6"/>
      <c r="JY194" s="6"/>
      <c r="JZ194" s="10"/>
      <c r="KA194" s="10"/>
      <c r="KB194" s="10"/>
      <c r="KC194" s="10"/>
      <c r="KD194" s="5"/>
      <c r="KE194" s="6"/>
    </row>
    <row r="195" spans="6:291" x14ac:dyDescent="0.3">
      <c r="F195" s="17"/>
      <c r="G195" s="9"/>
      <c r="H195" s="3"/>
      <c r="I195" s="3"/>
      <c r="J195" s="3"/>
      <c r="K195" s="3"/>
      <c r="L195" s="3"/>
      <c r="M195" s="3"/>
      <c r="N195" s="3"/>
      <c r="O195" s="3"/>
      <c r="P195" s="4"/>
      <c r="Q195" s="5"/>
      <c r="R195" s="5"/>
      <c r="S195" s="5"/>
      <c r="T195" s="6"/>
      <c r="U195" s="5"/>
      <c r="V195" s="6"/>
      <c r="W195" s="7"/>
      <c r="X195" s="8"/>
      <c r="Y195" s="6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6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C195" s="6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  <c r="JE195" s="5"/>
      <c r="JF195" s="5"/>
      <c r="JG195" s="5"/>
      <c r="JH195" s="5"/>
      <c r="JI195" s="5"/>
      <c r="JJ195" s="5"/>
      <c r="JK195" s="5"/>
      <c r="JM195" s="19"/>
      <c r="JO195" s="5"/>
      <c r="JP195" s="5"/>
      <c r="JQ195" s="5"/>
      <c r="JR195" s="5"/>
      <c r="JS195" s="6"/>
      <c r="JT195" s="23"/>
      <c r="JU195" s="13"/>
      <c r="JV195" s="6"/>
      <c r="JW195" s="6"/>
      <c r="JX195" s="6"/>
      <c r="JY195" s="6"/>
      <c r="JZ195" s="10"/>
      <c r="KA195" s="10"/>
      <c r="KB195" s="10"/>
      <c r="KC195" s="10"/>
      <c r="KD195" s="5"/>
      <c r="KE195" s="6"/>
    </row>
    <row r="196" spans="6:291" x14ac:dyDescent="0.3">
      <c r="F196" s="17"/>
      <c r="G196" s="9"/>
      <c r="H196" s="3"/>
      <c r="I196" s="3"/>
      <c r="J196" s="3"/>
      <c r="K196" s="3"/>
      <c r="L196" s="3"/>
      <c r="M196" s="3"/>
      <c r="N196" s="3"/>
      <c r="O196" s="3"/>
      <c r="P196" s="4"/>
      <c r="Q196" s="5"/>
      <c r="R196" s="5"/>
      <c r="S196" s="5"/>
      <c r="T196" s="6"/>
      <c r="U196" s="5"/>
      <c r="V196" s="6"/>
      <c r="W196" s="7"/>
      <c r="X196" s="8"/>
      <c r="Y196" s="6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6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C196" s="6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  <c r="JE196" s="5"/>
      <c r="JF196" s="5"/>
      <c r="JG196" s="5"/>
      <c r="JH196" s="5"/>
      <c r="JI196" s="5"/>
      <c r="JJ196" s="5"/>
      <c r="JK196" s="5"/>
      <c r="JM196" s="19"/>
      <c r="JO196" s="5"/>
      <c r="JP196" s="5"/>
      <c r="JQ196" s="5"/>
      <c r="JR196" s="5"/>
      <c r="JS196" s="6"/>
      <c r="JT196" s="23"/>
      <c r="JU196" s="13"/>
      <c r="JV196" s="6"/>
      <c r="JW196" s="6"/>
      <c r="JX196" s="6"/>
      <c r="JY196" s="6"/>
      <c r="JZ196" s="10"/>
      <c r="KA196" s="10"/>
      <c r="KB196" s="10"/>
      <c r="KC196" s="10"/>
      <c r="KD196" s="5"/>
      <c r="KE196" s="6"/>
    </row>
    <row r="197" spans="6:291" x14ac:dyDescent="0.3">
      <c r="F197" s="17"/>
      <c r="G197" s="9"/>
      <c r="H197" s="3"/>
      <c r="I197" s="3"/>
      <c r="J197" s="3"/>
      <c r="K197" s="3"/>
      <c r="L197" s="3"/>
      <c r="M197" s="3"/>
      <c r="N197" s="3"/>
      <c r="O197" s="3"/>
      <c r="P197" s="4"/>
      <c r="Q197" s="5"/>
      <c r="R197" s="5"/>
      <c r="S197" s="5"/>
      <c r="T197" s="6"/>
      <c r="U197" s="5"/>
      <c r="V197" s="6"/>
      <c r="W197" s="7"/>
      <c r="X197" s="8"/>
      <c r="Y197" s="6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6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C197" s="6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  <c r="JE197" s="5"/>
      <c r="JF197" s="5"/>
      <c r="JG197" s="5"/>
      <c r="JH197" s="5"/>
      <c r="JI197" s="5"/>
      <c r="JJ197" s="5"/>
      <c r="JK197" s="5"/>
      <c r="JM197" s="19"/>
      <c r="JO197" s="5"/>
      <c r="JP197" s="5"/>
      <c r="JQ197" s="5"/>
      <c r="JR197" s="5"/>
      <c r="JS197" s="6"/>
      <c r="JT197" s="23"/>
      <c r="JU197" s="13"/>
      <c r="JV197" s="6"/>
      <c r="JW197" s="6"/>
      <c r="JX197" s="6"/>
      <c r="JY197" s="6"/>
      <c r="JZ197" s="10"/>
      <c r="KA197" s="10"/>
      <c r="KB197" s="10"/>
      <c r="KC197" s="10"/>
      <c r="KD197" s="5"/>
      <c r="KE197" s="6"/>
    </row>
    <row r="198" spans="6:291" x14ac:dyDescent="0.3">
      <c r="F198" s="17"/>
      <c r="G198" s="9"/>
      <c r="H198" s="3"/>
      <c r="I198" s="3"/>
      <c r="J198" s="3"/>
      <c r="K198" s="3"/>
      <c r="L198" s="3"/>
      <c r="M198" s="3"/>
      <c r="N198" s="3"/>
      <c r="O198" s="3"/>
      <c r="P198" s="4"/>
      <c r="Q198" s="5"/>
      <c r="R198" s="5"/>
      <c r="S198" s="5"/>
      <c r="T198" s="6"/>
      <c r="U198" s="5"/>
      <c r="V198" s="6"/>
      <c r="W198" s="7"/>
      <c r="X198" s="8"/>
      <c r="Y198" s="6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6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C198" s="6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  <c r="JE198" s="5"/>
      <c r="JF198" s="5"/>
      <c r="JG198" s="5"/>
      <c r="JH198" s="5"/>
      <c r="JI198" s="5"/>
      <c r="JJ198" s="5"/>
      <c r="JK198" s="5"/>
      <c r="JM198" s="19"/>
      <c r="JO198" s="5"/>
      <c r="JP198" s="5"/>
      <c r="JQ198" s="5"/>
      <c r="JR198" s="5"/>
      <c r="JS198" s="6"/>
      <c r="JT198" s="23"/>
      <c r="JU198" s="13"/>
      <c r="JV198" s="6"/>
      <c r="JW198" s="6"/>
      <c r="JX198" s="6"/>
      <c r="JY198" s="6"/>
      <c r="JZ198" s="10"/>
      <c r="KA198" s="10"/>
      <c r="KB198" s="10"/>
      <c r="KC198" s="10"/>
      <c r="KD198" s="5"/>
      <c r="KE198" s="6"/>
    </row>
    <row r="199" spans="6:291" x14ac:dyDescent="0.3">
      <c r="F199" s="17"/>
      <c r="G199" s="9"/>
      <c r="H199" s="3"/>
      <c r="I199" s="3"/>
      <c r="J199" s="3"/>
      <c r="K199" s="3"/>
      <c r="L199" s="3"/>
      <c r="M199" s="3"/>
      <c r="N199" s="3"/>
      <c r="O199" s="3"/>
      <c r="P199" s="4"/>
      <c r="Q199" s="5"/>
      <c r="R199" s="5"/>
      <c r="S199" s="5"/>
      <c r="T199" s="6"/>
      <c r="U199" s="5"/>
      <c r="V199" s="6"/>
      <c r="W199" s="7"/>
      <c r="X199" s="8"/>
      <c r="Y199" s="6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6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C199" s="6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  <c r="JE199" s="5"/>
      <c r="JF199" s="5"/>
      <c r="JG199" s="5"/>
      <c r="JH199" s="5"/>
      <c r="JI199" s="5"/>
      <c r="JJ199" s="5"/>
      <c r="JK199" s="5"/>
      <c r="JM199" s="19"/>
      <c r="JO199" s="5"/>
      <c r="JP199" s="5"/>
      <c r="JQ199" s="5"/>
      <c r="JR199" s="5"/>
      <c r="JS199" s="6"/>
      <c r="JT199" s="23"/>
      <c r="JU199" s="13"/>
      <c r="JV199" s="6"/>
      <c r="JW199" s="6"/>
      <c r="JX199" s="6"/>
      <c r="JY199" s="6"/>
      <c r="JZ199" s="10"/>
      <c r="KA199" s="10"/>
      <c r="KB199" s="10"/>
      <c r="KC199" s="10"/>
      <c r="KD199" s="5"/>
      <c r="KE199" s="6"/>
    </row>
    <row r="200" spans="6:291" x14ac:dyDescent="0.3">
      <c r="F200" s="17"/>
      <c r="G200" s="9"/>
      <c r="H200" s="3"/>
      <c r="I200" s="3"/>
      <c r="J200" s="3"/>
      <c r="K200" s="3"/>
      <c r="L200" s="3"/>
      <c r="M200" s="3"/>
      <c r="N200" s="3"/>
      <c r="O200" s="3"/>
      <c r="P200" s="4"/>
      <c r="Q200" s="5"/>
      <c r="R200" s="5"/>
      <c r="S200" s="5"/>
      <c r="T200" s="6"/>
      <c r="U200" s="5"/>
      <c r="V200" s="6"/>
      <c r="W200" s="7"/>
      <c r="X200" s="8"/>
      <c r="Y200" s="6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6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C200" s="6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  <c r="JE200" s="5"/>
      <c r="JF200" s="5"/>
      <c r="JG200" s="5"/>
      <c r="JH200" s="5"/>
      <c r="JI200" s="5"/>
      <c r="JJ200" s="5"/>
      <c r="JK200" s="5"/>
      <c r="JM200" s="19"/>
      <c r="JO200" s="5"/>
      <c r="JP200" s="5"/>
      <c r="JQ200" s="5"/>
      <c r="JR200" s="5"/>
      <c r="JS200" s="6"/>
      <c r="JT200" s="23"/>
      <c r="JU200" s="13"/>
      <c r="JV200" s="6"/>
      <c r="JW200" s="6"/>
      <c r="JX200" s="6"/>
      <c r="JY200" s="6"/>
      <c r="JZ200" s="10"/>
      <c r="KA200" s="10"/>
      <c r="KB200" s="10"/>
      <c r="KC200" s="10"/>
      <c r="KD200" s="5"/>
      <c r="KE200" s="6"/>
    </row>
    <row r="201" spans="6:291" x14ac:dyDescent="0.3">
      <c r="F201" s="17"/>
      <c r="G201" s="9"/>
      <c r="H201" s="3"/>
      <c r="I201" s="3"/>
      <c r="J201" s="3"/>
      <c r="K201" s="3"/>
      <c r="L201" s="3"/>
      <c r="M201" s="3"/>
      <c r="N201" s="3"/>
      <c r="O201" s="3"/>
      <c r="P201" s="4"/>
      <c r="Q201" s="5"/>
      <c r="R201" s="5"/>
      <c r="S201" s="5"/>
      <c r="T201" s="6"/>
      <c r="U201" s="5"/>
      <c r="V201" s="6"/>
      <c r="W201" s="7"/>
      <c r="X201" s="8"/>
      <c r="Y201" s="6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6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C201" s="6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  <c r="JC201" s="5"/>
      <c r="JD201" s="5"/>
      <c r="JE201" s="5"/>
      <c r="JF201" s="5"/>
      <c r="JG201" s="5"/>
      <c r="JH201" s="5"/>
      <c r="JI201" s="5"/>
      <c r="JJ201" s="5"/>
      <c r="JK201" s="5"/>
      <c r="JM201" s="19"/>
      <c r="JO201" s="5"/>
      <c r="JP201" s="5"/>
      <c r="JQ201" s="5"/>
      <c r="JR201" s="5"/>
      <c r="JS201" s="6"/>
      <c r="JT201" s="23"/>
      <c r="JU201" s="13"/>
      <c r="JV201" s="6"/>
      <c r="JW201" s="6"/>
      <c r="JX201" s="6"/>
      <c r="JY201" s="6"/>
      <c r="JZ201" s="10"/>
      <c r="KA201" s="10"/>
      <c r="KB201" s="10"/>
      <c r="KC201" s="10"/>
      <c r="KD201" s="5"/>
      <c r="KE201" s="6"/>
    </row>
    <row r="202" spans="6:291" x14ac:dyDescent="0.3">
      <c r="F202" s="17"/>
      <c r="G202" s="9"/>
      <c r="H202" s="3"/>
      <c r="I202" s="3"/>
      <c r="J202" s="3"/>
      <c r="K202" s="3"/>
      <c r="L202" s="3"/>
      <c r="M202" s="3"/>
      <c r="N202" s="3"/>
      <c r="O202" s="3"/>
      <c r="P202" s="4"/>
      <c r="Q202" s="5"/>
      <c r="R202" s="5"/>
      <c r="S202" s="5"/>
      <c r="T202" s="6"/>
      <c r="U202" s="5"/>
      <c r="V202" s="6"/>
      <c r="W202" s="7"/>
      <c r="X202" s="8"/>
      <c r="Y202" s="6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6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C202" s="6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  <c r="JC202" s="5"/>
      <c r="JD202" s="5"/>
      <c r="JE202" s="5"/>
      <c r="JF202" s="5"/>
      <c r="JG202" s="5"/>
      <c r="JH202" s="5"/>
      <c r="JI202" s="5"/>
      <c r="JJ202" s="5"/>
      <c r="JK202" s="5"/>
      <c r="JM202" s="19"/>
      <c r="JO202" s="5"/>
      <c r="JP202" s="5"/>
      <c r="JQ202" s="5"/>
      <c r="JR202" s="5"/>
      <c r="JS202" s="6"/>
      <c r="JT202" s="23"/>
      <c r="JU202" s="13"/>
      <c r="JV202" s="6"/>
      <c r="JW202" s="6"/>
      <c r="JX202" s="6"/>
      <c r="JY202" s="6"/>
      <c r="JZ202" s="10"/>
      <c r="KA202" s="10"/>
      <c r="KB202" s="10"/>
      <c r="KC202" s="10"/>
      <c r="KD202" s="5"/>
      <c r="KE202" s="6"/>
    </row>
    <row r="203" spans="6:291" x14ac:dyDescent="0.3">
      <c r="F203" s="17"/>
      <c r="G203" s="9"/>
      <c r="H203" s="3"/>
      <c r="I203" s="3"/>
      <c r="J203" s="3"/>
      <c r="K203" s="3"/>
      <c r="L203" s="3"/>
      <c r="M203" s="3"/>
      <c r="N203" s="3"/>
      <c r="O203" s="3"/>
      <c r="P203" s="4"/>
      <c r="Q203" s="5"/>
      <c r="R203" s="5"/>
      <c r="S203" s="5"/>
      <c r="T203" s="6"/>
      <c r="U203" s="5"/>
      <c r="V203" s="6"/>
      <c r="W203" s="7"/>
      <c r="X203" s="8"/>
      <c r="Y203" s="6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6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C203" s="6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  <c r="JC203" s="5"/>
      <c r="JD203" s="5"/>
      <c r="JE203" s="5"/>
      <c r="JF203" s="5"/>
      <c r="JG203" s="5"/>
      <c r="JH203" s="5"/>
      <c r="JI203" s="5"/>
      <c r="JJ203" s="5"/>
      <c r="JK203" s="5"/>
      <c r="JM203" s="19"/>
      <c r="JO203" s="5"/>
      <c r="JP203" s="5"/>
      <c r="JQ203" s="5"/>
      <c r="JR203" s="5"/>
      <c r="JS203" s="6"/>
      <c r="JT203" s="23"/>
      <c r="JU203" s="13"/>
      <c r="JV203" s="6"/>
      <c r="JW203" s="6"/>
      <c r="JX203" s="6"/>
      <c r="JY203" s="6"/>
      <c r="JZ203" s="10"/>
      <c r="KA203" s="10"/>
      <c r="KB203" s="10"/>
      <c r="KC203" s="10"/>
      <c r="KD203" s="5"/>
      <c r="KE203" s="6"/>
    </row>
    <row r="204" spans="6:291" x14ac:dyDescent="0.3">
      <c r="F204" s="17"/>
      <c r="G204" s="9"/>
      <c r="H204" s="3"/>
      <c r="I204" s="3"/>
      <c r="J204" s="3"/>
      <c r="K204" s="3"/>
      <c r="L204" s="3"/>
      <c r="M204" s="3"/>
      <c r="N204" s="3"/>
      <c r="O204" s="3"/>
      <c r="P204" s="4"/>
      <c r="Q204" s="5"/>
      <c r="R204" s="5"/>
      <c r="S204" s="5"/>
      <c r="T204" s="6"/>
      <c r="U204" s="5"/>
      <c r="V204" s="6"/>
      <c r="W204" s="7"/>
      <c r="X204" s="8"/>
      <c r="Y204" s="6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6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C204" s="6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  <c r="JC204" s="5"/>
      <c r="JD204" s="5"/>
      <c r="JE204" s="5"/>
      <c r="JF204" s="5"/>
      <c r="JG204" s="5"/>
      <c r="JH204" s="5"/>
      <c r="JI204" s="5"/>
      <c r="JJ204" s="5"/>
      <c r="JK204" s="5"/>
      <c r="JM204" s="19"/>
      <c r="JO204" s="5"/>
      <c r="JP204" s="5"/>
      <c r="JQ204" s="5"/>
      <c r="JR204" s="5"/>
      <c r="JS204" s="6"/>
      <c r="JT204" s="23"/>
      <c r="JU204" s="13"/>
      <c r="JV204" s="6"/>
      <c r="JW204" s="6"/>
      <c r="JX204" s="6"/>
      <c r="JY204" s="6"/>
      <c r="JZ204" s="10"/>
      <c r="KA204" s="10"/>
      <c r="KB204" s="10"/>
      <c r="KC204" s="10"/>
      <c r="KD204" s="5"/>
      <c r="KE204" s="6"/>
    </row>
    <row r="205" spans="6:291" x14ac:dyDescent="0.3">
      <c r="F205" s="17"/>
      <c r="G205" s="9"/>
      <c r="H205" s="3"/>
      <c r="I205" s="3"/>
      <c r="J205" s="3"/>
      <c r="K205" s="3"/>
      <c r="L205" s="3"/>
      <c r="M205" s="3"/>
      <c r="N205" s="3"/>
      <c r="O205" s="3"/>
      <c r="P205" s="4"/>
      <c r="Q205" s="5"/>
      <c r="R205" s="5"/>
      <c r="S205" s="5"/>
      <c r="T205" s="6"/>
      <c r="U205" s="5"/>
      <c r="V205" s="6"/>
      <c r="W205" s="7"/>
      <c r="X205" s="8"/>
      <c r="Y205" s="6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6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C205" s="6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  <c r="JC205" s="5"/>
      <c r="JD205" s="5"/>
      <c r="JE205" s="5"/>
      <c r="JF205" s="5"/>
      <c r="JG205" s="5"/>
      <c r="JH205" s="5"/>
      <c r="JI205" s="5"/>
      <c r="JJ205" s="5"/>
      <c r="JK205" s="5"/>
      <c r="JM205" s="19"/>
      <c r="JO205" s="5"/>
      <c r="JP205" s="5"/>
      <c r="JQ205" s="5"/>
      <c r="JR205" s="5"/>
      <c r="JS205" s="6"/>
      <c r="JT205" s="23"/>
      <c r="JU205" s="13"/>
      <c r="JV205" s="6"/>
      <c r="JW205" s="6"/>
      <c r="JX205" s="6"/>
      <c r="JY205" s="6"/>
      <c r="JZ205" s="10"/>
      <c r="KA205" s="10"/>
      <c r="KB205" s="10"/>
      <c r="KC205" s="10"/>
      <c r="KD205" s="5"/>
      <c r="KE205" s="6"/>
    </row>
    <row r="206" spans="6:291" x14ac:dyDescent="0.3">
      <c r="F206" s="17"/>
      <c r="G206" s="9"/>
      <c r="H206" s="3"/>
      <c r="I206" s="3"/>
      <c r="J206" s="3"/>
      <c r="K206" s="3"/>
      <c r="L206" s="3"/>
      <c r="M206" s="3"/>
      <c r="N206" s="3"/>
      <c r="O206" s="3"/>
      <c r="P206" s="4"/>
      <c r="Q206" s="5"/>
      <c r="R206" s="5"/>
      <c r="S206" s="5"/>
      <c r="T206" s="6"/>
      <c r="U206" s="5"/>
      <c r="V206" s="6"/>
      <c r="W206" s="7"/>
      <c r="X206" s="8"/>
      <c r="Y206" s="6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6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C206" s="6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  <c r="JC206" s="5"/>
      <c r="JD206" s="5"/>
      <c r="JE206" s="5"/>
      <c r="JF206" s="5"/>
      <c r="JG206" s="5"/>
      <c r="JH206" s="5"/>
      <c r="JI206" s="5"/>
      <c r="JJ206" s="5"/>
      <c r="JK206" s="5"/>
      <c r="JM206" s="19"/>
      <c r="JO206" s="5"/>
      <c r="JP206" s="5"/>
      <c r="JQ206" s="5"/>
      <c r="JR206" s="5"/>
      <c r="JS206" s="6"/>
      <c r="JT206" s="23"/>
      <c r="JU206" s="13"/>
      <c r="JV206" s="6"/>
      <c r="JW206" s="6"/>
      <c r="JX206" s="6"/>
      <c r="JY206" s="6"/>
      <c r="JZ206" s="10"/>
      <c r="KA206" s="10"/>
      <c r="KB206" s="10"/>
      <c r="KC206" s="10"/>
      <c r="KD206" s="5"/>
      <c r="KE206" s="6"/>
    </row>
    <row r="207" spans="6:291" x14ac:dyDescent="0.3">
      <c r="F207" s="17"/>
      <c r="G207" s="9"/>
      <c r="H207" s="3"/>
      <c r="I207" s="3"/>
      <c r="J207" s="3"/>
      <c r="K207" s="3"/>
      <c r="L207" s="3"/>
      <c r="M207" s="3"/>
      <c r="N207" s="3"/>
      <c r="O207" s="3"/>
      <c r="P207" s="4"/>
      <c r="Q207" s="5"/>
      <c r="R207" s="5"/>
      <c r="S207" s="5"/>
      <c r="T207" s="6"/>
      <c r="U207" s="5"/>
      <c r="V207" s="6"/>
      <c r="W207" s="7"/>
      <c r="X207" s="8"/>
      <c r="Y207" s="6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6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C207" s="6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  <c r="JC207" s="5"/>
      <c r="JD207" s="5"/>
      <c r="JE207" s="5"/>
      <c r="JF207" s="5"/>
      <c r="JG207" s="5"/>
      <c r="JH207" s="5"/>
      <c r="JI207" s="5"/>
      <c r="JJ207" s="5"/>
      <c r="JK207" s="5"/>
      <c r="JM207" s="19"/>
      <c r="JO207" s="5"/>
      <c r="JP207" s="5"/>
      <c r="JQ207" s="5"/>
      <c r="JR207" s="5"/>
      <c r="JS207" s="6"/>
      <c r="JT207" s="23"/>
      <c r="JU207" s="13"/>
      <c r="JV207" s="6"/>
      <c r="JW207" s="6"/>
      <c r="JX207" s="6"/>
      <c r="JY207" s="6"/>
      <c r="JZ207" s="10"/>
      <c r="KA207" s="10"/>
      <c r="KB207" s="10"/>
      <c r="KC207" s="10"/>
      <c r="KD207" s="5"/>
      <c r="KE207" s="6"/>
    </row>
    <row r="208" spans="6:291" x14ac:dyDescent="0.3">
      <c r="F208" s="17"/>
      <c r="G208" s="9"/>
      <c r="H208" s="3"/>
      <c r="I208" s="3"/>
      <c r="J208" s="3"/>
      <c r="K208" s="3"/>
      <c r="L208" s="3"/>
      <c r="M208" s="3"/>
      <c r="N208" s="3"/>
      <c r="O208" s="3"/>
      <c r="P208" s="4"/>
      <c r="Q208" s="5"/>
      <c r="R208" s="5"/>
      <c r="S208" s="5"/>
      <c r="T208" s="6"/>
      <c r="U208" s="5"/>
      <c r="V208" s="6"/>
      <c r="W208" s="7"/>
      <c r="X208" s="8"/>
      <c r="Y208" s="6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6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C208" s="6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  <c r="JC208" s="5"/>
      <c r="JD208" s="5"/>
      <c r="JE208" s="5"/>
      <c r="JF208" s="5"/>
      <c r="JG208" s="5"/>
      <c r="JH208" s="5"/>
      <c r="JI208" s="5"/>
      <c r="JJ208" s="5"/>
      <c r="JK208" s="5"/>
      <c r="JM208" s="19"/>
      <c r="JO208" s="5"/>
      <c r="JP208" s="5"/>
      <c r="JQ208" s="5"/>
      <c r="JR208" s="5"/>
      <c r="JS208" s="6"/>
      <c r="JT208" s="23"/>
      <c r="JU208" s="13"/>
      <c r="JV208" s="6"/>
      <c r="JW208" s="6"/>
      <c r="JX208" s="6"/>
      <c r="JY208" s="6"/>
      <c r="JZ208" s="10"/>
      <c r="KA208" s="10"/>
      <c r="KB208" s="10"/>
      <c r="KC208" s="10"/>
      <c r="KD208" s="5"/>
      <c r="KE208" s="6"/>
    </row>
    <row r="209" spans="6:291" x14ac:dyDescent="0.3">
      <c r="F209" s="17"/>
      <c r="G209" s="9"/>
      <c r="H209" s="3"/>
      <c r="I209" s="3"/>
      <c r="J209" s="3"/>
      <c r="K209" s="3"/>
      <c r="L209" s="3"/>
      <c r="M209" s="3"/>
      <c r="N209" s="3"/>
      <c r="O209" s="3"/>
      <c r="P209" s="4"/>
      <c r="Q209" s="5"/>
      <c r="R209" s="5"/>
      <c r="S209" s="5"/>
      <c r="T209" s="6"/>
      <c r="U209" s="5"/>
      <c r="V209" s="6"/>
      <c r="W209" s="7"/>
      <c r="X209" s="8"/>
      <c r="Y209" s="6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6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C209" s="6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  <c r="JC209" s="5"/>
      <c r="JD209" s="5"/>
      <c r="JE209" s="5"/>
      <c r="JF209" s="5"/>
      <c r="JG209" s="5"/>
      <c r="JH209" s="5"/>
      <c r="JI209" s="5"/>
      <c r="JJ209" s="5"/>
      <c r="JK209" s="5"/>
      <c r="JM209" s="19"/>
      <c r="JO209" s="5"/>
      <c r="JP209" s="5"/>
      <c r="JQ209" s="5"/>
      <c r="JR209" s="5"/>
      <c r="JS209" s="6"/>
      <c r="JT209" s="23"/>
      <c r="JU209" s="13"/>
      <c r="JV209" s="6"/>
      <c r="JW209" s="6"/>
      <c r="JX209" s="6"/>
      <c r="JY209" s="6"/>
      <c r="JZ209" s="10"/>
      <c r="KA209" s="10"/>
      <c r="KB209" s="10"/>
      <c r="KC209" s="10"/>
      <c r="KD209" s="5"/>
      <c r="KE209" s="6"/>
    </row>
    <row r="210" spans="6:291" x14ac:dyDescent="0.3">
      <c r="F210" s="17"/>
      <c r="G210" s="9"/>
      <c r="H210" s="3"/>
      <c r="I210" s="3"/>
      <c r="J210" s="3"/>
      <c r="K210" s="3"/>
      <c r="L210" s="3"/>
      <c r="M210" s="3"/>
      <c r="N210" s="3"/>
      <c r="O210" s="3"/>
      <c r="P210" s="4"/>
      <c r="Q210" s="5"/>
      <c r="R210" s="5"/>
      <c r="S210" s="5"/>
      <c r="T210" s="6"/>
      <c r="U210" s="5"/>
      <c r="V210" s="6"/>
      <c r="W210" s="7"/>
      <c r="X210" s="8"/>
      <c r="Y210" s="6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6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C210" s="6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  <c r="JC210" s="5"/>
      <c r="JD210" s="5"/>
      <c r="JE210" s="5"/>
      <c r="JF210" s="5"/>
      <c r="JG210" s="5"/>
      <c r="JH210" s="5"/>
      <c r="JI210" s="5"/>
      <c r="JJ210" s="5"/>
      <c r="JK210" s="5"/>
      <c r="JM210" s="19"/>
      <c r="JO210" s="5"/>
      <c r="JP210" s="5"/>
      <c r="JQ210" s="5"/>
      <c r="JR210" s="5"/>
      <c r="JS210" s="6"/>
      <c r="JT210" s="23"/>
      <c r="JU210" s="13"/>
      <c r="JV210" s="6"/>
      <c r="JW210" s="6"/>
      <c r="JX210" s="6"/>
      <c r="JY210" s="6"/>
      <c r="JZ210" s="10"/>
      <c r="KA210" s="10"/>
      <c r="KB210" s="10"/>
      <c r="KC210" s="10"/>
      <c r="KD210" s="5"/>
      <c r="KE210" s="6"/>
    </row>
    <row r="211" spans="6:291" x14ac:dyDescent="0.3">
      <c r="F211" s="17"/>
      <c r="G211" s="9"/>
      <c r="H211" s="3"/>
      <c r="I211" s="3"/>
      <c r="J211" s="3"/>
      <c r="K211" s="3"/>
      <c r="L211" s="3"/>
      <c r="M211" s="3"/>
      <c r="N211" s="3"/>
      <c r="O211" s="3"/>
      <c r="P211" s="4"/>
      <c r="Q211" s="5"/>
      <c r="R211" s="5"/>
      <c r="S211" s="5"/>
      <c r="T211" s="6"/>
      <c r="U211" s="5"/>
      <c r="V211" s="6"/>
      <c r="W211" s="7"/>
      <c r="X211" s="8"/>
      <c r="Y211" s="6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6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C211" s="6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  <c r="JC211" s="5"/>
      <c r="JD211" s="5"/>
      <c r="JE211" s="5"/>
      <c r="JF211" s="5"/>
      <c r="JG211" s="5"/>
      <c r="JH211" s="5"/>
      <c r="JI211" s="5"/>
      <c r="JJ211" s="5"/>
      <c r="JK211" s="5"/>
      <c r="JM211" s="19"/>
      <c r="JO211" s="5"/>
      <c r="JP211" s="5"/>
      <c r="JQ211" s="5"/>
      <c r="JR211" s="5"/>
      <c r="JS211" s="6"/>
      <c r="JT211" s="23"/>
      <c r="JU211" s="13"/>
      <c r="JV211" s="6"/>
      <c r="JW211" s="6"/>
      <c r="JX211" s="6"/>
      <c r="JY211" s="6"/>
      <c r="JZ211" s="10"/>
      <c r="KA211" s="10"/>
      <c r="KB211" s="10"/>
      <c r="KC211" s="10"/>
      <c r="KD211" s="5"/>
      <c r="KE211" s="6"/>
    </row>
    <row r="212" spans="6:291" x14ac:dyDescent="0.3">
      <c r="F212" s="17"/>
      <c r="G212" s="9"/>
      <c r="H212" s="3"/>
      <c r="I212" s="3"/>
      <c r="J212" s="3"/>
      <c r="K212" s="3"/>
      <c r="L212" s="3"/>
      <c r="M212" s="3"/>
      <c r="N212" s="3"/>
      <c r="O212" s="3"/>
      <c r="P212" s="4"/>
      <c r="Q212" s="5"/>
      <c r="R212" s="5"/>
      <c r="S212" s="5"/>
      <c r="T212" s="6"/>
      <c r="U212" s="5"/>
      <c r="V212" s="6"/>
      <c r="W212" s="7"/>
      <c r="X212" s="8"/>
      <c r="Y212" s="6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6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C212" s="6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  <c r="JC212" s="5"/>
      <c r="JD212" s="5"/>
      <c r="JE212" s="5"/>
      <c r="JF212" s="5"/>
      <c r="JG212" s="5"/>
      <c r="JH212" s="5"/>
      <c r="JI212" s="5"/>
      <c r="JJ212" s="5"/>
      <c r="JK212" s="5"/>
      <c r="JM212" s="19"/>
      <c r="JO212" s="5"/>
      <c r="JP212" s="5"/>
      <c r="JQ212" s="5"/>
      <c r="JR212" s="5"/>
      <c r="JS212" s="6"/>
      <c r="JT212" s="23"/>
      <c r="JU212" s="13"/>
      <c r="JV212" s="6"/>
      <c r="JW212" s="6"/>
      <c r="JX212" s="6"/>
      <c r="JY212" s="6"/>
      <c r="JZ212" s="10"/>
      <c r="KA212" s="10"/>
      <c r="KB212" s="10"/>
      <c r="KC212" s="10"/>
      <c r="KD212" s="5"/>
      <c r="KE212" s="6"/>
    </row>
    <row r="213" spans="6:291" x14ac:dyDescent="0.3">
      <c r="F213" s="17"/>
      <c r="G213" s="9"/>
      <c r="H213" s="3"/>
      <c r="I213" s="3"/>
      <c r="J213" s="3"/>
      <c r="K213" s="3"/>
      <c r="L213" s="3"/>
      <c r="M213" s="3"/>
      <c r="N213" s="3"/>
      <c r="O213" s="3"/>
      <c r="P213" s="4"/>
      <c r="Q213" s="5"/>
      <c r="R213" s="5"/>
      <c r="S213" s="5"/>
      <c r="T213" s="6"/>
      <c r="U213" s="5"/>
      <c r="V213" s="6"/>
      <c r="W213" s="7"/>
      <c r="X213" s="8"/>
      <c r="Y213" s="6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6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C213" s="6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  <c r="JC213" s="5"/>
      <c r="JD213" s="5"/>
      <c r="JE213" s="5"/>
      <c r="JF213" s="5"/>
      <c r="JG213" s="5"/>
      <c r="JH213" s="5"/>
      <c r="JI213" s="5"/>
      <c r="JJ213" s="5"/>
      <c r="JK213" s="5"/>
      <c r="JM213" s="19"/>
      <c r="JO213" s="5"/>
      <c r="JP213" s="5"/>
      <c r="JQ213" s="5"/>
      <c r="JR213" s="5"/>
      <c r="JS213" s="6"/>
      <c r="JT213" s="23"/>
      <c r="JU213" s="13"/>
      <c r="JV213" s="6"/>
      <c r="JW213" s="6"/>
      <c r="JX213" s="6"/>
      <c r="JY213" s="6"/>
      <c r="JZ213" s="10"/>
      <c r="KA213" s="10"/>
      <c r="KB213" s="10"/>
      <c r="KC213" s="10"/>
      <c r="KD213" s="5"/>
      <c r="KE213" s="6"/>
    </row>
    <row r="214" spans="6:291" x14ac:dyDescent="0.3">
      <c r="F214" s="17"/>
      <c r="G214" s="9"/>
      <c r="H214" s="3"/>
      <c r="I214" s="3"/>
      <c r="J214" s="3"/>
      <c r="K214" s="3"/>
      <c r="L214" s="3"/>
      <c r="M214" s="3"/>
      <c r="N214" s="3"/>
      <c r="O214" s="3"/>
      <c r="P214" s="4"/>
      <c r="Q214" s="5"/>
      <c r="R214" s="5"/>
      <c r="S214" s="5"/>
      <c r="T214" s="6"/>
      <c r="U214" s="5"/>
      <c r="V214" s="6"/>
      <c r="W214" s="7"/>
      <c r="X214" s="8"/>
      <c r="Y214" s="6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6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C214" s="6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  <c r="JC214" s="5"/>
      <c r="JD214" s="5"/>
      <c r="JE214" s="5"/>
      <c r="JF214" s="5"/>
      <c r="JG214" s="5"/>
      <c r="JH214" s="5"/>
      <c r="JI214" s="5"/>
      <c r="JJ214" s="5"/>
      <c r="JK214" s="5"/>
      <c r="JM214" s="19"/>
      <c r="JO214" s="5"/>
      <c r="JP214" s="5"/>
      <c r="JQ214" s="5"/>
      <c r="JR214" s="5"/>
      <c r="JS214" s="6"/>
      <c r="JT214" s="23"/>
      <c r="JU214" s="13"/>
      <c r="JV214" s="6"/>
      <c r="JW214" s="6"/>
      <c r="JX214" s="6"/>
      <c r="JY214" s="6"/>
      <c r="JZ214" s="10"/>
      <c r="KA214" s="10"/>
      <c r="KB214" s="10"/>
      <c r="KC214" s="10"/>
      <c r="KD214" s="5"/>
      <c r="KE214" s="6"/>
    </row>
    <row r="215" spans="6:291" x14ac:dyDescent="0.3">
      <c r="F215" s="17"/>
      <c r="G215" s="9"/>
      <c r="H215" s="3"/>
      <c r="I215" s="3"/>
      <c r="J215" s="3"/>
      <c r="K215" s="3"/>
      <c r="L215" s="3"/>
      <c r="M215" s="3"/>
      <c r="N215" s="3"/>
      <c r="O215" s="3"/>
      <c r="P215" s="4"/>
      <c r="Q215" s="5"/>
      <c r="R215" s="5"/>
      <c r="S215" s="5"/>
      <c r="T215" s="6"/>
      <c r="U215" s="5"/>
      <c r="V215" s="6"/>
      <c r="W215" s="7"/>
      <c r="X215" s="8"/>
      <c r="Y215" s="6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6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C215" s="6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  <c r="JC215" s="5"/>
      <c r="JD215" s="5"/>
      <c r="JE215" s="5"/>
      <c r="JF215" s="5"/>
      <c r="JG215" s="5"/>
      <c r="JH215" s="5"/>
      <c r="JI215" s="5"/>
      <c r="JJ215" s="5"/>
      <c r="JK215" s="5"/>
      <c r="JM215" s="19"/>
      <c r="JO215" s="5"/>
      <c r="JP215" s="5"/>
      <c r="JQ215" s="5"/>
      <c r="JR215" s="5"/>
      <c r="JS215" s="6"/>
      <c r="JT215" s="23"/>
      <c r="JU215" s="13"/>
      <c r="JV215" s="6"/>
      <c r="JW215" s="6"/>
      <c r="JX215" s="6"/>
      <c r="JY215" s="6"/>
      <c r="JZ215" s="10"/>
      <c r="KA215" s="10"/>
      <c r="KB215" s="10"/>
      <c r="KC215" s="10"/>
      <c r="KD215" s="5"/>
      <c r="KE215" s="6"/>
    </row>
    <row r="216" spans="6:291" x14ac:dyDescent="0.3">
      <c r="F216" s="17"/>
      <c r="G216" s="9"/>
      <c r="H216" s="3"/>
      <c r="I216" s="3"/>
      <c r="J216" s="3"/>
      <c r="K216" s="3"/>
      <c r="L216" s="3"/>
      <c r="M216" s="3"/>
      <c r="N216" s="3"/>
      <c r="O216" s="3"/>
      <c r="P216" s="4"/>
      <c r="Q216" s="5"/>
      <c r="R216" s="5"/>
      <c r="S216" s="5"/>
      <c r="T216" s="6"/>
      <c r="U216" s="5"/>
      <c r="V216" s="6"/>
      <c r="W216" s="7"/>
      <c r="X216" s="8"/>
      <c r="Y216" s="6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6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C216" s="6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  <c r="JC216" s="5"/>
      <c r="JD216" s="5"/>
      <c r="JE216" s="5"/>
      <c r="JF216" s="5"/>
      <c r="JG216" s="5"/>
      <c r="JH216" s="5"/>
      <c r="JI216" s="5"/>
      <c r="JJ216" s="5"/>
      <c r="JK216" s="5"/>
      <c r="JM216" s="19"/>
      <c r="JO216" s="5"/>
      <c r="JP216" s="5"/>
      <c r="JQ216" s="5"/>
      <c r="JR216" s="5"/>
      <c r="JS216" s="6"/>
      <c r="JT216" s="23"/>
      <c r="JU216" s="13"/>
      <c r="JV216" s="6"/>
      <c r="JW216" s="6"/>
      <c r="JX216" s="6"/>
      <c r="JY216" s="6"/>
      <c r="JZ216" s="10"/>
      <c r="KA216" s="10"/>
      <c r="KB216" s="10"/>
      <c r="KC216" s="10"/>
      <c r="KD216" s="5"/>
      <c r="KE216" s="6"/>
    </row>
    <row r="217" spans="6:291" x14ac:dyDescent="0.3">
      <c r="F217" s="17"/>
      <c r="G217" s="9"/>
      <c r="H217" s="3"/>
      <c r="I217" s="3"/>
      <c r="J217" s="3"/>
      <c r="K217" s="3"/>
      <c r="L217" s="3"/>
      <c r="M217" s="3"/>
      <c r="N217" s="3"/>
      <c r="O217" s="3"/>
      <c r="P217" s="4"/>
      <c r="Q217" s="5"/>
      <c r="R217" s="5"/>
      <c r="S217" s="5"/>
      <c r="T217" s="6"/>
      <c r="U217" s="5"/>
      <c r="V217" s="6"/>
      <c r="W217" s="7"/>
      <c r="X217" s="8"/>
      <c r="Y217" s="6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6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C217" s="6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  <c r="JC217" s="5"/>
      <c r="JD217" s="5"/>
      <c r="JE217" s="5"/>
      <c r="JF217" s="5"/>
      <c r="JG217" s="5"/>
      <c r="JH217" s="5"/>
      <c r="JI217" s="5"/>
      <c r="JJ217" s="5"/>
      <c r="JK217" s="5"/>
      <c r="JM217" s="19"/>
      <c r="JO217" s="5"/>
      <c r="JP217" s="5"/>
      <c r="JQ217" s="5"/>
      <c r="JR217" s="5"/>
      <c r="JS217" s="6"/>
      <c r="JT217" s="23"/>
      <c r="JU217" s="13"/>
      <c r="JV217" s="6"/>
      <c r="JW217" s="6"/>
      <c r="JX217" s="6"/>
      <c r="JY217" s="6"/>
      <c r="JZ217" s="10"/>
      <c r="KA217" s="10"/>
      <c r="KB217" s="10"/>
      <c r="KC217" s="10"/>
      <c r="KD217" s="5"/>
      <c r="KE217" s="6"/>
    </row>
    <row r="218" spans="6:291" x14ac:dyDescent="0.3">
      <c r="F218" s="17"/>
      <c r="G218" s="9"/>
      <c r="H218" s="3"/>
      <c r="I218" s="3"/>
      <c r="J218" s="3"/>
      <c r="K218" s="3"/>
      <c r="L218" s="3"/>
      <c r="M218" s="3"/>
      <c r="N218" s="3"/>
      <c r="O218" s="3"/>
      <c r="P218" s="4"/>
      <c r="Q218" s="5"/>
      <c r="R218" s="5"/>
      <c r="S218" s="5"/>
      <c r="T218" s="6"/>
      <c r="U218" s="5"/>
      <c r="V218" s="6"/>
      <c r="W218" s="7"/>
      <c r="X218" s="8"/>
      <c r="Y218" s="6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6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C218" s="6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  <c r="JC218" s="5"/>
      <c r="JD218" s="5"/>
      <c r="JE218" s="5"/>
      <c r="JF218" s="5"/>
      <c r="JG218" s="5"/>
      <c r="JH218" s="5"/>
      <c r="JI218" s="5"/>
      <c r="JJ218" s="5"/>
      <c r="JK218" s="5"/>
      <c r="JM218" s="19"/>
      <c r="JO218" s="5"/>
      <c r="JP218" s="5"/>
      <c r="JQ218" s="5"/>
      <c r="JR218" s="5"/>
      <c r="JS218" s="6"/>
      <c r="JT218" s="23"/>
      <c r="JU218" s="13"/>
      <c r="JV218" s="6"/>
      <c r="JW218" s="6"/>
      <c r="JX218" s="6"/>
      <c r="JY218" s="6"/>
      <c r="JZ218" s="10"/>
      <c r="KA218" s="10"/>
      <c r="KB218" s="10"/>
      <c r="KC218" s="10"/>
      <c r="KD218" s="5"/>
      <c r="KE218" s="6"/>
    </row>
    <row r="219" spans="6:291" x14ac:dyDescent="0.3">
      <c r="F219" s="17"/>
      <c r="G219" s="9"/>
      <c r="H219" s="3"/>
      <c r="I219" s="3"/>
      <c r="J219" s="3"/>
      <c r="K219" s="3"/>
      <c r="L219" s="3"/>
      <c r="M219" s="3"/>
      <c r="N219" s="3"/>
      <c r="O219" s="3"/>
      <c r="P219" s="4"/>
      <c r="Q219" s="5"/>
      <c r="R219" s="5"/>
      <c r="S219" s="5"/>
      <c r="T219" s="6"/>
      <c r="U219" s="5"/>
      <c r="V219" s="6"/>
      <c r="W219" s="7"/>
      <c r="X219" s="8"/>
      <c r="Y219" s="6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6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C219" s="6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  <c r="JC219" s="5"/>
      <c r="JD219" s="5"/>
      <c r="JE219" s="5"/>
      <c r="JF219" s="5"/>
      <c r="JG219" s="5"/>
      <c r="JH219" s="5"/>
      <c r="JI219" s="5"/>
      <c r="JJ219" s="5"/>
      <c r="JK219" s="5"/>
      <c r="JM219" s="19"/>
      <c r="JO219" s="5"/>
      <c r="JP219" s="5"/>
      <c r="JQ219" s="5"/>
      <c r="JR219" s="5"/>
      <c r="JS219" s="6"/>
      <c r="JT219" s="23"/>
      <c r="JU219" s="13"/>
      <c r="JV219" s="6"/>
      <c r="JW219" s="6"/>
      <c r="JX219" s="6"/>
      <c r="JY219" s="6"/>
      <c r="JZ219" s="10"/>
      <c r="KA219" s="10"/>
      <c r="KB219" s="10"/>
      <c r="KC219" s="10"/>
      <c r="KD219" s="5"/>
      <c r="KE219" s="6"/>
    </row>
    <row r="220" spans="6:291" x14ac:dyDescent="0.3">
      <c r="F220" s="17"/>
      <c r="G220" s="9"/>
      <c r="H220" s="3"/>
      <c r="I220" s="3"/>
      <c r="J220" s="3"/>
      <c r="K220" s="3"/>
      <c r="L220" s="3"/>
      <c r="M220" s="3"/>
      <c r="N220" s="3"/>
      <c r="O220" s="3"/>
      <c r="P220" s="4"/>
      <c r="Q220" s="5"/>
      <c r="R220" s="5"/>
      <c r="S220" s="5"/>
      <c r="T220" s="6"/>
      <c r="U220" s="5"/>
      <c r="V220" s="6"/>
      <c r="W220" s="7"/>
      <c r="X220" s="8"/>
      <c r="Y220" s="6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6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C220" s="6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  <c r="JC220" s="5"/>
      <c r="JD220" s="5"/>
      <c r="JE220" s="5"/>
      <c r="JF220" s="5"/>
      <c r="JG220" s="5"/>
      <c r="JH220" s="5"/>
      <c r="JI220" s="5"/>
      <c r="JJ220" s="5"/>
      <c r="JK220" s="5"/>
      <c r="JM220" s="19"/>
      <c r="JO220" s="5"/>
      <c r="JP220" s="5"/>
      <c r="JQ220" s="5"/>
      <c r="JR220" s="5"/>
      <c r="JS220" s="6"/>
      <c r="JT220" s="23"/>
      <c r="JU220" s="13"/>
      <c r="JV220" s="6"/>
      <c r="JW220" s="6"/>
      <c r="JX220" s="6"/>
      <c r="JY220" s="6"/>
      <c r="JZ220" s="10"/>
      <c r="KA220" s="10"/>
      <c r="KB220" s="10"/>
      <c r="KC220" s="10"/>
      <c r="KD220" s="5"/>
      <c r="KE220" s="6"/>
    </row>
    <row r="221" spans="6:291" x14ac:dyDescent="0.3">
      <c r="F221" s="17"/>
      <c r="G221" s="9"/>
      <c r="H221" s="3"/>
      <c r="I221" s="3"/>
      <c r="J221" s="3"/>
      <c r="K221" s="3"/>
      <c r="L221" s="3"/>
      <c r="M221" s="3"/>
      <c r="N221" s="3"/>
      <c r="O221" s="3"/>
      <c r="P221" s="4"/>
      <c r="Q221" s="5"/>
      <c r="R221" s="5"/>
      <c r="S221" s="5"/>
      <c r="T221" s="6"/>
      <c r="U221" s="5"/>
      <c r="V221" s="6"/>
      <c r="W221" s="7"/>
      <c r="X221" s="8"/>
      <c r="Y221" s="6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6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C221" s="6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  <c r="JC221" s="5"/>
      <c r="JD221" s="5"/>
      <c r="JE221" s="5"/>
      <c r="JF221" s="5"/>
      <c r="JG221" s="5"/>
      <c r="JH221" s="5"/>
      <c r="JI221" s="5"/>
      <c r="JJ221" s="5"/>
      <c r="JK221" s="5"/>
      <c r="JM221" s="19"/>
      <c r="JO221" s="5"/>
      <c r="JP221" s="5"/>
      <c r="JQ221" s="5"/>
      <c r="JR221" s="5"/>
      <c r="JS221" s="6"/>
      <c r="JT221" s="23"/>
      <c r="JU221" s="13"/>
      <c r="JV221" s="6"/>
      <c r="JW221" s="6"/>
      <c r="JX221" s="6"/>
      <c r="JY221" s="6"/>
      <c r="JZ221" s="10"/>
      <c r="KA221" s="10"/>
      <c r="KB221" s="10"/>
      <c r="KC221" s="10"/>
      <c r="KD221" s="5"/>
      <c r="KE221" s="6"/>
    </row>
    <row r="222" spans="6:291" x14ac:dyDescent="0.3">
      <c r="F222" s="17"/>
      <c r="G222" s="9"/>
      <c r="H222" s="3"/>
      <c r="I222" s="3"/>
      <c r="J222" s="3"/>
      <c r="K222" s="3"/>
      <c r="L222" s="3"/>
      <c r="M222" s="3"/>
      <c r="N222" s="3"/>
      <c r="O222" s="3"/>
      <c r="P222" s="4"/>
      <c r="Q222" s="5"/>
      <c r="R222" s="5"/>
      <c r="S222" s="5"/>
      <c r="T222" s="6"/>
      <c r="U222" s="5"/>
      <c r="V222" s="6"/>
      <c r="W222" s="7"/>
      <c r="X222" s="8"/>
      <c r="Y222" s="6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6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C222" s="6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  <c r="JC222" s="5"/>
      <c r="JD222" s="5"/>
      <c r="JE222" s="5"/>
      <c r="JF222" s="5"/>
      <c r="JG222" s="5"/>
      <c r="JH222" s="5"/>
      <c r="JI222" s="5"/>
      <c r="JJ222" s="5"/>
      <c r="JK222" s="5"/>
      <c r="JM222" s="19"/>
      <c r="JO222" s="5"/>
      <c r="JP222" s="5"/>
      <c r="JQ222" s="5"/>
      <c r="JR222" s="5"/>
      <c r="JS222" s="6"/>
      <c r="JT222" s="23"/>
      <c r="JU222" s="13"/>
      <c r="JV222" s="6"/>
      <c r="JW222" s="6"/>
      <c r="JX222" s="6"/>
      <c r="JY222" s="6"/>
      <c r="JZ222" s="10"/>
      <c r="KA222" s="10"/>
      <c r="KB222" s="10"/>
      <c r="KC222" s="10"/>
      <c r="KD222" s="5"/>
      <c r="KE222" s="6"/>
    </row>
    <row r="223" spans="6:291" x14ac:dyDescent="0.3">
      <c r="F223" s="17"/>
      <c r="G223" s="9"/>
      <c r="H223" s="3"/>
      <c r="I223" s="3"/>
      <c r="J223" s="3"/>
      <c r="K223" s="3"/>
      <c r="L223" s="3"/>
      <c r="M223" s="3"/>
      <c r="N223" s="3"/>
      <c r="O223" s="3"/>
      <c r="P223" s="4"/>
      <c r="Q223" s="5"/>
      <c r="R223" s="5"/>
      <c r="S223" s="5"/>
      <c r="T223" s="6"/>
      <c r="U223" s="5"/>
      <c r="V223" s="6"/>
      <c r="W223" s="7"/>
      <c r="X223" s="8"/>
      <c r="Y223" s="6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6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C223" s="6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  <c r="JC223" s="5"/>
      <c r="JD223" s="5"/>
      <c r="JE223" s="5"/>
      <c r="JF223" s="5"/>
      <c r="JG223" s="5"/>
      <c r="JH223" s="5"/>
      <c r="JI223" s="5"/>
      <c r="JJ223" s="5"/>
      <c r="JK223" s="5"/>
      <c r="JM223" s="19"/>
      <c r="JO223" s="5"/>
      <c r="JP223" s="5"/>
      <c r="JQ223" s="5"/>
      <c r="JR223" s="5"/>
      <c r="JS223" s="6"/>
      <c r="JT223" s="23"/>
      <c r="JU223" s="13"/>
      <c r="JV223" s="6"/>
      <c r="JW223" s="6"/>
      <c r="JX223" s="6"/>
      <c r="JY223" s="6"/>
      <c r="JZ223" s="10"/>
      <c r="KA223" s="10"/>
      <c r="KB223" s="10"/>
      <c r="KC223" s="10"/>
      <c r="KD223" s="5"/>
      <c r="KE223" s="6"/>
    </row>
    <row r="224" spans="6:291" x14ac:dyDescent="0.3">
      <c r="F224" s="17"/>
      <c r="G224" s="9"/>
      <c r="H224" s="3"/>
      <c r="I224" s="3"/>
      <c r="J224" s="3"/>
      <c r="K224" s="3"/>
      <c r="L224" s="3"/>
      <c r="M224" s="3"/>
      <c r="N224" s="3"/>
      <c r="O224" s="3"/>
      <c r="P224" s="4"/>
      <c r="Q224" s="5"/>
      <c r="R224" s="5"/>
      <c r="S224" s="5"/>
      <c r="T224" s="6"/>
      <c r="U224" s="5"/>
      <c r="V224" s="6"/>
      <c r="W224" s="7"/>
      <c r="X224" s="8"/>
      <c r="Y224" s="6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6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C224" s="6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  <c r="JC224" s="5"/>
      <c r="JD224" s="5"/>
      <c r="JE224" s="5"/>
      <c r="JF224" s="5"/>
      <c r="JG224" s="5"/>
      <c r="JH224" s="5"/>
      <c r="JI224" s="5"/>
      <c r="JJ224" s="5"/>
      <c r="JK224" s="5"/>
      <c r="JM224" s="19"/>
      <c r="JO224" s="5"/>
      <c r="JP224" s="5"/>
      <c r="JQ224" s="5"/>
      <c r="JR224" s="5"/>
      <c r="JS224" s="6"/>
      <c r="JT224" s="23"/>
      <c r="JU224" s="13"/>
      <c r="JV224" s="6"/>
      <c r="JW224" s="6"/>
      <c r="JX224" s="6"/>
      <c r="JY224" s="6"/>
      <c r="JZ224" s="10"/>
      <c r="KA224" s="10"/>
      <c r="KB224" s="10"/>
      <c r="KC224" s="10"/>
      <c r="KD224" s="5"/>
      <c r="KE224" s="6"/>
    </row>
    <row r="225" spans="6:291" x14ac:dyDescent="0.3">
      <c r="F225" s="17"/>
      <c r="G225" s="9"/>
      <c r="H225" s="3"/>
      <c r="I225" s="3"/>
      <c r="J225" s="3"/>
      <c r="K225" s="3"/>
      <c r="L225" s="3"/>
      <c r="M225" s="3"/>
      <c r="N225" s="3"/>
      <c r="O225" s="3"/>
      <c r="P225" s="4"/>
      <c r="Q225" s="5"/>
      <c r="R225" s="5"/>
      <c r="S225" s="5"/>
      <c r="T225" s="6"/>
      <c r="U225" s="5"/>
      <c r="V225" s="6"/>
      <c r="W225" s="7"/>
      <c r="X225" s="8"/>
      <c r="Y225" s="6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6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C225" s="6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  <c r="JC225" s="5"/>
      <c r="JD225" s="5"/>
      <c r="JE225" s="5"/>
      <c r="JF225" s="5"/>
      <c r="JG225" s="5"/>
      <c r="JH225" s="5"/>
      <c r="JI225" s="5"/>
      <c r="JJ225" s="5"/>
      <c r="JK225" s="5"/>
      <c r="JM225" s="19"/>
      <c r="JO225" s="5"/>
      <c r="JP225" s="5"/>
      <c r="JQ225" s="5"/>
      <c r="JR225" s="5"/>
      <c r="JS225" s="6"/>
      <c r="JT225" s="23"/>
      <c r="JU225" s="13"/>
      <c r="JV225" s="6"/>
      <c r="JW225" s="6"/>
      <c r="JX225" s="6"/>
      <c r="JY225" s="6"/>
      <c r="JZ225" s="10"/>
      <c r="KA225" s="10"/>
      <c r="KB225" s="10"/>
      <c r="KC225" s="10"/>
      <c r="KD225" s="5"/>
      <c r="KE225" s="6"/>
    </row>
    <row r="226" spans="6:291" x14ac:dyDescent="0.3">
      <c r="F226" s="17"/>
      <c r="G226" s="9"/>
      <c r="H226" s="3"/>
      <c r="I226" s="3"/>
      <c r="J226" s="3"/>
      <c r="K226" s="3"/>
      <c r="L226" s="3"/>
      <c r="M226" s="3"/>
      <c r="N226" s="3"/>
      <c r="O226" s="3"/>
      <c r="P226" s="4"/>
      <c r="Q226" s="5"/>
      <c r="R226" s="5"/>
      <c r="S226" s="5"/>
      <c r="T226" s="6"/>
      <c r="U226" s="5"/>
      <c r="V226" s="6"/>
      <c r="W226" s="7"/>
      <c r="X226" s="8"/>
      <c r="Y226" s="6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6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C226" s="6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  <c r="JC226" s="5"/>
      <c r="JD226" s="5"/>
      <c r="JE226" s="5"/>
      <c r="JF226" s="5"/>
      <c r="JG226" s="5"/>
      <c r="JH226" s="5"/>
      <c r="JI226" s="5"/>
      <c r="JJ226" s="5"/>
      <c r="JK226" s="5"/>
      <c r="JM226" s="19"/>
      <c r="JO226" s="5"/>
      <c r="JP226" s="5"/>
      <c r="JQ226" s="5"/>
      <c r="JR226" s="5"/>
      <c r="JS226" s="6"/>
      <c r="JT226" s="23"/>
      <c r="JU226" s="13"/>
      <c r="JV226" s="6"/>
      <c r="JW226" s="6"/>
      <c r="JX226" s="6"/>
      <c r="JY226" s="6"/>
      <c r="JZ226" s="10"/>
      <c r="KA226" s="10"/>
      <c r="KB226" s="10"/>
      <c r="KC226" s="10"/>
      <c r="KD226" s="5"/>
      <c r="KE226" s="6"/>
    </row>
    <row r="227" spans="6:291" x14ac:dyDescent="0.3">
      <c r="F227" s="17"/>
      <c r="G227" s="9"/>
      <c r="H227" s="3"/>
      <c r="I227" s="3"/>
      <c r="J227" s="3"/>
      <c r="K227" s="3"/>
      <c r="L227" s="3"/>
      <c r="M227" s="3"/>
      <c r="N227" s="3"/>
      <c r="O227" s="3"/>
      <c r="P227" s="4"/>
      <c r="Q227" s="5"/>
      <c r="R227" s="5"/>
      <c r="S227" s="5"/>
      <c r="T227" s="6"/>
      <c r="U227" s="5"/>
      <c r="V227" s="6"/>
      <c r="W227" s="7"/>
      <c r="X227" s="8"/>
      <c r="Y227" s="6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6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C227" s="6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  <c r="JC227" s="5"/>
      <c r="JD227" s="5"/>
      <c r="JE227" s="5"/>
      <c r="JF227" s="5"/>
      <c r="JG227" s="5"/>
      <c r="JH227" s="5"/>
      <c r="JI227" s="5"/>
      <c r="JJ227" s="5"/>
      <c r="JK227" s="5"/>
      <c r="JM227" s="19"/>
      <c r="JO227" s="5"/>
      <c r="JP227" s="5"/>
      <c r="JQ227" s="5"/>
      <c r="JR227" s="5"/>
      <c r="JS227" s="6"/>
      <c r="JT227" s="23"/>
      <c r="JU227" s="13"/>
      <c r="JV227" s="6"/>
      <c r="JW227" s="6"/>
      <c r="JX227" s="6"/>
      <c r="JY227" s="6"/>
      <c r="JZ227" s="10"/>
      <c r="KA227" s="10"/>
      <c r="KB227" s="10"/>
      <c r="KC227" s="10"/>
      <c r="KD227" s="5"/>
      <c r="KE227" s="6"/>
    </row>
    <row r="228" spans="6:291" x14ac:dyDescent="0.3">
      <c r="F228" s="17"/>
      <c r="G228" s="9"/>
      <c r="H228" s="3"/>
      <c r="I228" s="3"/>
      <c r="J228" s="3"/>
      <c r="K228" s="3"/>
      <c r="L228" s="3"/>
      <c r="M228" s="3"/>
      <c r="N228" s="3"/>
      <c r="O228" s="3"/>
      <c r="P228" s="4"/>
      <c r="Q228" s="5"/>
      <c r="R228" s="5"/>
      <c r="S228" s="5"/>
      <c r="T228" s="6"/>
      <c r="U228" s="5"/>
      <c r="V228" s="6"/>
      <c r="W228" s="7"/>
      <c r="X228" s="8"/>
      <c r="Y228" s="6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6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C228" s="6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  <c r="JC228" s="5"/>
      <c r="JD228" s="5"/>
      <c r="JE228" s="5"/>
      <c r="JF228" s="5"/>
      <c r="JG228" s="5"/>
      <c r="JH228" s="5"/>
      <c r="JI228" s="5"/>
      <c r="JJ228" s="5"/>
      <c r="JK228" s="5"/>
      <c r="JM228" s="19"/>
      <c r="JO228" s="5"/>
      <c r="JP228" s="5"/>
      <c r="JQ228" s="5"/>
      <c r="JR228" s="5"/>
      <c r="JS228" s="6"/>
      <c r="JT228" s="23"/>
      <c r="JU228" s="13"/>
      <c r="JV228" s="6"/>
      <c r="JW228" s="6"/>
      <c r="JX228" s="6"/>
      <c r="JY228" s="6"/>
      <c r="JZ228" s="10"/>
      <c r="KA228" s="10"/>
      <c r="KB228" s="10"/>
      <c r="KC228" s="10"/>
      <c r="KD228" s="5"/>
      <c r="KE228" s="6"/>
    </row>
    <row r="229" spans="6:291" x14ac:dyDescent="0.3">
      <c r="F229" s="17"/>
      <c r="G229" s="9"/>
      <c r="H229" s="3"/>
      <c r="I229" s="3"/>
      <c r="J229" s="3"/>
      <c r="K229" s="3"/>
      <c r="L229" s="3"/>
      <c r="M229" s="3"/>
      <c r="N229" s="3"/>
      <c r="O229" s="3"/>
      <c r="P229" s="4"/>
      <c r="Q229" s="5"/>
      <c r="R229" s="5"/>
      <c r="S229" s="5"/>
      <c r="T229" s="6"/>
      <c r="U229" s="5"/>
      <c r="V229" s="6"/>
      <c r="W229" s="7"/>
      <c r="X229" s="8"/>
      <c r="Y229" s="6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6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C229" s="6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  <c r="JC229" s="5"/>
      <c r="JD229" s="5"/>
      <c r="JE229" s="5"/>
      <c r="JF229" s="5"/>
      <c r="JG229" s="5"/>
      <c r="JH229" s="5"/>
      <c r="JI229" s="5"/>
      <c r="JJ229" s="5"/>
      <c r="JK229" s="5"/>
      <c r="JM229" s="19"/>
      <c r="JO229" s="5"/>
      <c r="JP229" s="5"/>
      <c r="JQ229" s="5"/>
      <c r="JR229" s="5"/>
      <c r="JS229" s="6"/>
      <c r="JT229" s="23"/>
      <c r="JU229" s="13"/>
      <c r="JV229" s="6"/>
      <c r="JW229" s="6"/>
      <c r="JX229" s="6"/>
      <c r="JY229" s="6"/>
      <c r="JZ229" s="10"/>
      <c r="KA229" s="10"/>
      <c r="KB229" s="10"/>
      <c r="KC229" s="10"/>
      <c r="KD229" s="5"/>
      <c r="KE229" s="6"/>
    </row>
    <row r="230" spans="6:291" x14ac:dyDescent="0.3">
      <c r="F230" s="17"/>
      <c r="G230" s="9"/>
      <c r="H230" s="3"/>
      <c r="I230" s="3"/>
      <c r="J230" s="3"/>
      <c r="K230" s="3"/>
      <c r="L230" s="3"/>
      <c r="M230" s="3"/>
      <c r="N230" s="3"/>
      <c r="O230" s="3"/>
      <c r="P230" s="4"/>
      <c r="Q230" s="5"/>
      <c r="R230" s="5"/>
      <c r="S230" s="5"/>
      <c r="T230" s="6"/>
      <c r="U230" s="5"/>
      <c r="V230" s="6"/>
      <c r="W230" s="7"/>
      <c r="X230" s="8"/>
      <c r="Y230" s="6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6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C230" s="6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  <c r="JC230" s="5"/>
      <c r="JD230" s="5"/>
      <c r="JE230" s="5"/>
      <c r="JF230" s="5"/>
      <c r="JG230" s="5"/>
      <c r="JH230" s="5"/>
      <c r="JI230" s="5"/>
      <c r="JJ230" s="5"/>
      <c r="JK230" s="5"/>
      <c r="JM230" s="19"/>
      <c r="JO230" s="5"/>
      <c r="JP230" s="5"/>
      <c r="JQ230" s="5"/>
      <c r="JR230" s="5"/>
      <c r="JS230" s="6"/>
      <c r="JT230" s="23"/>
      <c r="JU230" s="13"/>
      <c r="JV230" s="6"/>
      <c r="JW230" s="6"/>
      <c r="JX230" s="6"/>
      <c r="JY230" s="6"/>
      <c r="JZ230" s="10"/>
      <c r="KA230" s="10"/>
      <c r="KB230" s="10"/>
      <c r="KC230" s="10"/>
      <c r="KD230" s="5"/>
      <c r="KE230" s="6"/>
    </row>
    <row r="231" spans="6:291" x14ac:dyDescent="0.3">
      <c r="F231" s="17"/>
      <c r="G231" s="9"/>
      <c r="H231" s="3"/>
      <c r="I231" s="3"/>
      <c r="J231" s="3"/>
      <c r="K231" s="3"/>
      <c r="L231" s="3"/>
      <c r="M231" s="3"/>
      <c r="N231" s="3"/>
      <c r="O231" s="3"/>
      <c r="P231" s="4"/>
      <c r="Q231" s="5"/>
      <c r="R231" s="5"/>
      <c r="S231" s="5"/>
      <c r="T231" s="6"/>
      <c r="U231" s="5"/>
      <c r="V231" s="6"/>
      <c r="W231" s="7"/>
      <c r="X231" s="8"/>
      <c r="Y231" s="6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6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C231" s="6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  <c r="JC231" s="5"/>
      <c r="JD231" s="5"/>
      <c r="JE231" s="5"/>
      <c r="JF231" s="5"/>
      <c r="JG231" s="5"/>
      <c r="JH231" s="5"/>
      <c r="JI231" s="5"/>
      <c r="JJ231" s="5"/>
      <c r="JK231" s="5"/>
      <c r="JM231" s="19"/>
      <c r="JO231" s="5"/>
      <c r="JP231" s="5"/>
      <c r="JQ231" s="5"/>
      <c r="JR231" s="5"/>
      <c r="JS231" s="6"/>
      <c r="JT231" s="23"/>
      <c r="JU231" s="13"/>
      <c r="JV231" s="6"/>
      <c r="JW231" s="6"/>
      <c r="JX231" s="6"/>
      <c r="JY231" s="6"/>
      <c r="JZ231" s="10"/>
      <c r="KA231" s="10"/>
      <c r="KB231" s="10"/>
      <c r="KC231" s="10"/>
      <c r="KD231" s="5"/>
      <c r="KE231" s="6"/>
    </row>
    <row r="232" spans="6:291" x14ac:dyDescent="0.3">
      <c r="F232" s="17"/>
      <c r="G232" s="9"/>
      <c r="H232" s="3"/>
      <c r="I232" s="3"/>
      <c r="J232" s="3"/>
      <c r="K232" s="3"/>
      <c r="L232" s="3"/>
      <c r="M232" s="3"/>
      <c r="N232" s="3"/>
      <c r="O232" s="3"/>
      <c r="P232" s="4"/>
      <c r="Q232" s="5"/>
      <c r="R232" s="5"/>
      <c r="S232" s="5"/>
      <c r="T232" s="6"/>
      <c r="U232" s="5"/>
      <c r="V232" s="6"/>
      <c r="W232" s="7"/>
      <c r="X232" s="8"/>
      <c r="Y232" s="6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6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C232" s="6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  <c r="JC232" s="5"/>
      <c r="JD232" s="5"/>
      <c r="JE232" s="5"/>
      <c r="JF232" s="5"/>
      <c r="JG232" s="5"/>
      <c r="JH232" s="5"/>
      <c r="JI232" s="5"/>
      <c r="JJ232" s="5"/>
      <c r="JK232" s="5"/>
      <c r="JM232" s="19"/>
      <c r="JO232" s="5"/>
      <c r="JP232" s="5"/>
      <c r="JQ232" s="5"/>
      <c r="JR232" s="5"/>
      <c r="JS232" s="6"/>
      <c r="JT232" s="23"/>
      <c r="JU232" s="13"/>
      <c r="JV232" s="6"/>
      <c r="JW232" s="6"/>
      <c r="JX232" s="6"/>
      <c r="JY232" s="6"/>
      <c r="JZ232" s="10"/>
      <c r="KA232" s="10"/>
      <c r="KB232" s="10"/>
      <c r="KC232" s="10"/>
      <c r="KD232" s="5"/>
      <c r="KE232" s="6"/>
    </row>
    <row r="233" spans="6:291" x14ac:dyDescent="0.3">
      <c r="F233" s="17"/>
      <c r="G233" s="9"/>
      <c r="H233" s="3"/>
      <c r="I233" s="3"/>
      <c r="J233" s="3"/>
      <c r="K233" s="3"/>
      <c r="L233" s="3"/>
      <c r="M233" s="3"/>
      <c r="N233" s="3"/>
      <c r="O233" s="3"/>
      <c r="P233" s="4"/>
      <c r="Q233" s="5"/>
      <c r="R233" s="5"/>
      <c r="S233" s="5"/>
      <c r="T233" s="6"/>
      <c r="U233" s="5"/>
      <c r="V233" s="6"/>
      <c r="W233" s="7"/>
      <c r="X233" s="8"/>
      <c r="Y233" s="6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6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C233" s="6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  <c r="JC233" s="5"/>
      <c r="JD233" s="5"/>
      <c r="JE233" s="5"/>
      <c r="JF233" s="5"/>
      <c r="JG233" s="5"/>
      <c r="JH233" s="5"/>
      <c r="JI233" s="5"/>
      <c r="JJ233" s="5"/>
      <c r="JK233" s="5"/>
      <c r="JM233" s="19"/>
      <c r="JO233" s="5"/>
      <c r="JP233" s="5"/>
      <c r="JQ233" s="5"/>
      <c r="JR233" s="5"/>
      <c r="JS233" s="6"/>
      <c r="JT233" s="23"/>
      <c r="JU233" s="13"/>
      <c r="JV233" s="6"/>
      <c r="JW233" s="6"/>
      <c r="JX233" s="6"/>
      <c r="JY233" s="6"/>
      <c r="JZ233" s="10"/>
      <c r="KA233" s="10"/>
      <c r="KB233" s="10"/>
      <c r="KC233" s="10"/>
      <c r="KD233" s="5"/>
      <c r="KE233" s="6"/>
    </row>
    <row r="234" spans="6:291" x14ac:dyDescent="0.3">
      <c r="F234" s="17"/>
      <c r="G234" s="9"/>
      <c r="H234" s="3"/>
      <c r="I234" s="3"/>
      <c r="J234" s="3"/>
      <c r="K234" s="3"/>
      <c r="L234" s="3"/>
      <c r="M234" s="3"/>
      <c r="N234" s="3"/>
      <c r="O234" s="3"/>
      <c r="P234" s="4"/>
      <c r="Q234" s="5"/>
      <c r="R234" s="5"/>
      <c r="S234" s="5"/>
      <c r="T234" s="6"/>
      <c r="U234" s="5"/>
      <c r="V234" s="6"/>
      <c r="W234" s="7"/>
      <c r="X234" s="8"/>
      <c r="Y234" s="6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6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C234" s="6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  <c r="JC234" s="5"/>
      <c r="JD234" s="5"/>
      <c r="JE234" s="5"/>
      <c r="JF234" s="5"/>
      <c r="JG234" s="5"/>
      <c r="JH234" s="5"/>
      <c r="JI234" s="5"/>
      <c r="JJ234" s="5"/>
      <c r="JK234" s="5"/>
      <c r="JM234" s="19"/>
      <c r="JO234" s="5"/>
      <c r="JP234" s="5"/>
      <c r="JQ234" s="5"/>
      <c r="JR234" s="5"/>
      <c r="JS234" s="6"/>
      <c r="JT234" s="23"/>
      <c r="JU234" s="13"/>
      <c r="JV234" s="6"/>
      <c r="JW234" s="6"/>
      <c r="JX234" s="6"/>
      <c r="JY234" s="6"/>
      <c r="JZ234" s="10"/>
      <c r="KA234" s="10"/>
      <c r="KB234" s="10"/>
      <c r="KC234" s="10"/>
      <c r="KD234" s="5"/>
      <c r="KE234" s="6"/>
    </row>
    <row r="235" spans="6:291" x14ac:dyDescent="0.3">
      <c r="F235" s="17"/>
      <c r="G235" s="9"/>
      <c r="H235" s="3"/>
      <c r="I235" s="3"/>
      <c r="J235" s="3"/>
      <c r="K235" s="3"/>
      <c r="L235" s="3"/>
      <c r="M235" s="3"/>
      <c r="N235" s="3"/>
      <c r="O235" s="3"/>
      <c r="P235" s="4"/>
      <c r="Q235" s="5"/>
      <c r="R235" s="5"/>
      <c r="S235" s="5"/>
      <c r="T235" s="6"/>
      <c r="U235" s="5"/>
      <c r="V235" s="6"/>
      <c r="W235" s="7"/>
      <c r="X235" s="8"/>
      <c r="Y235" s="6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6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C235" s="6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  <c r="JC235" s="5"/>
      <c r="JD235" s="5"/>
      <c r="JE235" s="5"/>
      <c r="JF235" s="5"/>
      <c r="JG235" s="5"/>
      <c r="JH235" s="5"/>
      <c r="JI235" s="5"/>
      <c r="JJ235" s="5"/>
      <c r="JK235" s="5"/>
      <c r="JM235" s="19"/>
      <c r="JO235" s="5"/>
      <c r="JP235" s="5"/>
      <c r="JQ235" s="5"/>
      <c r="JR235" s="5"/>
      <c r="JS235" s="6"/>
      <c r="JT235" s="23"/>
      <c r="JU235" s="13"/>
      <c r="JV235" s="6"/>
      <c r="JW235" s="6"/>
      <c r="JX235" s="6"/>
      <c r="JY235" s="6"/>
      <c r="JZ235" s="10"/>
      <c r="KA235" s="10"/>
      <c r="KB235" s="10"/>
      <c r="KC235" s="10"/>
      <c r="KD235" s="5"/>
      <c r="KE235" s="6"/>
    </row>
    <row r="236" spans="6:291" x14ac:dyDescent="0.3">
      <c r="F236" s="17"/>
      <c r="G236" s="9"/>
      <c r="H236" s="3"/>
      <c r="I236" s="3"/>
      <c r="J236" s="3"/>
      <c r="K236" s="3"/>
      <c r="L236" s="3"/>
      <c r="M236" s="3"/>
      <c r="N236" s="3"/>
      <c r="O236" s="3"/>
      <c r="P236" s="4"/>
      <c r="Q236" s="5"/>
      <c r="R236" s="5"/>
      <c r="S236" s="5"/>
      <c r="T236" s="6"/>
      <c r="U236" s="5"/>
      <c r="V236" s="6"/>
      <c r="W236" s="7"/>
      <c r="X236" s="8"/>
      <c r="Y236" s="6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6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C236" s="6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  <c r="JC236" s="5"/>
      <c r="JD236" s="5"/>
      <c r="JE236" s="5"/>
      <c r="JF236" s="5"/>
      <c r="JG236" s="5"/>
      <c r="JH236" s="5"/>
      <c r="JI236" s="5"/>
      <c r="JJ236" s="5"/>
      <c r="JK236" s="5"/>
      <c r="JM236" s="19"/>
      <c r="JO236" s="5"/>
      <c r="JP236" s="5"/>
      <c r="JQ236" s="5"/>
      <c r="JR236" s="5"/>
      <c r="JS236" s="6"/>
      <c r="JT236" s="23"/>
      <c r="JU236" s="13"/>
      <c r="JV236" s="6"/>
      <c r="JW236" s="6"/>
      <c r="JX236" s="6"/>
      <c r="JY236" s="6"/>
      <c r="JZ236" s="10"/>
      <c r="KA236" s="10"/>
      <c r="KB236" s="10"/>
      <c r="KC236" s="10"/>
      <c r="KD236" s="5"/>
      <c r="KE236" s="6"/>
    </row>
    <row r="237" spans="6:291" x14ac:dyDescent="0.3">
      <c r="F237" s="17"/>
      <c r="G237" s="9"/>
      <c r="H237" s="3"/>
      <c r="I237" s="3"/>
      <c r="J237" s="3"/>
      <c r="K237" s="3"/>
      <c r="L237" s="3"/>
      <c r="M237" s="3"/>
      <c r="N237" s="3"/>
      <c r="O237" s="3"/>
      <c r="P237" s="4"/>
      <c r="Q237" s="5"/>
      <c r="R237" s="5"/>
      <c r="S237" s="5"/>
      <c r="T237" s="6"/>
      <c r="U237" s="5"/>
      <c r="V237" s="6"/>
      <c r="W237" s="7"/>
      <c r="X237" s="8"/>
      <c r="Y237" s="6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6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C237" s="6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  <c r="JC237" s="5"/>
      <c r="JD237" s="5"/>
      <c r="JE237" s="5"/>
      <c r="JF237" s="5"/>
      <c r="JG237" s="5"/>
      <c r="JH237" s="5"/>
      <c r="JI237" s="5"/>
      <c r="JJ237" s="5"/>
      <c r="JK237" s="5"/>
      <c r="JM237" s="19"/>
      <c r="JO237" s="5"/>
      <c r="JP237" s="5"/>
      <c r="JQ237" s="5"/>
      <c r="JR237" s="5"/>
      <c r="JS237" s="6"/>
      <c r="JT237" s="23"/>
      <c r="JU237" s="13"/>
      <c r="JV237" s="6"/>
      <c r="JW237" s="6"/>
      <c r="JX237" s="6"/>
      <c r="JY237" s="6"/>
      <c r="JZ237" s="10"/>
      <c r="KA237" s="10"/>
      <c r="KB237" s="10"/>
      <c r="KC237" s="10"/>
      <c r="KD237" s="5"/>
      <c r="KE237" s="6"/>
    </row>
    <row r="238" spans="6:291" x14ac:dyDescent="0.3">
      <c r="F238" s="17"/>
      <c r="G238" s="9"/>
      <c r="H238" s="3"/>
      <c r="I238" s="3"/>
      <c r="J238" s="3"/>
      <c r="K238" s="3"/>
      <c r="L238" s="3"/>
      <c r="M238" s="3"/>
      <c r="N238" s="3"/>
      <c r="O238" s="3"/>
      <c r="P238" s="4"/>
      <c r="Q238" s="5"/>
      <c r="R238" s="5"/>
      <c r="S238" s="5"/>
      <c r="T238" s="6"/>
      <c r="U238" s="5"/>
      <c r="V238" s="6"/>
      <c r="W238" s="7"/>
      <c r="X238" s="8"/>
      <c r="Y238" s="6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6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C238" s="6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  <c r="JC238" s="5"/>
      <c r="JD238" s="5"/>
      <c r="JE238" s="5"/>
      <c r="JF238" s="5"/>
      <c r="JG238" s="5"/>
      <c r="JH238" s="5"/>
      <c r="JI238" s="5"/>
      <c r="JJ238" s="5"/>
      <c r="JK238" s="5"/>
      <c r="JM238" s="19"/>
      <c r="JO238" s="5"/>
      <c r="JP238" s="5"/>
      <c r="JQ238" s="5"/>
      <c r="JR238" s="5"/>
      <c r="JS238" s="6"/>
      <c r="JT238" s="23"/>
      <c r="JU238" s="13"/>
      <c r="JV238" s="6"/>
      <c r="JW238" s="6"/>
      <c r="JX238" s="6"/>
      <c r="JY238" s="6"/>
      <c r="JZ238" s="10"/>
      <c r="KA238" s="10"/>
      <c r="KB238" s="10"/>
      <c r="KC238" s="10"/>
      <c r="KD238" s="5"/>
      <c r="KE238" s="6"/>
    </row>
    <row r="239" spans="6:291" x14ac:dyDescent="0.3">
      <c r="F239" s="17"/>
      <c r="G239" s="9"/>
      <c r="H239" s="3"/>
      <c r="I239" s="3"/>
      <c r="J239" s="3"/>
      <c r="K239" s="3"/>
      <c r="L239" s="3"/>
      <c r="M239" s="3"/>
      <c r="N239" s="3"/>
      <c r="O239" s="3"/>
      <c r="P239" s="4"/>
      <c r="Q239" s="5"/>
      <c r="R239" s="5"/>
      <c r="S239" s="5"/>
      <c r="T239" s="6"/>
      <c r="U239" s="5"/>
      <c r="V239" s="6"/>
      <c r="W239" s="7"/>
      <c r="X239" s="8"/>
      <c r="Y239" s="6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6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C239" s="6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  <c r="JC239" s="5"/>
      <c r="JD239" s="5"/>
      <c r="JE239" s="5"/>
      <c r="JF239" s="5"/>
      <c r="JG239" s="5"/>
      <c r="JH239" s="5"/>
      <c r="JI239" s="5"/>
      <c r="JJ239" s="5"/>
      <c r="JK239" s="5"/>
      <c r="JM239" s="19"/>
      <c r="JO239" s="5"/>
      <c r="JP239" s="5"/>
      <c r="JQ239" s="5"/>
      <c r="JR239" s="5"/>
      <c r="JS239" s="6"/>
      <c r="JT239" s="23"/>
      <c r="JU239" s="13"/>
      <c r="JV239" s="6"/>
      <c r="JW239" s="6"/>
      <c r="JX239" s="6"/>
      <c r="JY239" s="6"/>
      <c r="JZ239" s="10"/>
      <c r="KA239" s="10"/>
      <c r="KB239" s="10"/>
      <c r="KC239" s="10"/>
      <c r="KD239" s="5"/>
      <c r="KE239" s="6"/>
    </row>
    <row r="240" spans="6:291" x14ac:dyDescent="0.3">
      <c r="F240" s="17"/>
      <c r="G240" s="9"/>
      <c r="H240" s="3"/>
      <c r="I240" s="3"/>
      <c r="J240" s="3"/>
      <c r="K240" s="3"/>
      <c r="L240" s="3"/>
      <c r="M240" s="3"/>
      <c r="N240" s="3"/>
      <c r="O240" s="3"/>
      <c r="P240" s="4"/>
      <c r="Q240" s="5"/>
      <c r="R240" s="5"/>
      <c r="S240" s="5"/>
      <c r="T240" s="6"/>
      <c r="U240" s="5"/>
      <c r="V240" s="6"/>
      <c r="W240" s="7"/>
      <c r="X240" s="8"/>
      <c r="Y240" s="6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6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C240" s="6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  <c r="JC240" s="5"/>
      <c r="JD240" s="5"/>
      <c r="JE240" s="5"/>
      <c r="JF240" s="5"/>
      <c r="JG240" s="5"/>
      <c r="JH240" s="5"/>
      <c r="JI240" s="5"/>
      <c r="JJ240" s="5"/>
      <c r="JK240" s="5"/>
      <c r="JM240" s="19"/>
      <c r="JO240" s="5"/>
      <c r="JP240" s="5"/>
      <c r="JQ240" s="5"/>
      <c r="JR240" s="5"/>
      <c r="JS240" s="6"/>
      <c r="JT240" s="23"/>
      <c r="JU240" s="13"/>
      <c r="JV240" s="6"/>
      <c r="JW240" s="6"/>
      <c r="JX240" s="6"/>
      <c r="JY240" s="6"/>
      <c r="JZ240" s="10"/>
      <c r="KA240" s="10"/>
      <c r="KB240" s="10"/>
      <c r="KC240" s="10"/>
      <c r="KD240" s="5"/>
      <c r="KE240" s="6"/>
    </row>
    <row r="241" spans="6:291" x14ac:dyDescent="0.3">
      <c r="F241" s="17"/>
      <c r="G241" s="9"/>
      <c r="H241" s="3"/>
      <c r="I241" s="3"/>
      <c r="J241" s="3"/>
      <c r="K241" s="3"/>
      <c r="L241" s="3"/>
      <c r="M241" s="3"/>
      <c r="N241" s="3"/>
      <c r="O241" s="3"/>
      <c r="P241" s="4"/>
      <c r="Q241" s="5"/>
      <c r="R241" s="5"/>
      <c r="S241" s="5"/>
      <c r="T241" s="6"/>
      <c r="U241" s="5"/>
      <c r="V241" s="6"/>
      <c r="W241" s="7"/>
      <c r="X241" s="8"/>
      <c r="Y241" s="6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6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C241" s="6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  <c r="JC241" s="5"/>
      <c r="JD241" s="5"/>
      <c r="JE241" s="5"/>
      <c r="JF241" s="5"/>
      <c r="JG241" s="5"/>
      <c r="JH241" s="5"/>
      <c r="JI241" s="5"/>
      <c r="JJ241" s="5"/>
      <c r="JK241" s="5"/>
      <c r="JM241" s="19"/>
      <c r="JO241" s="5"/>
      <c r="JP241" s="5"/>
      <c r="JQ241" s="5"/>
      <c r="JR241" s="5"/>
      <c r="JS241" s="6"/>
      <c r="JT241" s="23"/>
      <c r="JU241" s="13"/>
      <c r="JV241" s="6"/>
      <c r="JW241" s="6"/>
      <c r="JX241" s="6"/>
      <c r="JY241" s="6"/>
      <c r="JZ241" s="10"/>
      <c r="KA241" s="10"/>
      <c r="KB241" s="10"/>
      <c r="KC241" s="10"/>
      <c r="KD241" s="5"/>
      <c r="KE241" s="6"/>
    </row>
    <row r="242" spans="6:291" x14ac:dyDescent="0.3">
      <c r="F242" s="17"/>
      <c r="G242" s="9"/>
      <c r="H242" s="3"/>
      <c r="I242" s="3"/>
      <c r="J242" s="3"/>
      <c r="K242" s="3"/>
      <c r="L242" s="3"/>
      <c r="M242" s="3"/>
      <c r="N242" s="3"/>
      <c r="O242" s="3"/>
      <c r="P242" s="4"/>
      <c r="Q242" s="5"/>
      <c r="R242" s="5"/>
      <c r="S242" s="5"/>
      <c r="T242" s="6"/>
      <c r="U242" s="5"/>
      <c r="V242" s="6"/>
      <c r="W242" s="7"/>
      <c r="X242" s="8"/>
      <c r="Y242" s="6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6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C242" s="6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  <c r="JC242" s="5"/>
      <c r="JD242" s="5"/>
      <c r="JE242" s="5"/>
      <c r="JF242" s="5"/>
      <c r="JG242" s="5"/>
      <c r="JH242" s="5"/>
      <c r="JI242" s="5"/>
      <c r="JJ242" s="5"/>
      <c r="JK242" s="5"/>
      <c r="JM242" s="19"/>
      <c r="JO242" s="5"/>
      <c r="JP242" s="5"/>
      <c r="JQ242" s="5"/>
      <c r="JR242" s="5"/>
      <c r="JS242" s="6"/>
      <c r="JT242" s="23"/>
      <c r="JU242" s="13"/>
      <c r="JV242" s="6"/>
      <c r="JW242" s="6"/>
      <c r="JX242" s="6"/>
      <c r="JY242" s="6"/>
      <c r="JZ242" s="10"/>
      <c r="KA242" s="10"/>
      <c r="KB242" s="10"/>
      <c r="KC242" s="10"/>
      <c r="KD242" s="5"/>
      <c r="KE242" s="6"/>
    </row>
    <row r="243" spans="6:291" x14ac:dyDescent="0.3">
      <c r="F243" s="17"/>
      <c r="G243" s="9"/>
      <c r="H243" s="3"/>
      <c r="I243" s="3"/>
      <c r="J243" s="3"/>
      <c r="K243" s="3"/>
      <c r="L243" s="3"/>
      <c r="M243" s="3"/>
      <c r="N243" s="3"/>
      <c r="O243" s="3"/>
      <c r="P243" s="4"/>
      <c r="Q243" s="5"/>
      <c r="R243" s="5"/>
      <c r="S243" s="5"/>
      <c r="T243" s="6"/>
      <c r="U243" s="5"/>
      <c r="V243" s="6"/>
      <c r="W243" s="7"/>
      <c r="X243" s="8"/>
      <c r="Y243" s="6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6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C243" s="6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  <c r="JC243" s="5"/>
      <c r="JD243" s="5"/>
      <c r="JE243" s="5"/>
      <c r="JF243" s="5"/>
      <c r="JG243" s="5"/>
      <c r="JH243" s="5"/>
      <c r="JI243" s="5"/>
      <c r="JJ243" s="5"/>
      <c r="JK243" s="5"/>
      <c r="JM243" s="19"/>
      <c r="JO243" s="5"/>
      <c r="JP243" s="5"/>
      <c r="JQ243" s="5"/>
      <c r="JR243" s="5"/>
      <c r="JS243" s="6"/>
      <c r="JT243" s="23"/>
      <c r="JU243" s="13"/>
      <c r="JV243" s="6"/>
      <c r="JW243" s="6"/>
      <c r="JX243" s="6"/>
      <c r="JY243" s="6"/>
      <c r="JZ243" s="10"/>
      <c r="KA243" s="10"/>
      <c r="KB243" s="10"/>
      <c r="KC243" s="10"/>
      <c r="KD243" s="5"/>
      <c r="KE243" s="6"/>
    </row>
    <row r="244" spans="6:291" x14ac:dyDescent="0.3">
      <c r="F244" s="17"/>
      <c r="G244" s="9"/>
      <c r="H244" s="3"/>
      <c r="I244" s="3"/>
      <c r="J244" s="3"/>
      <c r="K244" s="3"/>
      <c r="L244" s="3"/>
      <c r="M244" s="3"/>
      <c r="N244" s="3"/>
      <c r="O244" s="3"/>
      <c r="P244" s="4"/>
      <c r="Q244" s="5"/>
      <c r="R244" s="5"/>
      <c r="S244" s="5"/>
      <c r="T244" s="6"/>
      <c r="U244" s="5"/>
      <c r="V244" s="6"/>
      <c r="W244" s="7"/>
      <c r="X244" s="8"/>
      <c r="Y244" s="6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6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C244" s="6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  <c r="JC244" s="5"/>
      <c r="JD244" s="5"/>
      <c r="JE244" s="5"/>
      <c r="JF244" s="5"/>
      <c r="JG244" s="5"/>
      <c r="JH244" s="5"/>
      <c r="JI244" s="5"/>
      <c r="JJ244" s="5"/>
      <c r="JK244" s="5"/>
      <c r="JM244" s="19"/>
      <c r="JO244" s="5"/>
      <c r="JP244" s="5"/>
      <c r="JQ244" s="5"/>
      <c r="JR244" s="5"/>
      <c r="JS244" s="6"/>
      <c r="JT244" s="23"/>
      <c r="JU244" s="13"/>
      <c r="JV244" s="6"/>
      <c r="JW244" s="6"/>
      <c r="JX244" s="6"/>
      <c r="JY244" s="6"/>
      <c r="JZ244" s="10"/>
      <c r="KA244" s="10"/>
      <c r="KB244" s="10"/>
      <c r="KC244" s="10"/>
      <c r="KD244" s="5"/>
      <c r="KE244" s="6"/>
    </row>
    <row r="245" spans="6:291" x14ac:dyDescent="0.3">
      <c r="F245" s="17"/>
      <c r="G245" s="9"/>
      <c r="H245" s="3"/>
      <c r="I245" s="3"/>
      <c r="J245" s="3"/>
      <c r="K245" s="3"/>
      <c r="L245" s="3"/>
      <c r="M245" s="3"/>
      <c r="N245" s="3"/>
      <c r="O245" s="3"/>
      <c r="P245" s="4"/>
      <c r="Q245" s="5"/>
      <c r="R245" s="5"/>
      <c r="S245" s="5"/>
      <c r="T245" s="6"/>
      <c r="U245" s="5"/>
      <c r="V245" s="6"/>
      <c r="W245" s="7"/>
      <c r="X245" s="8"/>
      <c r="Y245" s="6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6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C245" s="6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  <c r="JC245" s="5"/>
      <c r="JD245" s="5"/>
      <c r="JE245" s="5"/>
      <c r="JF245" s="5"/>
      <c r="JG245" s="5"/>
      <c r="JH245" s="5"/>
      <c r="JI245" s="5"/>
      <c r="JJ245" s="5"/>
      <c r="JK245" s="5"/>
      <c r="JM245" s="19"/>
      <c r="JO245" s="5"/>
      <c r="JP245" s="5"/>
      <c r="JQ245" s="5"/>
      <c r="JR245" s="5"/>
      <c r="JS245" s="6"/>
      <c r="JT245" s="23"/>
      <c r="JU245" s="13"/>
      <c r="JV245" s="6"/>
      <c r="JW245" s="6"/>
      <c r="JX245" s="6"/>
      <c r="JY245" s="6"/>
      <c r="JZ245" s="10"/>
      <c r="KA245" s="10"/>
      <c r="KB245" s="10"/>
      <c r="KC245" s="10"/>
      <c r="KD245" s="5"/>
      <c r="KE245" s="6"/>
    </row>
    <row r="246" spans="6:291" x14ac:dyDescent="0.3">
      <c r="F246" s="17"/>
      <c r="G246" s="9"/>
      <c r="H246" s="3"/>
      <c r="I246" s="3"/>
      <c r="J246" s="3"/>
      <c r="K246" s="3"/>
      <c r="L246" s="3"/>
      <c r="M246" s="3"/>
      <c r="N246" s="3"/>
      <c r="O246" s="3"/>
      <c r="P246" s="4"/>
      <c r="Q246" s="5"/>
      <c r="R246" s="5"/>
      <c r="S246" s="5"/>
      <c r="T246" s="6"/>
      <c r="U246" s="5"/>
      <c r="V246" s="6"/>
      <c r="W246" s="7"/>
      <c r="X246" s="8"/>
      <c r="Y246" s="6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6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C246" s="6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  <c r="JC246" s="5"/>
      <c r="JD246" s="5"/>
      <c r="JE246" s="5"/>
      <c r="JF246" s="5"/>
      <c r="JG246" s="5"/>
      <c r="JH246" s="5"/>
      <c r="JI246" s="5"/>
      <c r="JJ246" s="5"/>
      <c r="JK246" s="5"/>
      <c r="JM246" s="19"/>
      <c r="JO246" s="5"/>
      <c r="JP246" s="5"/>
      <c r="JQ246" s="5"/>
      <c r="JR246" s="5"/>
      <c r="JS246" s="6"/>
      <c r="JT246" s="23"/>
      <c r="JU246" s="13"/>
      <c r="JV246" s="6"/>
      <c r="JW246" s="6"/>
      <c r="JX246" s="6"/>
      <c r="JY246" s="6"/>
      <c r="JZ246" s="10"/>
      <c r="KA246" s="10"/>
      <c r="KB246" s="10"/>
      <c r="KC246" s="10"/>
      <c r="KD246" s="5"/>
      <c r="KE246" s="6"/>
    </row>
    <row r="247" spans="6:291" x14ac:dyDescent="0.3">
      <c r="F247" s="17"/>
      <c r="G247" s="9"/>
      <c r="H247" s="3"/>
      <c r="I247" s="3"/>
      <c r="J247" s="3"/>
      <c r="K247" s="3"/>
      <c r="L247" s="3"/>
      <c r="M247" s="3"/>
      <c r="N247" s="3"/>
      <c r="O247" s="3"/>
      <c r="P247" s="4"/>
      <c r="Q247" s="5"/>
      <c r="R247" s="5"/>
      <c r="S247" s="5"/>
      <c r="T247" s="6"/>
      <c r="U247" s="5"/>
      <c r="V247" s="6"/>
      <c r="W247" s="7"/>
      <c r="X247" s="8"/>
      <c r="Y247" s="6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6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C247" s="6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  <c r="JC247" s="5"/>
      <c r="JD247" s="5"/>
      <c r="JE247" s="5"/>
      <c r="JF247" s="5"/>
      <c r="JG247" s="5"/>
      <c r="JH247" s="5"/>
      <c r="JI247" s="5"/>
      <c r="JJ247" s="5"/>
      <c r="JK247" s="5"/>
      <c r="JM247" s="19"/>
      <c r="JO247" s="5"/>
      <c r="JP247" s="5"/>
      <c r="JQ247" s="5"/>
      <c r="JR247" s="5"/>
      <c r="JS247" s="6"/>
      <c r="JT247" s="23"/>
      <c r="JU247" s="13"/>
      <c r="JV247" s="6"/>
      <c r="JW247" s="6"/>
      <c r="JX247" s="6"/>
      <c r="JY247" s="6"/>
      <c r="JZ247" s="10"/>
      <c r="KA247" s="10"/>
      <c r="KB247" s="10"/>
      <c r="KC247" s="10"/>
      <c r="KD247" s="5"/>
      <c r="KE247" s="6"/>
    </row>
    <row r="248" spans="6:291" x14ac:dyDescent="0.3">
      <c r="F248" s="17"/>
      <c r="G248" s="9"/>
      <c r="H248" s="3"/>
      <c r="I248" s="3"/>
      <c r="J248" s="3"/>
      <c r="K248" s="3"/>
      <c r="L248" s="3"/>
      <c r="M248" s="3"/>
      <c r="N248" s="3"/>
      <c r="O248" s="3"/>
      <c r="P248" s="4"/>
      <c r="Q248" s="5"/>
      <c r="R248" s="5"/>
      <c r="S248" s="5"/>
      <c r="T248" s="6"/>
      <c r="U248" s="5"/>
      <c r="V248" s="6"/>
      <c r="W248" s="7"/>
      <c r="X248" s="8"/>
      <c r="Y248" s="6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6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C248" s="6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  <c r="JC248" s="5"/>
      <c r="JD248" s="5"/>
      <c r="JE248" s="5"/>
      <c r="JF248" s="5"/>
      <c r="JG248" s="5"/>
      <c r="JH248" s="5"/>
      <c r="JI248" s="5"/>
      <c r="JJ248" s="5"/>
      <c r="JK248" s="5"/>
      <c r="JM248" s="19"/>
      <c r="JO248" s="5"/>
      <c r="JP248" s="5"/>
      <c r="JQ248" s="5"/>
      <c r="JR248" s="5"/>
      <c r="JS248" s="6"/>
      <c r="JT248" s="23"/>
      <c r="JU248" s="13"/>
      <c r="JV248" s="6"/>
      <c r="JW248" s="6"/>
      <c r="JX248" s="6"/>
      <c r="JY248" s="6"/>
      <c r="JZ248" s="10"/>
      <c r="KA248" s="10"/>
      <c r="KB248" s="10"/>
      <c r="KC248" s="10"/>
      <c r="KD248" s="5"/>
      <c r="KE248" s="6"/>
    </row>
    <row r="249" spans="6:291" x14ac:dyDescent="0.3">
      <c r="F249" s="17"/>
      <c r="G249" s="9"/>
      <c r="H249" s="3"/>
      <c r="I249" s="3"/>
      <c r="J249" s="3"/>
      <c r="K249" s="3"/>
      <c r="L249" s="3"/>
      <c r="M249" s="3"/>
      <c r="N249" s="3"/>
      <c r="O249" s="3"/>
      <c r="P249" s="4"/>
      <c r="Q249" s="5"/>
      <c r="R249" s="5"/>
      <c r="S249" s="5"/>
      <c r="T249" s="6"/>
      <c r="U249" s="5"/>
      <c r="V249" s="6"/>
      <c r="W249" s="7"/>
      <c r="X249" s="8"/>
      <c r="Y249" s="6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6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C249" s="6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  <c r="JC249" s="5"/>
      <c r="JD249" s="5"/>
      <c r="JE249" s="5"/>
      <c r="JF249" s="5"/>
      <c r="JG249" s="5"/>
      <c r="JH249" s="5"/>
      <c r="JI249" s="5"/>
      <c r="JJ249" s="5"/>
      <c r="JK249" s="5"/>
      <c r="JM249" s="19"/>
      <c r="JO249" s="5"/>
      <c r="JP249" s="5"/>
      <c r="JQ249" s="5"/>
      <c r="JR249" s="5"/>
      <c r="JS249" s="6"/>
      <c r="JT249" s="23"/>
      <c r="JU249" s="13"/>
      <c r="JV249" s="6"/>
      <c r="JW249" s="6"/>
      <c r="JX249" s="6"/>
      <c r="JY249" s="6"/>
      <c r="JZ249" s="10"/>
      <c r="KA249" s="10"/>
      <c r="KB249" s="10"/>
      <c r="KC249" s="10"/>
      <c r="KD249" s="5"/>
      <c r="KE249" s="6"/>
    </row>
    <row r="250" spans="6:291" x14ac:dyDescent="0.3">
      <c r="F250" s="17"/>
      <c r="G250" s="9"/>
      <c r="H250" s="3"/>
      <c r="I250" s="3"/>
      <c r="J250" s="3"/>
      <c r="K250" s="3"/>
      <c r="L250" s="3"/>
      <c r="M250" s="3"/>
      <c r="N250" s="3"/>
      <c r="O250" s="3"/>
      <c r="P250" s="4"/>
      <c r="Q250" s="5"/>
      <c r="R250" s="5"/>
      <c r="S250" s="5"/>
      <c r="T250" s="6"/>
      <c r="U250" s="5"/>
      <c r="V250" s="6"/>
      <c r="W250" s="7"/>
      <c r="X250" s="8"/>
      <c r="Y250" s="6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6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C250" s="6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  <c r="JC250" s="5"/>
      <c r="JD250" s="5"/>
      <c r="JE250" s="5"/>
      <c r="JF250" s="5"/>
      <c r="JG250" s="5"/>
      <c r="JH250" s="5"/>
      <c r="JI250" s="5"/>
      <c r="JJ250" s="5"/>
      <c r="JK250" s="5"/>
      <c r="JM250" s="19"/>
      <c r="JO250" s="5"/>
      <c r="JP250" s="5"/>
      <c r="JQ250" s="5"/>
      <c r="JR250" s="5"/>
      <c r="JS250" s="6"/>
      <c r="JT250" s="23"/>
      <c r="JU250" s="13"/>
      <c r="JV250" s="6"/>
      <c r="JW250" s="6"/>
      <c r="JX250" s="6"/>
      <c r="JY250" s="6"/>
      <c r="JZ250" s="10"/>
      <c r="KA250" s="10"/>
      <c r="KB250" s="10"/>
      <c r="KC250" s="10"/>
      <c r="KD250" s="5"/>
      <c r="KE250" s="6"/>
    </row>
    <row r="251" spans="6:291" x14ac:dyDescent="0.3">
      <c r="F251" s="17"/>
      <c r="G251" s="9"/>
      <c r="H251" s="3"/>
      <c r="I251" s="3"/>
      <c r="J251" s="3"/>
      <c r="K251" s="3"/>
      <c r="L251" s="3"/>
      <c r="M251" s="3"/>
      <c r="N251" s="3"/>
      <c r="O251" s="3"/>
      <c r="P251" s="4"/>
      <c r="Q251" s="5"/>
      <c r="R251" s="5"/>
      <c r="S251" s="5"/>
      <c r="T251" s="6"/>
      <c r="U251" s="5"/>
      <c r="V251" s="6"/>
      <c r="W251" s="7"/>
      <c r="X251" s="8"/>
      <c r="Y251" s="6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6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C251" s="6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  <c r="JC251" s="5"/>
      <c r="JD251" s="5"/>
      <c r="JE251" s="5"/>
      <c r="JF251" s="5"/>
      <c r="JG251" s="5"/>
      <c r="JH251" s="5"/>
      <c r="JI251" s="5"/>
      <c r="JJ251" s="5"/>
      <c r="JK251" s="5"/>
      <c r="JM251" s="19"/>
      <c r="JO251" s="5"/>
      <c r="JP251" s="5"/>
      <c r="JQ251" s="5"/>
      <c r="JR251" s="5"/>
      <c r="JS251" s="6"/>
      <c r="JT251" s="23"/>
      <c r="JU251" s="13"/>
      <c r="JV251" s="6"/>
      <c r="JW251" s="6"/>
      <c r="JX251" s="6"/>
      <c r="JY251" s="6"/>
      <c r="JZ251" s="10"/>
      <c r="KA251" s="10"/>
      <c r="KB251" s="10"/>
      <c r="KC251" s="10"/>
      <c r="KD251" s="5"/>
      <c r="KE251" s="6"/>
    </row>
    <row r="252" spans="6:291" x14ac:dyDescent="0.3">
      <c r="F252" s="17"/>
      <c r="G252" s="9"/>
      <c r="H252" s="3"/>
      <c r="I252" s="3"/>
      <c r="J252" s="3"/>
      <c r="K252" s="3"/>
      <c r="L252" s="3"/>
      <c r="M252" s="3"/>
      <c r="N252" s="3"/>
      <c r="O252" s="3"/>
      <c r="P252" s="4"/>
      <c r="Q252" s="5"/>
      <c r="R252" s="5"/>
      <c r="S252" s="5"/>
      <c r="T252" s="6"/>
      <c r="U252" s="5"/>
      <c r="V252" s="6"/>
      <c r="W252" s="7"/>
      <c r="X252" s="8"/>
      <c r="Y252" s="6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6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C252" s="6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  <c r="JC252" s="5"/>
      <c r="JD252" s="5"/>
      <c r="JE252" s="5"/>
      <c r="JF252" s="5"/>
      <c r="JG252" s="5"/>
      <c r="JH252" s="5"/>
      <c r="JI252" s="5"/>
      <c r="JJ252" s="5"/>
      <c r="JK252" s="5"/>
      <c r="JM252" s="19"/>
      <c r="JO252" s="5"/>
      <c r="JP252" s="5"/>
      <c r="JQ252" s="5"/>
      <c r="JR252" s="5"/>
      <c r="JS252" s="6"/>
      <c r="JT252" s="23"/>
      <c r="JU252" s="13"/>
      <c r="JV252" s="6"/>
      <c r="JW252" s="6"/>
      <c r="JX252" s="6"/>
      <c r="JY252" s="6"/>
      <c r="JZ252" s="10"/>
      <c r="KA252" s="10"/>
      <c r="KB252" s="10"/>
      <c r="KC252" s="10"/>
      <c r="KD252" s="5"/>
      <c r="KE252" s="6"/>
    </row>
    <row r="253" spans="6:291" x14ac:dyDescent="0.3">
      <c r="F253" s="17"/>
      <c r="G253" s="9"/>
      <c r="H253" s="3"/>
      <c r="I253" s="3"/>
      <c r="J253" s="3"/>
      <c r="K253" s="3"/>
      <c r="L253" s="3"/>
      <c r="M253" s="3"/>
      <c r="N253" s="3"/>
      <c r="O253" s="3"/>
      <c r="P253" s="4"/>
      <c r="Q253" s="5"/>
      <c r="R253" s="5"/>
      <c r="S253" s="5"/>
      <c r="T253" s="6"/>
      <c r="U253" s="5"/>
      <c r="V253" s="6"/>
      <c r="W253" s="7"/>
      <c r="X253" s="8"/>
      <c r="Y253" s="6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6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C253" s="6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  <c r="JC253" s="5"/>
      <c r="JD253" s="5"/>
      <c r="JE253" s="5"/>
      <c r="JF253" s="5"/>
      <c r="JG253" s="5"/>
      <c r="JH253" s="5"/>
      <c r="JI253" s="5"/>
      <c r="JJ253" s="5"/>
      <c r="JK253" s="5"/>
      <c r="JM253" s="19"/>
      <c r="JO253" s="5"/>
      <c r="JP253" s="5"/>
      <c r="JQ253" s="5"/>
      <c r="JR253" s="5"/>
      <c r="JS253" s="6"/>
      <c r="JT253" s="23"/>
      <c r="JU253" s="13"/>
      <c r="JV253" s="6"/>
      <c r="JW253" s="6"/>
      <c r="JX253" s="6"/>
      <c r="JY253" s="6"/>
      <c r="JZ253" s="10"/>
      <c r="KA253" s="10"/>
      <c r="KB253" s="10"/>
      <c r="KC253" s="10"/>
      <c r="KD253" s="5"/>
      <c r="KE253" s="6"/>
    </row>
    <row r="254" spans="6:291" x14ac:dyDescent="0.3">
      <c r="F254" s="17"/>
      <c r="G254" s="9"/>
      <c r="H254" s="3"/>
      <c r="I254" s="3"/>
      <c r="J254" s="3"/>
      <c r="K254" s="3"/>
      <c r="L254" s="3"/>
      <c r="M254" s="3"/>
      <c r="N254" s="3"/>
      <c r="O254" s="3"/>
      <c r="P254" s="4"/>
      <c r="Q254" s="5"/>
      <c r="R254" s="5"/>
      <c r="S254" s="5"/>
      <c r="T254" s="6"/>
      <c r="U254" s="5"/>
      <c r="V254" s="6"/>
      <c r="W254" s="7"/>
      <c r="X254" s="8"/>
      <c r="Y254" s="6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6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C254" s="6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  <c r="JC254" s="5"/>
      <c r="JD254" s="5"/>
      <c r="JE254" s="5"/>
      <c r="JF254" s="5"/>
      <c r="JG254" s="5"/>
      <c r="JH254" s="5"/>
      <c r="JI254" s="5"/>
      <c r="JJ254" s="5"/>
      <c r="JK254" s="5"/>
      <c r="JM254" s="19"/>
      <c r="JO254" s="5"/>
      <c r="JP254" s="5"/>
      <c r="JQ254" s="5"/>
      <c r="JR254" s="5"/>
      <c r="JS254" s="6"/>
      <c r="JT254" s="23"/>
      <c r="JU254" s="13"/>
      <c r="JV254" s="6"/>
      <c r="JW254" s="6"/>
      <c r="JX254" s="6"/>
      <c r="JY254" s="6"/>
      <c r="JZ254" s="10"/>
      <c r="KA254" s="10"/>
      <c r="KB254" s="10"/>
      <c r="KC254" s="10"/>
      <c r="KD254" s="5"/>
      <c r="KE254" s="6"/>
    </row>
    <row r="255" spans="6:291" x14ac:dyDescent="0.3">
      <c r="F255" s="17"/>
      <c r="G255" s="9"/>
      <c r="H255" s="3"/>
      <c r="I255" s="3"/>
      <c r="J255" s="3"/>
      <c r="K255" s="3"/>
      <c r="L255" s="3"/>
      <c r="M255" s="3"/>
      <c r="N255" s="3"/>
      <c r="O255" s="3"/>
      <c r="P255" s="4"/>
      <c r="Q255" s="5"/>
      <c r="R255" s="5"/>
      <c r="S255" s="5"/>
      <c r="T255" s="6"/>
      <c r="U255" s="5"/>
      <c r="V255" s="6"/>
      <c r="W255" s="7"/>
      <c r="X255" s="8"/>
      <c r="Y255" s="6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6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C255" s="6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  <c r="JC255" s="5"/>
      <c r="JD255" s="5"/>
      <c r="JE255" s="5"/>
      <c r="JF255" s="5"/>
      <c r="JG255" s="5"/>
      <c r="JH255" s="5"/>
      <c r="JI255" s="5"/>
      <c r="JJ255" s="5"/>
      <c r="JK255" s="5"/>
      <c r="JM255" s="19"/>
      <c r="JO255" s="5"/>
      <c r="JP255" s="5"/>
      <c r="JQ255" s="5"/>
      <c r="JR255" s="5"/>
      <c r="JS255" s="6"/>
      <c r="JT255" s="23"/>
      <c r="JU255" s="13"/>
      <c r="JV255" s="6"/>
      <c r="JW255" s="6"/>
      <c r="JX255" s="6"/>
      <c r="JY255" s="6"/>
      <c r="JZ255" s="10"/>
      <c r="KA255" s="10"/>
      <c r="KB255" s="10"/>
      <c r="KC255" s="10"/>
      <c r="KD255" s="5"/>
      <c r="KE255" s="6"/>
    </row>
    <row r="256" spans="6:291" x14ac:dyDescent="0.3">
      <c r="F256" s="17"/>
      <c r="G256" s="9"/>
      <c r="H256" s="3"/>
      <c r="I256" s="3"/>
      <c r="J256" s="3"/>
      <c r="K256" s="3"/>
      <c r="L256" s="3"/>
      <c r="M256" s="3"/>
      <c r="N256" s="3"/>
      <c r="O256" s="3"/>
      <c r="P256" s="4"/>
      <c r="Q256" s="5"/>
      <c r="R256" s="5"/>
      <c r="S256" s="5"/>
      <c r="T256" s="6"/>
      <c r="U256" s="5"/>
      <c r="V256" s="6"/>
      <c r="W256" s="7"/>
      <c r="X256" s="8"/>
      <c r="Y256" s="6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6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C256" s="6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  <c r="JC256" s="5"/>
      <c r="JD256" s="5"/>
      <c r="JE256" s="5"/>
      <c r="JF256" s="5"/>
      <c r="JG256" s="5"/>
      <c r="JH256" s="5"/>
      <c r="JI256" s="5"/>
      <c r="JJ256" s="5"/>
      <c r="JK256" s="5"/>
      <c r="JM256" s="19"/>
      <c r="JO256" s="5"/>
      <c r="JP256" s="5"/>
      <c r="JQ256" s="5"/>
      <c r="JR256" s="5"/>
      <c r="JS256" s="6"/>
      <c r="JT256" s="23"/>
      <c r="JU256" s="13"/>
      <c r="JV256" s="6"/>
      <c r="JW256" s="6"/>
      <c r="JX256" s="6"/>
      <c r="JY256" s="6"/>
      <c r="JZ256" s="10"/>
      <c r="KA256" s="10"/>
      <c r="KB256" s="10"/>
      <c r="KC256" s="10"/>
      <c r="KD256" s="5"/>
      <c r="KE256" s="6"/>
    </row>
    <row r="257" spans="6:291" x14ac:dyDescent="0.3">
      <c r="F257" s="17"/>
      <c r="G257" s="9"/>
      <c r="H257" s="3"/>
      <c r="I257" s="3"/>
      <c r="J257" s="3"/>
      <c r="K257" s="3"/>
      <c r="L257" s="3"/>
      <c r="M257" s="3"/>
      <c r="N257" s="3"/>
      <c r="O257" s="3"/>
      <c r="P257" s="4"/>
      <c r="Q257" s="5"/>
      <c r="R257" s="5"/>
      <c r="S257" s="5"/>
      <c r="T257" s="6"/>
      <c r="U257" s="5"/>
      <c r="V257" s="6"/>
      <c r="W257" s="7"/>
      <c r="X257" s="8"/>
      <c r="Y257" s="6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6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C257" s="6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  <c r="JC257" s="5"/>
      <c r="JD257" s="5"/>
      <c r="JE257" s="5"/>
      <c r="JF257" s="5"/>
      <c r="JG257" s="5"/>
      <c r="JH257" s="5"/>
      <c r="JI257" s="5"/>
      <c r="JJ257" s="5"/>
      <c r="JK257" s="5"/>
      <c r="JM257" s="19"/>
      <c r="JO257" s="5"/>
      <c r="JP257" s="5"/>
      <c r="JQ257" s="5"/>
      <c r="JR257" s="5"/>
      <c r="JS257" s="6"/>
      <c r="JT257" s="23"/>
      <c r="JU257" s="13"/>
      <c r="JV257" s="6"/>
      <c r="JW257" s="6"/>
      <c r="JX257" s="6"/>
      <c r="JY257" s="6"/>
      <c r="JZ257" s="10"/>
      <c r="KA257" s="10"/>
      <c r="KB257" s="10"/>
      <c r="KC257" s="10"/>
      <c r="KD257" s="5"/>
      <c r="KE257" s="6"/>
    </row>
    <row r="258" spans="6:291" x14ac:dyDescent="0.3">
      <c r="F258" s="17"/>
      <c r="G258" s="9"/>
      <c r="H258" s="3"/>
      <c r="I258" s="3"/>
      <c r="J258" s="3"/>
      <c r="K258" s="3"/>
      <c r="L258" s="3"/>
      <c r="M258" s="3"/>
      <c r="N258" s="3"/>
      <c r="O258" s="3"/>
      <c r="P258" s="4"/>
      <c r="Q258" s="5"/>
      <c r="R258" s="5"/>
      <c r="S258" s="5"/>
      <c r="T258" s="6"/>
      <c r="U258" s="5"/>
      <c r="V258" s="6"/>
      <c r="W258" s="7"/>
      <c r="X258" s="8"/>
      <c r="Y258" s="6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6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C258" s="6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  <c r="JC258" s="5"/>
      <c r="JD258" s="5"/>
      <c r="JE258" s="5"/>
      <c r="JF258" s="5"/>
      <c r="JG258" s="5"/>
      <c r="JH258" s="5"/>
      <c r="JI258" s="5"/>
      <c r="JJ258" s="5"/>
      <c r="JK258" s="5"/>
      <c r="JM258" s="19"/>
      <c r="JO258" s="5"/>
      <c r="JP258" s="5"/>
      <c r="JQ258" s="5"/>
      <c r="JR258" s="5"/>
      <c r="JS258" s="6"/>
      <c r="JT258" s="23"/>
      <c r="JU258" s="13"/>
      <c r="JV258" s="6"/>
      <c r="JW258" s="6"/>
      <c r="JX258" s="6"/>
      <c r="JY258" s="6"/>
      <c r="JZ258" s="10"/>
      <c r="KA258" s="10"/>
      <c r="KB258" s="10"/>
      <c r="KC258" s="10"/>
      <c r="KD258" s="5"/>
      <c r="KE258" s="6"/>
    </row>
    <row r="259" spans="6:291" x14ac:dyDescent="0.3">
      <c r="F259" s="17"/>
      <c r="G259" s="9"/>
      <c r="H259" s="3"/>
      <c r="I259" s="3"/>
      <c r="J259" s="3"/>
      <c r="K259" s="3"/>
      <c r="L259" s="3"/>
      <c r="M259" s="3"/>
      <c r="N259" s="3"/>
      <c r="O259" s="3"/>
      <c r="P259" s="4"/>
      <c r="Q259" s="5"/>
      <c r="R259" s="5"/>
      <c r="S259" s="5"/>
      <c r="T259" s="6"/>
      <c r="U259" s="5"/>
      <c r="V259" s="6"/>
      <c r="W259" s="7"/>
      <c r="X259" s="8"/>
      <c r="Y259" s="6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6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C259" s="6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  <c r="JC259" s="5"/>
      <c r="JD259" s="5"/>
      <c r="JE259" s="5"/>
      <c r="JF259" s="5"/>
      <c r="JG259" s="5"/>
      <c r="JH259" s="5"/>
      <c r="JI259" s="5"/>
      <c r="JJ259" s="5"/>
      <c r="JK259" s="5"/>
      <c r="JM259" s="19"/>
      <c r="JO259" s="5"/>
      <c r="JP259" s="5"/>
      <c r="JQ259" s="5"/>
      <c r="JR259" s="5"/>
      <c r="JS259" s="6"/>
      <c r="JT259" s="23"/>
      <c r="JU259" s="13"/>
      <c r="JV259" s="6"/>
      <c r="JW259" s="6"/>
      <c r="JX259" s="6"/>
      <c r="JY259" s="6"/>
      <c r="JZ259" s="10"/>
      <c r="KA259" s="10"/>
      <c r="KB259" s="10"/>
      <c r="KC259" s="10"/>
      <c r="KD259" s="5"/>
      <c r="KE259" s="6"/>
    </row>
    <row r="260" spans="6:291" x14ac:dyDescent="0.3">
      <c r="F260" s="17"/>
      <c r="G260" s="9"/>
      <c r="H260" s="3"/>
      <c r="I260" s="3"/>
      <c r="J260" s="3"/>
      <c r="K260" s="3"/>
      <c r="L260" s="3"/>
      <c r="M260" s="3"/>
      <c r="N260" s="3"/>
      <c r="O260" s="3"/>
      <c r="P260" s="4"/>
      <c r="Q260" s="5"/>
      <c r="R260" s="5"/>
      <c r="S260" s="5"/>
      <c r="T260" s="6"/>
      <c r="U260" s="5"/>
      <c r="V260" s="6"/>
      <c r="W260" s="7"/>
      <c r="X260" s="8"/>
      <c r="Y260" s="6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6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C260" s="6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  <c r="JC260" s="5"/>
      <c r="JD260" s="5"/>
      <c r="JE260" s="5"/>
      <c r="JF260" s="5"/>
      <c r="JG260" s="5"/>
      <c r="JH260" s="5"/>
      <c r="JI260" s="5"/>
      <c r="JJ260" s="5"/>
      <c r="JK260" s="5"/>
      <c r="JM260" s="19"/>
      <c r="JO260" s="5"/>
      <c r="JP260" s="5"/>
      <c r="JQ260" s="5"/>
      <c r="JR260" s="5"/>
      <c r="JS260" s="6"/>
      <c r="JT260" s="23"/>
      <c r="JU260" s="13"/>
      <c r="JV260" s="6"/>
      <c r="JW260" s="6"/>
      <c r="JX260" s="6"/>
      <c r="JY260" s="6"/>
      <c r="JZ260" s="10"/>
      <c r="KA260" s="10"/>
      <c r="KB260" s="10"/>
      <c r="KC260" s="10"/>
      <c r="KD260" s="5"/>
      <c r="KE260" s="6"/>
    </row>
    <row r="261" spans="6:291" x14ac:dyDescent="0.3">
      <c r="F261" s="17"/>
      <c r="G261" s="9"/>
      <c r="H261" s="3"/>
      <c r="I261" s="3"/>
      <c r="J261" s="3"/>
      <c r="K261" s="3"/>
      <c r="L261" s="3"/>
      <c r="M261" s="3"/>
      <c r="N261" s="3"/>
      <c r="O261" s="3"/>
      <c r="P261" s="4"/>
      <c r="Q261" s="5"/>
      <c r="R261" s="5"/>
      <c r="S261" s="5"/>
      <c r="T261" s="6"/>
      <c r="U261" s="5"/>
      <c r="V261" s="6"/>
      <c r="W261" s="7"/>
      <c r="X261" s="8"/>
      <c r="Y261" s="6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6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C261" s="6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  <c r="JC261" s="5"/>
      <c r="JD261" s="5"/>
      <c r="JE261" s="5"/>
      <c r="JF261" s="5"/>
      <c r="JG261" s="5"/>
      <c r="JH261" s="5"/>
      <c r="JI261" s="5"/>
      <c r="JJ261" s="5"/>
      <c r="JK261" s="5"/>
      <c r="JM261" s="19"/>
      <c r="JO261" s="5"/>
      <c r="JP261" s="5"/>
      <c r="JQ261" s="5"/>
      <c r="JR261" s="5"/>
      <c r="JS261" s="6"/>
      <c r="JT261" s="23"/>
      <c r="JU261" s="13"/>
      <c r="JV261" s="6"/>
      <c r="JW261" s="6"/>
      <c r="JX261" s="6"/>
      <c r="JY261" s="6"/>
      <c r="JZ261" s="10"/>
      <c r="KA261" s="10"/>
      <c r="KB261" s="10"/>
      <c r="KC261" s="10"/>
      <c r="KD261" s="5"/>
      <c r="KE261" s="6"/>
    </row>
    <row r="262" spans="6:291" x14ac:dyDescent="0.3">
      <c r="F262" s="17"/>
      <c r="G262" s="9"/>
      <c r="H262" s="3"/>
      <c r="I262" s="3"/>
      <c r="J262" s="3"/>
      <c r="K262" s="3"/>
      <c r="L262" s="3"/>
      <c r="M262" s="3"/>
      <c r="N262" s="3"/>
      <c r="O262" s="3"/>
      <c r="P262" s="4"/>
      <c r="Q262" s="5"/>
      <c r="R262" s="5"/>
      <c r="S262" s="5"/>
      <c r="T262" s="6"/>
      <c r="U262" s="5"/>
      <c r="V262" s="6"/>
      <c r="W262" s="7"/>
      <c r="X262" s="8"/>
      <c r="Y262" s="6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6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C262" s="6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  <c r="JE262" s="5"/>
      <c r="JF262" s="5"/>
      <c r="JG262" s="5"/>
      <c r="JH262" s="5"/>
      <c r="JI262" s="5"/>
      <c r="JJ262" s="5"/>
      <c r="JK262" s="5"/>
      <c r="JM262" s="19"/>
      <c r="JO262" s="5"/>
      <c r="JP262" s="5"/>
      <c r="JQ262" s="5"/>
      <c r="JR262" s="5"/>
      <c r="JS262" s="6"/>
      <c r="JT262" s="23"/>
      <c r="JU262" s="13"/>
      <c r="JV262" s="6"/>
      <c r="JW262" s="6"/>
      <c r="JX262" s="6"/>
      <c r="JY262" s="6"/>
      <c r="JZ262" s="10"/>
      <c r="KA262" s="10"/>
      <c r="KB262" s="10"/>
      <c r="KC262" s="10"/>
      <c r="KD262" s="5"/>
      <c r="KE262" s="6"/>
    </row>
    <row r="263" spans="6:291" x14ac:dyDescent="0.3">
      <c r="F263" s="17"/>
      <c r="G263" s="9"/>
      <c r="H263" s="3"/>
      <c r="I263" s="3"/>
      <c r="J263" s="3"/>
      <c r="K263" s="3"/>
      <c r="L263" s="3"/>
      <c r="M263" s="3"/>
      <c r="N263" s="3"/>
      <c r="O263" s="3"/>
      <c r="P263" s="4"/>
      <c r="Q263" s="5"/>
      <c r="R263" s="5"/>
      <c r="S263" s="5"/>
      <c r="T263" s="6"/>
      <c r="U263" s="5"/>
      <c r="V263" s="6"/>
      <c r="W263" s="7"/>
      <c r="X263" s="8"/>
      <c r="Y263" s="6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6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C263" s="6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  <c r="JC263" s="5"/>
      <c r="JD263" s="5"/>
      <c r="JE263" s="5"/>
      <c r="JF263" s="5"/>
      <c r="JG263" s="5"/>
      <c r="JH263" s="5"/>
      <c r="JI263" s="5"/>
      <c r="JJ263" s="5"/>
      <c r="JK263" s="5"/>
      <c r="JM263" s="19"/>
      <c r="JO263" s="5"/>
      <c r="JP263" s="5"/>
      <c r="JQ263" s="5"/>
      <c r="JR263" s="5"/>
      <c r="JS263" s="6"/>
      <c r="JT263" s="23"/>
      <c r="JU263" s="13"/>
      <c r="JV263" s="6"/>
      <c r="JW263" s="6"/>
      <c r="JX263" s="6"/>
      <c r="JY263" s="6"/>
      <c r="JZ263" s="10"/>
      <c r="KA263" s="10"/>
      <c r="KB263" s="10"/>
      <c r="KC263" s="10"/>
      <c r="KD263" s="5"/>
      <c r="KE263" s="6"/>
    </row>
    <row r="264" spans="6:291" x14ac:dyDescent="0.3">
      <c r="F264" s="17"/>
      <c r="G264" s="9"/>
      <c r="H264" s="3"/>
      <c r="I264" s="3"/>
      <c r="J264" s="3"/>
      <c r="K264" s="3"/>
      <c r="L264" s="3"/>
      <c r="M264" s="3"/>
      <c r="N264" s="3"/>
      <c r="O264" s="3"/>
      <c r="P264" s="4"/>
      <c r="Q264" s="5"/>
      <c r="R264" s="5"/>
      <c r="S264" s="5"/>
      <c r="T264" s="6"/>
      <c r="U264" s="5"/>
      <c r="V264" s="6"/>
      <c r="W264" s="7"/>
      <c r="X264" s="8"/>
      <c r="Y264" s="6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6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C264" s="6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  <c r="JC264" s="5"/>
      <c r="JD264" s="5"/>
      <c r="JE264" s="5"/>
      <c r="JF264" s="5"/>
      <c r="JG264" s="5"/>
      <c r="JH264" s="5"/>
      <c r="JI264" s="5"/>
      <c r="JJ264" s="5"/>
      <c r="JK264" s="5"/>
      <c r="JM264" s="19"/>
      <c r="JO264" s="5"/>
      <c r="JP264" s="5"/>
      <c r="JQ264" s="5"/>
      <c r="JR264" s="5"/>
      <c r="JS264" s="6"/>
      <c r="JT264" s="23"/>
      <c r="JU264" s="13"/>
      <c r="JV264" s="6"/>
      <c r="JW264" s="6"/>
      <c r="JX264" s="6"/>
      <c r="JY264" s="6"/>
      <c r="JZ264" s="10"/>
      <c r="KA264" s="10"/>
      <c r="KB264" s="10"/>
      <c r="KC264" s="10"/>
      <c r="KD264" s="5"/>
      <c r="KE264" s="6"/>
    </row>
    <row r="265" spans="6:291" x14ac:dyDescent="0.3">
      <c r="F265" s="17"/>
      <c r="G265" s="9"/>
      <c r="H265" s="3"/>
      <c r="I265" s="3"/>
      <c r="J265" s="3"/>
      <c r="K265" s="3"/>
      <c r="L265" s="3"/>
      <c r="M265" s="3"/>
      <c r="N265" s="3"/>
      <c r="O265" s="3"/>
      <c r="P265" s="4"/>
      <c r="Q265" s="5"/>
      <c r="R265" s="5"/>
      <c r="S265" s="5"/>
      <c r="T265" s="6"/>
      <c r="U265" s="5"/>
      <c r="V265" s="6"/>
      <c r="W265" s="7"/>
      <c r="X265" s="8"/>
      <c r="Y265" s="6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6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C265" s="6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  <c r="JC265" s="5"/>
      <c r="JD265" s="5"/>
      <c r="JE265" s="5"/>
      <c r="JF265" s="5"/>
      <c r="JG265" s="5"/>
      <c r="JH265" s="5"/>
      <c r="JI265" s="5"/>
      <c r="JJ265" s="5"/>
      <c r="JK265" s="5"/>
      <c r="JM265" s="19"/>
      <c r="JO265" s="5"/>
      <c r="JP265" s="5"/>
      <c r="JQ265" s="5"/>
      <c r="JR265" s="5"/>
      <c r="JS265" s="6"/>
      <c r="JT265" s="23"/>
      <c r="JU265" s="13"/>
      <c r="JV265" s="6"/>
      <c r="JW265" s="6"/>
      <c r="JX265" s="6"/>
      <c r="JY265" s="6"/>
      <c r="JZ265" s="10"/>
      <c r="KA265" s="10"/>
      <c r="KB265" s="10"/>
      <c r="KC265" s="10"/>
      <c r="KD265" s="5"/>
      <c r="KE265" s="6"/>
    </row>
    <row r="266" spans="6:291" x14ac:dyDescent="0.3">
      <c r="F266" s="17"/>
      <c r="G266" s="9"/>
      <c r="H266" s="3"/>
      <c r="I266" s="3"/>
      <c r="J266" s="3"/>
      <c r="K266" s="3"/>
      <c r="L266" s="3"/>
      <c r="M266" s="3"/>
      <c r="N266" s="3"/>
      <c r="O266" s="3"/>
      <c r="P266" s="4"/>
      <c r="Q266" s="5"/>
      <c r="R266" s="5"/>
      <c r="S266" s="5"/>
      <c r="T266" s="6"/>
      <c r="U266" s="5"/>
      <c r="V266" s="6"/>
      <c r="W266" s="7"/>
      <c r="X266" s="8"/>
      <c r="Y266" s="6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6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C266" s="6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  <c r="JC266" s="5"/>
      <c r="JD266" s="5"/>
      <c r="JE266" s="5"/>
      <c r="JF266" s="5"/>
      <c r="JG266" s="5"/>
      <c r="JH266" s="5"/>
      <c r="JI266" s="5"/>
      <c r="JJ266" s="5"/>
      <c r="JK266" s="5"/>
      <c r="JM266" s="19"/>
      <c r="JO266" s="5"/>
      <c r="JP266" s="5"/>
      <c r="JQ266" s="5"/>
      <c r="JR266" s="5"/>
      <c r="JS266" s="6"/>
      <c r="JT266" s="23"/>
      <c r="JU266" s="13"/>
      <c r="JV266" s="6"/>
      <c r="JW266" s="6"/>
      <c r="JX266" s="6"/>
      <c r="JY266" s="6"/>
      <c r="JZ266" s="10"/>
      <c r="KA266" s="10"/>
      <c r="KB266" s="10"/>
      <c r="KC266" s="10"/>
      <c r="KD266" s="5"/>
      <c r="KE266" s="6"/>
    </row>
    <row r="267" spans="6:291" x14ac:dyDescent="0.3">
      <c r="F267" s="17"/>
      <c r="G267" s="9"/>
      <c r="H267" s="3"/>
      <c r="I267" s="3"/>
      <c r="J267" s="3"/>
      <c r="K267" s="3"/>
      <c r="L267" s="3"/>
      <c r="M267" s="3"/>
      <c r="N267" s="3"/>
      <c r="O267" s="3"/>
      <c r="P267" s="4"/>
      <c r="Q267" s="5"/>
      <c r="R267" s="5"/>
      <c r="S267" s="5"/>
      <c r="T267" s="6"/>
      <c r="U267" s="5"/>
      <c r="V267" s="6"/>
      <c r="W267" s="7"/>
      <c r="X267" s="8"/>
      <c r="Y267" s="6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6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C267" s="6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  <c r="JC267" s="5"/>
      <c r="JD267" s="5"/>
      <c r="JE267" s="5"/>
      <c r="JF267" s="5"/>
      <c r="JG267" s="5"/>
      <c r="JH267" s="5"/>
      <c r="JI267" s="5"/>
      <c r="JJ267" s="5"/>
      <c r="JK267" s="5"/>
      <c r="JM267" s="19"/>
      <c r="JO267" s="5"/>
      <c r="JP267" s="5"/>
      <c r="JQ267" s="5"/>
      <c r="JR267" s="5"/>
      <c r="JS267" s="6"/>
      <c r="JT267" s="23"/>
      <c r="JU267" s="13"/>
      <c r="JV267" s="6"/>
      <c r="JW267" s="6"/>
      <c r="JX267" s="6"/>
      <c r="JY267" s="6"/>
      <c r="JZ267" s="10"/>
      <c r="KA267" s="10"/>
      <c r="KB267" s="10"/>
      <c r="KC267" s="10"/>
      <c r="KD267" s="5"/>
      <c r="KE267" s="6"/>
    </row>
    <row r="268" spans="6:291" x14ac:dyDescent="0.3">
      <c r="F268" s="17"/>
      <c r="G268" s="9"/>
      <c r="H268" s="3"/>
      <c r="I268" s="3"/>
      <c r="J268" s="3"/>
      <c r="K268" s="3"/>
      <c r="L268" s="3"/>
      <c r="M268" s="3"/>
      <c r="N268" s="3"/>
      <c r="O268" s="3"/>
      <c r="P268" s="4"/>
      <c r="Q268" s="5"/>
      <c r="R268" s="5"/>
      <c r="S268" s="5"/>
      <c r="T268" s="6"/>
      <c r="U268" s="5"/>
      <c r="V268" s="6"/>
      <c r="W268" s="7"/>
      <c r="X268" s="8"/>
      <c r="Y268" s="6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6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C268" s="6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  <c r="JC268" s="5"/>
      <c r="JD268" s="5"/>
      <c r="JE268" s="5"/>
      <c r="JF268" s="5"/>
      <c r="JG268" s="5"/>
      <c r="JH268" s="5"/>
      <c r="JI268" s="5"/>
      <c r="JJ268" s="5"/>
      <c r="JK268" s="5"/>
      <c r="JM268" s="19"/>
      <c r="JO268" s="5"/>
      <c r="JP268" s="5"/>
      <c r="JQ268" s="5"/>
      <c r="JR268" s="5"/>
      <c r="JS268" s="6"/>
      <c r="JT268" s="23"/>
      <c r="JU268" s="13"/>
      <c r="JV268" s="6"/>
      <c r="JW268" s="6"/>
      <c r="JX268" s="6"/>
      <c r="JY268" s="6"/>
      <c r="JZ268" s="10"/>
      <c r="KA268" s="10"/>
      <c r="KB268" s="10"/>
      <c r="KC268" s="10"/>
      <c r="KD268" s="5"/>
      <c r="KE268" s="6"/>
    </row>
    <row r="269" spans="6:291" x14ac:dyDescent="0.3">
      <c r="F269" s="17"/>
      <c r="G269" s="9"/>
      <c r="H269" s="3"/>
      <c r="I269" s="3"/>
      <c r="J269" s="3"/>
      <c r="K269" s="3"/>
      <c r="L269" s="3"/>
      <c r="M269" s="3"/>
      <c r="N269" s="3"/>
      <c r="O269" s="3"/>
      <c r="P269" s="4"/>
      <c r="Q269" s="5"/>
      <c r="R269" s="5"/>
      <c r="S269" s="5"/>
      <c r="T269" s="6"/>
      <c r="U269" s="5"/>
      <c r="V269" s="6"/>
      <c r="W269" s="7"/>
      <c r="X269" s="8"/>
      <c r="Y269" s="6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6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C269" s="6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  <c r="JC269" s="5"/>
      <c r="JD269" s="5"/>
      <c r="JE269" s="5"/>
      <c r="JF269" s="5"/>
      <c r="JG269" s="5"/>
      <c r="JH269" s="5"/>
      <c r="JI269" s="5"/>
      <c r="JJ269" s="5"/>
      <c r="JK269" s="5"/>
      <c r="JM269" s="19"/>
      <c r="JO269" s="5"/>
      <c r="JP269" s="5"/>
      <c r="JQ269" s="5"/>
      <c r="JR269" s="5"/>
      <c r="JS269" s="6"/>
      <c r="JT269" s="23"/>
      <c r="JU269" s="13"/>
      <c r="JV269" s="6"/>
      <c r="JW269" s="6"/>
      <c r="JX269" s="6"/>
      <c r="JY269" s="6"/>
      <c r="JZ269" s="10"/>
      <c r="KA269" s="10"/>
      <c r="KB269" s="10"/>
      <c r="KC269" s="10"/>
      <c r="KD269" s="5"/>
      <c r="KE269" s="6"/>
    </row>
    <row r="270" spans="6:291" x14ac:dyDescent="0.3">
      <c r="F270" s="17"/>
      <c r="G270" s="9"/>
      <c r="H270" s="3"/>
      <c r="I270" s="3"/>
      <c r="J270" s="3"/>
      <c r="K270" s="3"/>
      <c r="L270" s="3"/>
      <c r="M270" s="3"/>
      <c r="N270" s="3"/>
      <c r="O270" s="3"/>
      <c r="P270" s="4"/>
      <c r="Q270" s="5"/>
      <c r="R270" s="5"/>
      <c r="S270" s="5"/>
      <c r="T270" s="6"/>
      <c r="U270" s="5"/>
      <c r="V270" s="6"/>
      <c r="W270" s="7"/>
      <c r="X270" s="8"/>
      <c r="Y270" s="6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6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C270" s="6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  <c r="JC270" s="5"/>
      <c r="JD270" s="5"/>
      <c r="JE270" s="5"/>
      <c r="JF270" s="5"/>
      <c r="JG270" s="5"/>
      <c r="JH270" s="5"/>
      <c r="JI270" s="5"/>
      <c r="JJ270" s="5"/>
      <c r="JK270" s="5"/>
      <c r="JM270" s="19"/>
      <c r="JO270" s="5"/>
      <c r="JP270" s="5"/>
      <c r="JQ270" s="5"/>
      <c r="JR270" s="5"/>
      <c r="JS270" s="6"/>
      <c r="JT270" s="23"/>
      <c r="JU270" s="13"/>
      <c r="JV270" s="6"/>
      <c r="JW270" s="6"/>
      <c r="JX270" s="6"/>
      <c r="JY270" s="6"/>
      <c r="JZ270" s="10"/>
      <c r="KA270" s="10"/>
      <c r="KB270" s="10"/>
      <c r="KC270" s="10"/>
      <c r="KD270" s="5"/>
      <c r="KE270" s="6"/>
    </row>
    <row r="271" spans="6:291" x14ac:dyDescent="0.3">
      <c r="F271" s="17"/>
      <c r="G271" s="9"/>
      <c r="H271" s="3"/>
      <c r="I271" s="3"/>
      <c r="J271" s="3"/>
      <c r="K271" s="3"/>
      <c r="L271" s="3"/>
      <c r="M271" s="3"/>
      <c r="N271" s="3"/>
      <c r="O271" s="3"/>
      <c r="P271" s="4"/>
      <c r="Q271" s="5"/>
      <c r="R271" s="5"/>
      <c r="S271" s="5"/>
      <c r="T271" s="6"/>
      <c r="U271" s="5"/>
      <c r="V271" s="6"/>
      <c r="W271" s="7"/>
      <c r="X271" s="8"/>
      <c r="Y271" s="6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6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C271" s="6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  <c r="JC271" s="5"/>
      <c r="JD271" s="5"/>
      <c r="JE271" s="5"/>
      <c r="JF271" s="5"/>
      <c r="JG271" s="5"/>
      <c r="JH271" s="5"/>
      <c r="JI271" s="5"/>
      <c r="JJ271" s="5"/>
      <c r="JK271" s="5"/>
      <c r="JM271" s="19"/>
      <c r="JO271" s="5"/>
      <c r="JP271" s="5"/>
      <c r="JQ271" s="5"/>
      <c r="JR271" s="5"/>
      <c r="JS271" s="6"/>
      <c r="JT271" s="23"/>
      <c r="JU271" s="13"/>
      <c r="JV271" s="6"/>
      <c r="JW271" s="6"/>
      <c r="JX271" s="6"/>
      <c r="JY271" s="6"/>
      <c r="JZ271" s="10"/>
      <c r="KA271" s="10"/>
      <c r="KB271" s="10"/>
      <c r="KC271" s="10"/>
      <c r="KD271" s="5"/>
      <c r="KE271" s="6"/>
    </row>
    <row r="272" spans="6:291" x14ac:dyDescent="0.3">
      <c r="F272" s="17"/>
      <c r="G272" s="9"/>
      <c r="H272" s="3"/>
      <c r="I272" s="3"/>
      <c r="J272" s="3"/>
      <c r="K272" s="3"/>
      <c r="L272" s="3"/>
      <c r="M272" s="3"/>
      <c r="N272" s="3"/>
      <c r="O272" s="3"/>
      <c r="P272" s="4"/>
      <c r="Q272" s="5"/>
      <c r="R272" s="5"/>
      <c r="S272" s="5"/>
      <c r="T272" s="6"/>
      <c r="U272" s="5"/>
      <c r="V272" s="6"/>
      <c r="W272" s="7"/>
      <c r="X272" s="8"/>
      <c r="Y272" s="6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6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C272" s="6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  <c r="JC272" s="5"/>
      <c r="JD272" s="5"/>
      <c r="JE272" s="5"/>
      <c r="JF272" s="5"/>
      <c r="JG272" s="5"/>
      <c r="JH272" s="5"/>
      <c r="JI272" s="5"/>
      <c r="JJ272" s="5"/>
      <c r="JK272" s="5"/>
      <c r="JM272" s="19"/>
      <c r="JO272" s="5"/>
      <c r="JP272" s="5"/>
      <c r="JQ272" s="5"/>
      <c r="JR272" s="5"/>
      <c r="JS272" s="6"/>
      <c r="JT272" s="23"/>
      <c r="JU272" s="13"/>
      <c r="JV272" s="6"/>
      <c r="JW272" s="6"/>
      <c r="JX272" s="6"/>
      <c r="JY272" s="6"/>
      <c r="JZ272" s="10"/>
      <c r="KA272" s="10"/>
      <c r="KB272" s="10"/>
      <c r="KC272" s="10"/>
      <c r="KD272" s="5"/>
      <c r="KE272" s="6"/>
    </row>
    <row r="273" spans="6:291" x14ac:dyDescent="0.3">
      <c r="F273" s="17"/>
      <c r="G273" s="9"/>
      <c r="H273" s="3"/>
      <c r="I273" s="3"/>
      <c r="J273" s="3"/>
      <c r="K273" s="3"/>
      <c r="L273" s="3"/>
      <c r="M273" s="3"/>
      <c r="N273" s="3"/>
      <c r="O273" s="3"/>
      <c r="P273" s="4"/>
      <c r="Q273" s="5"/>
      <c r="R273" s="5"/>
      <c r="S273" s="5"/>
      <c r="T273" s="6"/>
      <c r="U273" s="5"/>
      <c r="V273" s="6"/>
      <c r="W273" s="7"/>
      <c r="X273" s="8"/>
      <c r="Y273" s="6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6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C273" s="6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  <c r="JC273" s="5"/>
      <c r="JD273" s="5"/>
      <c r="JE273" s="5"/>
      <c r="JF273" s="5"/>
      <c r="JG273" s="5"/>
      <c r="JH273" s="5"/>
      <c r="JI273" s="5"/>
      <c r="JJ273" s="5"/>
      <c r="JK273" s="5"/>
      <c r="JM273" s="19"/>
      <c r="JO273" s="5"/>
      <c r="JP273" s="5"/>
      <c r="JQ273" s="5"/>
      <c r="JR273" s="5"/>
      <c r="JS273" s="6"/>
      <c r="JT273" s="23"/>
      <c r="JU273" s="13"/>
      <c r="JV273" s="6"/>
      <c r="JW273" s="6"/>
      <c r="JX273" s="6"/>
      <c r="JY273" s="6"/>
      <c r="JZ273" s="10"/>
      <c r="KA273" s="10"/>
      <c r="KB273" s="10"/>
      <c r="KC273" s="10"/>
      <c r="KD273" s="5"/>
      <c r="KE273" s="6"/>
    </row>
    <row r="274" spans="6:291" x14ac:dyDescent="0.3">
      <c r="F274" s="17"/>
      <c r="G274" s="9"/>
      <c r="H274" s="3"/>
      <c r="I274" s="3"/>
      <c r="J274" s="3"/>
      <c r="K274" s="3"/>
      <c r="L274" s="3"/>
      <c r="M274" s="3"/>
      <c r="N274" s="3"/>
      <c r="O274" s="3"/>
      <c r="P274" s="4"/>
      <c r="Q274" s="5"/>
      <c r="R274" s="5"/>
      <c r="S274" s="5"/>
      <c r="T274" s="6"/>
      <c r="U274" s="5"/>
      <c r="V274" s="6"/>
      <c r="W274" s="7"/>
      <c r="X274" s="8"/>
      <c r="Y274" s="6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6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C274" s="6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  <c r="JC274" s="5"/>
      <c r="JD274" s="5"/>
      <c r="JE274" s="5"/>
      <c r="JF274" s="5"/>
      <c r="JG274" s="5"/>
      <c r="JH274" s="5"/>
      <c r="JI274" s="5"/>
      <c r="JJ274" s="5"/>
      <c r="JK274" s="5"/>
      <c r="JM274" s="19"/>
      <c r="JO274" s="5"/>
      <c r="JP274" s="5"/>
      <c r="JQ274" s="5"/>
      <c r="JR274" s="5"/>
      <c r="JS274" s="6"/>
      <c r="JT274" s="23"/>
      <c r="JU274" s="13"/>
      <c r="JV274" s="6"/>
      <c r="JW274" s="6"/>
      <c r="JX274" s="6"/>
      <c r="JY274" s="6"/>
      <c r="JZ274" s="10"/>
      <c r="KA274" s="10"/>
      <c r="KB274" s="10"/>
      <c r="KC274" s="10"/>
      <c r="KD274" s="5"/>
      <c r="KE274" s="6"/>
    </row>
    <row r="275" spans="6:291" x14ac:dyDescent="0.3">
      <c r="F275" s="17"/>
      <c r="G275" s="9"/>
      <c r="H275" s="3"/>
      <c r="I275" s="3"/>
      <c r="J275" s="3"/>
      <c r="K275" s="3"/>
      <c r="L275" s="3"/>
      <c r="M275" s="3"/>
      <c r="N275" s="3"/>
      <c r="O275" s="3"/>
      <c r="P275" s="4"/>
      <c r="Q275" s="5"/>
      <c r="R275" s="5"/>
      <c r="S275" s="5"/>
      <c r="T275" s="6"/>
      <c r="U275" s="5"/>
      <c r="V275" s="6"/>
      <c r="W275" s="7"/>
      <c r="X275" s="8"/>
      <c r="Y275" s="6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6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C275" s="6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  <c r="JC275" s="5"/>
      <c r="JD275" s="5"/>
      <c r="JE275" s="5"/>
      <c r="JF275" s="5"/>
      <c r="JG275" s="5"/>
      <c r="JH275" s="5"/>
      <c r="JI275" s="5"/>
      <c r="JJ275" s="5"/>
      <c r="JK275" s="5"/>
      <c r="JM275" s="19"/>
      <c r="JO275" s="5"/>
      <c r="JP275" s="5"/>
      <c r="JQ275" s="5"/>
      <c r="JR275" s="5"/>
      <c r="JS275" s="6"/>
      <c r="JT275" s="23"/>
      <c r="JU275" s="13"/>
      <c r="JV275" s="6"/>
      <c r="JW275" s="6"/>
      <c r="JX275" s="6"/>
      <c r="JY275" s="6"/>
      <c r="JZ275" s="10"/>
      <c r="KA275" s="10"/>
      <c r="KB275" s="10"/>
      <c r="KC275" s="10"/>
      <c r="KD275" s="5"/>
      <c r="KE275" s="6"/>
    </row>
    <row r="276" spans="6:291" x14ac:dyDescent="0.3">
      <c r="F276" s="17"/>
      <c r="G276" s="9"/>
      <c r="H276" s="3"/>
      <c r="I276" s="3"/>
      <c r="J276" s="3"/>
      <c r="K276" s="3"/>
      <c r="L276" s="3"/>
      <c r="M276" s="3"/>
      <c r="N276" s="3"/>
      <c r="O276" s="3"/>
      <c r="P276" s="4"/>
      <c r="Q276" s="5"/>
      <c r="R276" s="5"/>
      <c r="S276" s="5"/>
      <c r="T276" s="6"/>
      <c r="U276" s="5"/>
      <c r="V276" s="6"/>
      <c r="W276" s="7"/>
      <c r="X276" s="8"/>
      <c r="Y276" s="6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6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C276" s="6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  <c r="JC276" s="5"/>
      <c r="JD276" s="5"/>
      <c r="JE276" s="5"/>
      <c r="JF276" s="5"/>
      <c r="JG276" s="5"/>
      <c r="JH276" s="5"/>
      <c r="JI276" s="5"/>
      <c r="JJ276" s="5"/>
      <c r="JK276" s="5"/>
      <c r="JM276" s="19"/>
      <c r="JO276" s="5"/>
      <c r="JP276" s="5"/>
      <c r="JQ276" s="5"/>
      <c r="JR276" s="5"/>
      <c r="JS276" s="6"/>
      <c r="JT276" s="23"/>
      <c r="JU276" s="13"/>
      <c r="JV276" s="6"/>
      <c r="JW276" s="6"/>
      <c r="JX276" s="6"/>
      <c r="JY276" s="6"/>
      <c r="JZ276" s="10"/>
      <c r="KA276" s="10"/>
      <c r="KB276" s="10"/>
      <c r="KC276" s="10"/>
      <c r="KD276" s="5"/>
      <c r="KE276" s="6"/>
    </row>
    <row r="277" spans="6:291" x14ac:dyDescent="0.3">
      <c r="F277" s="17"/>
      <c r="G277" s="9"/>
      <c r="H277" s="3"/>
      <c r="I277" s="3"/>
      <c r="J277" s="3"/>
      <c r="K277" s="3"/>
      <c r="L277" s="3"/>
      <c r="M277" s="3"/>
      <c r="N277" s="3"/>
      <c r="O277" s="3"/>
      <c r="P277" s="4"/>
      <c r="Q277" s="5"/>
      <c r="R277" s="5"/>
      <c r="S277" s="5"/>
      <c r="T277" s="6"/>
      <c r="U277" s="5"/>
      <c r="V277" s="6"/>
      <c r="W277" s="7"/>
      <c r="X277" s="8"/>
      <c r="Y277" s="6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6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C277" s="6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  <c r="JC277" s="5"/>
      <c r="JD277" s="5"/>
      <c r="JE277" s="5"/>
      <c r="JF277" s="5"/>
      <c r="JG277" s="5"/>
      <c r="JH277" s="5"/>
      <c r="JI277" s="5"/>
      <c r="JJ277" s="5"/>
      <c r="JK277" s="5"/>
      <c r="JM277" s="19"/>
      <c r="JO277" s="5"/>
      <c r="JP277" s="5"/>
      <c r="JQ277" s="5"/>
      <c r="JR277" s="5"/>
      <c r="JS277" s="6"/>
      <c r="JT277" s="23"/>
      <c r="JU277" s="13"/>
      <c r="JV277" s="6"/>
      <c r="JW277" s="6"/>
      <c r="JX277" s="6"/>
      <c r="JY277" s="6"/>
      <c r="JZ277" s="10"/>
      <c r="KA277" s="10"/>
      <c r="KB277" s="10"/>
      <c r="KC277" s="10"/>
      <c r="KD277" s="5"/>
      <c r="KE277" s="6"/>
    </row>
    <row r="278" spans="6:291" x14ac:dyDescent="0.3">
      <c r="F278" s="17"/>
      <c r="G278" s="9"/>
      <c r="H278" s="3"/>
      <c r="I278" s="3"/>
      <c r="J278" s="3"/>
      <c r="K278" s="3"/>
      <c r="L278" s="3"/>
      <c r="M278" s="3"/>
      <c r="N278" s="3"/>
      <c r="O278" s="3"/>
      <c r="P278" s="4"/>
      <c r="Q278" s="5"/>
      <c r="R278" s="5"/>
      <c r="S278" s="5"/>
      <c r="T278" s="6"/>
      <c r="U278" s="5"/>
      <c r="V278" s="6"/>
      <c r="W278" s="7"/>
      <c r="X278" s="8"/>
      <c r="Y278" s="6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6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C278" s="6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  <c r="JC278" s="5"/>
      <c r="JD278" s="5"/>
      <c r="JE278" s="5"/>
      <c r="JF278" s="5"/>
      <c r="JG278" s="5"/>
      <c r="JH278" s="5"/>
      <c r="JI278" s="5"/>
      <c r="JJ278" s="5"/>
      <c r="JK278" s="5"/>
      <c r="JM278" s="19"/>
      <c r="JO278" s="5"/>
      <c r="JP278" s="5"/>
      <c r="JQ278" s="5"/>
      <c r="JR278" s="5"/>
      <c r="JS278" s="6"/>
      <c r="JT278" s="23"/>
      <c r="JU278" s="13"/>
      <c r="JV278" s="6"/>
      <c r="JW278" s="6"/>
      <c r="JX278" s="6"/>
      <c r="JY278" s="6"/>
      <c r="JZ278" s="10"/>
      <c r="KA278" s="10"/>
      <c r="KB278" s="10"/>
      <c r="KC278" s="10"/>
      <c r="KD278" s="5"/>
      <c r="KE278" s="6"/>
    </row>
    <row r="279" spans="6:291" x14ac:dyDescent="0.3">
      <c r="F279" s="17"/>
      <c r="G279" s="9"/>
      <c r="H279" s="3"/>
      <c r="I279" s="3"/>
      <c r="J279" s="3"/>
      <c r="K279" s="3"/>
      <c r="L279" s="3"/>
      <c r="M279" s="3"/>
      <c r="N279" s="3"/>
      <c r="O279" s="3"/>
      <c r="P279" s="4"/>
      <c r="Q279" s="5"/>
      <c r="R279" s="5"/>
      <c r="S279" s="5"/>
      <c r="T279" s="6"/>
      <c r="U279" s="5"/>
      <c r="V279" s="6"/>
      <c r="W279" s="7"/>
      <c r="X279" s="8"/>
      <c r="Y279" s="6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6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C279" s="6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  <c r="JC279" s="5"/>
      <c r="JD279" s="5"/>
      <c r="JE279" s="5"/>
      <c r="JF279" s="5"/>
      <c r="JG279" s="5"/>
      <c r="JH279" s="5"/>
      <c r="JI279" s="5"/>
      <c r="JJ279" s="5"/>
      <c r="JK279" s="5"/>
      <c r="JM279" s="19"/>
      <c r="JO279" s="5"/>
      <c r="JP279" s="5"/>
      <c r="JQ279" s="5"/>
      <c r="JR279" s="5"/>
      <c r="JS279" s="6"/>
      <c r="JT279" s="23"/>
      <c r="JU279" s="13"/>
      <c r="JV279" s="6"/>
      <c r="JW279" s="6"/>
      <c r="JX279" s="6"/>
      <c r="JY279" s="6"/>
      <c r="JZ279" s="10"/>
      <c r="KA279" s="10"/>
      <c r="KB279" s="10"/>
      <c r="KC279" s="10"/>
      <c r="KD279" s="5"/>
      <c r="KE279" s="6"/>
    </row>
    <row r="280" spans="6:291" x14ac:dyDescent="0.3">
      <c r="F280" s="17"/>
      <c r="G280" s="9"/>
      <c r="H280" s="3"/>
      <c r="I280" s="3"/>
      <c r="J280" s="3"/>
      <c r="K280" s="3"/>
      <c r="L280" s="3"/>
      <c r="M280" s="3"/>
      <c r="N280" s="3"/>
      <c r="O280" s="3"/>
      <c r="P280" s="4"/>
      <c r="Q280" s="5"/>
      <c r="R280" s="5"/>
      <c r="S280" s="5"/>
      <c r="T280" s="6"/>
      <c r="U280" s="5"/>
      <c r="V280" s="6"/>
      <c r="W280" s="7"/>
      <c r="X280" s="8"/>
      <c r="Y280" s="6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6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C280" s="6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  <c r="JC280" s="5"/>
      <c r="JD280" s="5"/>
      <c r="JE280" s="5"/>
      <c r="JF280" s="5"/>
      <c r="JG280" s="5"/>
      <c r="JH280" s="5"/>
      <c r="JI280" s="5"/>
      <c r="JJ280" s="5"/>
      <c r="JK280" s="5"/>
      <c r="JM280" s="19"/>
      <c r="JO280" s="5"/>
      <c r="JP280" s="5"/>
      <c r="JQ280" s="5"/>
      <c r="JR280" s="5"/>
      <c r="JS280" s="6"/>
      <c r="JT280" s="23"/>
      <c r="JU280" s="13"/>
      <c r="JV280" s="6"/>
      <c r="JW280" s="6"/>
      <c r="JX280" s="6"/>
      <c r="JY280" s="6"/>
      <c r="JZ280" s="10"/>
      <c r="KA280" s="10"/>
      <c r="KB280" s="10"/>
      <c r="KC280" s="10"/>
      <c r="KD280" s="5"/>
      <c r="KE280" s="6"/>
    </row>
    <row r="281" spans="6:291" x14ac:dyDescent="0.3">
      <c r="F281" s="17"/>
      <c r="G281" s="9"/>
      <c r="H281" s="3"/>
      <c r="I281" s="3"/>
      <c r="J281" s="3"/>
      <c r="K281" s="3"/>
      <c r="L281" s="3"/>
      <c r="M281" s="3"/>
      <c r="N281" s="3"/>
      <c r="O281" s="3"/>
      <c r="P281" s="4"/>
      <c r="Q281" s="5"/>
      <c r="R281" s="5"/>
      <c r="S281" s="5"/>
      <c r="T281" s="6"/>
      <c r="U281" s="5"/>
      <c r="V281" s="6"/>
      <c r="W281" s="7"/>
      <c r="X281" s="8"/>
      <c r="Y281" s="6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6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C281" s="6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  <c r="JC281" s="5"/>
      <c r="JD281" s="5"/>
      <c r="JE281" s="5"/>
      <c r="JF281" s="5"/>
      <c r="JG281" s="5"/>
      <c r="JH281" s="5"/>
      <c r="JI281" s="5"/>
      <c r="JJ281" s="5"/>
      <c r="JK281" s="5"/>
      <c r="JM281" s="19"/>
      <c r="JO281" s="5"/>
      <c r="JP281" s="5"/>
      <c r="JQ281" s="5"/>
      <c r="JR281" s="5"/>
      <c r="JS281" s="6"/>
      <c r="JT281" s="23"/>
      <c r="JU281" s="13"/>
      <c r="JV281" s="6"/>
      <c r="JW281" s="6"/>
      <c r="JX281" s="6"/>
      <c r="JY281" s="6"/>
      <c r="JZ281" s="10"/>
      <c r="KA281" s="10"/>
      <c r="KB281" s="10"/>
      <c r="KC281" s="10"/>
      <c r="KD281" s="5"/>
      <c r="KE281" s="6"/>
    </row>
    <row r="282" spans="6:291" x14ac:dyDescent="0.3">
      <c r="F282" s="17"/>
      <c r="G282" s="9"/>
      <c r="H282" s="3"/>
      <c r="I282" s="3"/>
      <c r="J282" s="3"/>
      <c r="K282" s="3"/>
      <c r="L282" s="3"/>
      <c r="M282" s="3"/>
      <c r="N282" s="3"/>
      <c r="O282" s="3"/>
      <c r="P282" s="4"/>
      <c r="Q282" s="5"/>
      <c r="R282" s="5"/>
      <c r="S282" s="5"/>
      <c r="T282" s="6"/>
      <c r="U282" s="5"/>
      <c r="V282" s="6"/>
      <c r="W282" s="7"/>
      <c r="X282" s="8"/>
      <c r="Y282" s="6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6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C282" s="6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5"/>
      <c r="JD282" s="5"/>
      <c r="JE282" s="5"/>
      <c r="JF282" s="5"/>
      <c r="JG282" s="5"/>
      <c r="JH282" s="5"/>
      <c r="JI282" s="5"/>
      <c r="JJ282" s="5"/>
      <c r="JK282" s="5"/>
      <c r="JM282" s="19"/>
      <c r="JO282" s="5"/>
      <c r="JP282" s="5"/>
      <c r="JQ282" s="5"/>
      <c r="JR282" s="5"/>
      <c r="JS282" s="6"/>
      <c r="JT282" s="23"/>
      <c r="JU282" s="13"/>
      <c r="JV282" s="6"/>
      <c r="JW282" s="6"/>
      <c r="JX282" s="6"/>
      <c r="JY282" s="6"/>
      <c r="JZ282" s="10"/>
      <c r="KA282" s="10"/>
      <c r="KB282" s="10"/>
      <c r="KC282" s="10"/>
      <c r="KD282" s="5"/>
      <c r="KE282" s="6"/>
    </row>
    <row r="283" spans="6:291" x14ac:dyDescent="0.3">
      <c r="F283" s="17"/>
      <c r="G283" s="9"/>
      <c r="H283" s="3"/>
      <c r="I283" s="3"/>
      <c r="J283" s="3"/>
      <c r="K283" s="3"/>
      <c r="L283" s="3"/>
      <c r="M283" s="3"/>
      <c r="N283" s="3"/>
      <c r="O283" s="3"/>
      <c r="P283" s="4"/>
      <c r="Q283" s="5"/>
      <c r="R283" s="5"/>
      <c r="S283" s="5"/>
      <c r="T283" s="6"/>
      <c r="U283" s="5"/>
      <c r="V283" s="6"/>
      <c r="W283" s="7"/>
      <c r="X283" s="8"/>
      <c r="Y283" s="6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6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C283" s="6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  <c r="JC283" s="5"/>
      <c r="JD283" s="5"/>
      <c r="JE283" s="5"/>
      <c r="JF283" s="5"/>
      <c r="JG283" s="5"/>
      <c r="JH283" s="5"/>
      <c r="JI283" s="5"/>
      <c r="JJ283" s="5"/>
      <c r="JK283" s="5"/>
      <c r="JM283" s="19"/>
      <c r="JO283" s="5"/>
      <c r="JP283" s="5"/>
      <c r="JQ283" s="5"/>
      <c r="JR283" s="5"/>
      <c r="JS283" s="6"/>
      <c r="JT283" s="23"/>
      <c r="JU283" s="13"/>
      <c r="JV283" s="6"/>
      <c r="JW283" s="6"/>
      <c r="JX283" s="6"/>
      <c r="JY283" s="6"/>
      <c r="JZ283" s="10"/>
      <c r="KA283" s="10"/>
      <c r="KB283" s="10"/>
      <c r="KC283" s="10"/>
      <c r="KD283" s="5"/>
      <c r="KE283" s="6"/>
    </row>
    <row r="284" spans="6:291" x14ac:dyDescent="0.3">
      <c r="F284" s="17"/>
      <c r="G284" s="9"/>
      <c r="H284" s="3"/>
      <c r="I284" s="3"/>
      <c r="J284" s="3"/>
      <c r="K284" s="3"/>
      <c r="L284" s="3"/>
      <c r="M284" s="3"/>
      <c r="N284" s="3"/>
      <c r="O284" s="3"/>
      <c r="P284" s="4"/>
      <c r="Q284" s="5"/>
      <c r="R284" s="5"/>
      <c r="S284" s="5"/>
      <c r="T284" s="6"/>
      <c r="U284" s="5"/>
      <c r="V284" s="6"/>
      <c r="W284" s="7"/>
      <c r="X284" s="8"/>
      <c r="Y284" s="6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6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C284" s="6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  <c r="JC284" s="5"/>
      <c r="JD284" s="5"/>
      <c r="JE284" s="5"/>
      <c r="JF284" s="5"/>
      <c r="JG284" s="5"/>
      <c r="JH284" s="5"/>
      <c r="JI284" s="5"/>
      <c r="JJ284" s="5"/>
      <c r="JK284" s="5"/>
      <c r="JM284" s="19"/>
      <c r="JO284" s="5"/>
      <c r="JP284" s="5"/>
      <c r="JQ284" s="5"/>
      <c r="JR284" s="5"/>
      <c r="JS284" s="6"/>
      <c r="JT284" s="23"/>
      <c r="JU284" s="13"/>
      <c r="JV284" s="6"/>
      <c r="JW284" s="6"/>
      <c r="JX284" s="6"/>
      <c r="JY284" s="6"/>
      <c r="JZ284" s="10"/>
      <c r="KA284" s="10"/>
      <c r="KB284" s="10"/>
      <c r="KC284" s="10"/>
      <c r="KD284" s="5"/>
      <c r="KE284" s="6"/>
    </row>
    <row r="285" spans="6:291" x14ac:dyDescent="0.3">
      <c r="F285" s="17"/>
      <c r="G285" s="9"/>
      <c r="H285" s="3"/>
      <c r="I285" s="3"/>
      <c r="J285" s="3"/>
      <c r="K285" s="3"/>
      <c r="L285" s="3"/>
      <c r="M285" s="3"/>
      <c r="N285" s="3"/>
      <c r="O285" s="3"/>
      <c r="P285" s="4"/>
      <c r="Q285" s="5"/>
      <c r="R285" s="5"/>
      <c r="S285" s="5"/>
      <c r="T285" s="6"/>
      <c r="U285" s="5"/>
      <c r="V285" s="6"/>
      <c r="W285" s="7"/>
      <c r="X285" s="8"/>
      <c r="Y285" s="6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6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C285" s="6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  <c r="JE285" s="5"/>
      <c r="JF285" s="5"/>
      <c r="JG285" s="5"/>
      <c r="JH285" s="5"/>
      <c r="JI285" s="5"/>
      <c r="JJ285" s="5"/>
      <c r="JK285" s="5"/>
      <c r="JM285" s="19"/>
      <c r="JO285" s="5"/>
      <c r="JP285" s="5"/>
      <c r="JQ285" s="5"/>
      <c r="JR285" s="5"/>
      <c r="JS285" s="6"/>
      <c r="JT285" s="23"/>
      <c r="JU285" s="13"/>
      <c r="JV285" s="6"/>
      <c r="JW285" s="6"/>
      <c r="JX285" s="6"/>
      <c r="JY285" s="6"/>
      <c r="JZ285" s="10"/>
      <c r="KA285" s="10"/>
      <c r="KB285" s="10"/>
      <c r="KC285" s="10"/>
      <c r="KD285" s="5"/>
      <c r="KE285" s="6"/>
    </row>
    <row r="286" spans="6:291" x14ac:dyDescent="0.3">
      <c r="F286" s="17"/>
      <c r="G286" s="9"/>
      <c r="H286" s="3"/>
      <c r="I286" s="3"/>
      <c r="J286" s="3"/>
      <c r="K286" s="3"/>
      <c r="L286" s="3"/>
      <c r="M286" s="3"/>
      <c r="N286" s="3"/>
      <c r="O286" s="3"/>
      <c r="P286" s="4"/>
      <c r="Q286" s="5"/>
      <c r="R286" s="5"/>
      <c r="S286" s="5"/>
      <c r="T286" s="6"/>
      <c r="U286" s="5"/>
      <c r="V286" s="6"/>
      <c r="W286" s="7"/>
      <c r="X286" s="8"/>
      <c r="Y286" s="6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6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C286" s="6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  <c r="JE286" s="5"/>
      <c r="JF286" s="5"/>
      <c r="JG286" s="5"/>
      <c r="JH286" s="5"/>
      <c r="JI286" s="5"/>
      <c r="JJ286" s="5"/>
      <c r="JK286" s="5"/>
      <c r="JM286" s="19"/>
      <c r="JO286" s="5"/>
      <c r="JP286" s="5"/>
      <c r="JQ286" s="5"/>
      <c r="JR286" s="5"/>
      <c r="JS286" s="6"/>
      <c r="JT286" s="23"/>
      <c r="JU286" s="13"/>
      <c r="JV286" s="6"/>
      <c r="JW286" s="6"/>
      <c r="JX286" s="6"/>
      <c r="JY286" s="6"/>
      <c r="JZ286" s="10"/>
      <c r="KA286" s="10"/>
      <c r="KB286" s="10"/>
      <c r="KC286" s="10"/>
      <c r="KD286" s="5"/>
      <c r="KE286" s="6"/>
    </row>
    <row r="287" spans="6:291" x14ac:dyDescent="0.3">
      <c r="F287" s="17"/>
      <c r="G287" s="9"/>
      <c r="H287" s="3"/>
      <c r="I287" s="3"/>
      <c r="J287" s="3"/>
      <c r="K287" s="3"/>
      <c r="L287" s="3"/>
      <c r="M287" s="3"/>
      <c r="N287" s="3"/>
      <c r="O287" s="3"/>
      <c r="P287" s="4"/>
      <c r="Q287" s="5"/>
      <c r="R287" s="5"/>
      <c r="S287" s="5"/>
      <c r="T287" s="6"/>
      <c r="U287" s="5"/>
      <c r="V287" s="6"/>
      <c r="W287" s="7"/>
      <c r="X287" s="8"/>
      <c r="Y287" s="6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6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C287" s="6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  <c r="JC287" s="5"/>
      <c r="JD287" s="5"/>
      <c r="JE287" s="5"/>
      <c r="JF287" s="5"/>
      <c r="JG287" s="5"/>
      <c r="JH287" s="5"/>
      <c r="JI287" s="5"/>
      <c r="JJ287" s="5"/>
      <c r="JK287" s="5"/>
      <c r="JM287" s="19"/>
      <c r="JO287" s="5"/>
      <c r="JP287" s="5"/>
      <c r="JQ287" s="5"/>
      <c r="JR287" s="5"/>
      <c r="JS287" s="6"/>
      <c r="JT287" s="23"/>
      <c r="JU287" s="13"/>
      <c r="JV287" s="6"/>
      <c r="JW287" s="6"/>
      <c r="JX287" s="6"/>
      <c r="JY287" s="6"/>
      <c r="JZ287" s="10"/>
      <c r="KA287" s="10"/>
      <c r="KB287" s="10"/>
      <c r="KC287" s="10"/>
      <c r="KD287" s="5"/>
      <c r="KE287" s="6"/>
    </row>
    <row r="288" spans="6:291" x14ac:dyDescent="0.3">
      <c r="F288" s="17"/>
      <c r="G288" s="9"/>
      <c r="H288" s="3"/>
      <c r="I288" s="3"/>
      <c r="J288" s="3"/>
      <c r="K288" s="3"/>
      <c r="L288" s="3"/>
      <c r="M288" s="3"/>
      <c r="N288" s="3"/>
      <c r="O288" s="3"/>
      <c r="P288" s="4"/>
      <c r="Q288" s="5"/>
      <c r="R288" s="5"/>
      <c r="S288" s="5"/>
      <c r="T288" s="6"/>
      <c r="U288" s="5"/>
      <c r="V288" s="6"/>
      <c r="W288" s="7"/>
      <c r="X288" s="8"/>
      <c r="Y288" s="6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6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C288" s="6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  <c r="JC288" s="5"/>
      <c r="JD288" s="5"/>
      <c r="JE288" s="5"/>
      <c r="JF288" s="5"/>
      <c r="JG288" s="5"/>
      <c r="JH288" s="5"/>
      <c r="JI288" s="5"/>
      <c r="JJ288" s="5"/>
      <c r="JK288" s="5"/>
      <c r="JM288" s="19"/>
      <c r="JO288" s="5"/>
      <c r="JP288" s="5"/>
      <c r="JQ288" s="5"/>
      <c r="JR288" s="5"/>
      <c r="JS288" s="6"/>
      <c r="JT288" s="23"/>
      <c r="JU288" s="13"/>
      <c r="JV288" s="6"/>
      <c r="JW288" s="6"/>
      <c r="JX288" s="6"/>
      <c r="JY288" s="6"/>
      <c r="JZ288" s="10"/>
      <c r="KA288" s="10"/>
      <c r="KB288" s="10"/>
      <c r="KC288" s="10"/>
      <c r="KD288" s="5"/>
      <c r="KE288" s="6"/>
    </row>
    <row r="289" spans="6:291" x14ac:dyDescent="0.3">
      <c r="F289" s="17"/>
      <c r="G289" s="9"/>
      <c r="H289" s="3"/>
      <c r="I289" s="3"/>
      <c r="J289" s="3"/>
      <c r="K289" s="3"/>
      <c r="L289" s="3"/>
      <c r="M289" s="3"/>
      <c r="N289" s="3"/>
      <c r="O289" s="3"/>
      <c r="P289" s="4"/>
      <c r="Q289" s="5"/>
      <c r="R289" s="5"/>
      <c r="S289" s="5"/>
      <c r="T289" s="6"/>
      <c r="U289" s="5"/>
      <c r="V289" s="6"/>
      <c r="W289" s="7"/>
      <c r="X289" s="8"/>
      <c r="Y289" s="6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6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C289" s="6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  <c r="JC289" s="5"/>
      <c r="JD289" s="5"/>
      <c r="JE289" s="5"/>
      <c r="JF289" s="5"/>
      <c r="JG289" s="5"/>
      <c r="JH289" s="5"/>
      <c r="JI289" s="5"/>
      <c r="JJ289" s="5"/>
      <c r="JK289" s="5"/>
      <c r="JM289" s="19"/>
      <c r="JO289" s="5"/>
      <c r="JP289" s="5"/>
      <c r="JQ289" s="5"/>
      <c r="JR289" s="5"/>
      <c r="JS289" s="6"/>
      <c r="JT289" s="23"/>
      <c r="JU289" s="13"/>
      <c r="JV289" s="6"/>
      <c r="JW289" s="6"/>
      <c r="JX289" s="6"/>
      <c r="JY289" s="6"/>
      <c r="JZ289" s="10"/>
      <c r="KA289" s="10"/>
      <c r="KB289" s="10"/>
      <c r="KC289" s="10"/>
      <c r="KD289" s="5"/>
      <c r="KE289" s="6"/>
    </row>
    <row r="290" spans="6:291" x14ac:dyDescent="0.3">
      <c r="F290" s="17"/>
      <c r="G290" s="9"/>
      <c r="H290" s="3"/>
      <c r="I290" s="3"/>
      <c r="J290" s="3"/>
      <c r="K290" s="3"/>
      <c r="L290" s="3"/>
      <c r="M290" s="3"/>
      <c r="N290" s="3"/>
      <c r="O290" s="3"/>
      <c r="P290" s="4"/>
      <c r="Q290" s="5"/>
      <c r="R290" s="5"/>
      <c r="S290" s="5"/>
      <c r="T290" s="6"/>
      <c r="U290" s="5"/>
      <c r="V290" s="6"/>
      <c r="W290" s="7"/>
      <c r="X290" s="8"/>
      <c r="Y290" s="6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6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C290" s="6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  <c r="JC290" s="5"/>
      <c r="JD290" s="5"/>
      <c r="JE290" s="5"/>
      <c r="JF290" s="5"/>
      <c r="JG290" s="5"/>
      <c r="JH290" s="5"/>
      <c r="JI290" s="5"/>
      <c r="JJ290" s="5"/>
      <c r="JK290" s="5"/>
      <c r="JM290" s="19"/>
      <c r="JO290" s="5"/>
      <c r="JP290" s="5"/>
      <c r="JQ290" s="5"/>
      <c r="JR290" s="5"/>
      <c r="JS290" s="6"/>
      <c r="JT290" s="23"/>
      <c r="JU290" s="13"/>
      <c r="JV290" s="6"/>
      <c r="JW290" s="6"/>
      <c r="JX290" s="6"/>
      <c r="JY290" s="6"/>
      <c r="JZ290" s="10"/>
      <c r="KA290" s="10"/>
      <c r="KB290" s="10"/>
      <c r="KC290" s="10"/>
      <c r="KD290" s="5"/>
      <c r="KE290" s="6"/>
    </row>
    <row r="291" spans="6:291" x14ac:dyDescent="0.3">
      <c r="F291" s="17"/>
      <c r="G291" s="9"/>
      <c r="H291" s="3"/>
      <c r="I291" s="3"/>
      <c r="J291" s="3"/>
      <c r="K291" s="3"/>
      <c r="L291" s="3"/>
      <c r="M291" s="3"/>
      <c r="N291" s="3"/>
      <c r="O291" s="3"/>
      <c r="P291" s="4"/>
      <c r="Q291" s="5"/>
      <c r="R291" s="5"/>
      <c r="S291" s="5"/>
      <c r="T291" s="6"/>
      <c r="U291" s="5"/>
      <c r="V291" s="6"/>
      <c r="W291" s="7"/>
      <c r="X291" s="8"/>
      <c r="Y291" s="6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6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C291" s="6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  <c r="JE291" s="5"/>
      <c r="JF291" s="5"/>
      <c r="JG291" s="5"/>
      <c r="JH291" s="5"/>
      <c r="JI291" s="5"/>
      <c r="JJ291" s="5"/>
      <c r="JK291" s="5"/>
      <c r="JM291" s="19"/>
      <c r="JO291" s="5"/>
      <c r="JP291" s="5"/>
      <c r="JQ291" s="5"/>
      <c r="JR291" s="5"/>
      <c r="JS291" s="6"/>
      <c r="JT291" s="23"/>
      <c r="JU291" s="13"/>
      <c r="JV291" s="6"/>
      <c r="JW291" s="6"/>
      <c r="JX291" s="6"/>
      <c r="JY291" s="6"/>
      <c r="JZ291" s="10"/>
      <c r="KA291" s="10"/>
      <c r="KB291" s="10"/>
      <c r="KC291" s="10"/>
      <c r="KD291" s="5"/>
      <c r="KE291" s="6"/>
    </row>
    <row r="292" spans="6:291" x14ac:dyDescent="0.3">
      <c r="F292" s="17"/>
      <c r="G292" s="9"/>
      <c r="H292" s="3"/>
      <c r="I292" s="3"/>
      <c r="J292" s="3"/>
      <c r="K292" s="3"/>
      <c r="L292" s="3"/>
      <c r="M292" s="3"/>
      <c r="N292" s="3"/>
      <c r="O292" s="3"/>
      <c r="P292" s="4"/>
      <c r="Q292" s="5"/>
      <c r="R292" s="5"/>
      <c r="S292" s="5"/>
      <c r="T292" s="6"/>
      <c r="U292" s="5"/>
      <c r="V292" s="6"/>
      <c r="W292" s="7"/>
      <c r="X292" s="8"/>
      <c r="Y292" s="6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6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C292" s="6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  <c r="JC292" s="5"/>
      <c r="JD292" s="5"/>
      <c r="JE292" s="5"/>
      <c r="JF292" s="5"/>
      <c r="JG292" s="5"/>
      <c r="JH292" s="5"/>
      <c r="JI292" s="5"/>
      <c r="JJ292" s="5"/>
      <c r="JK292" s="5"/>
      <c r="JM292" s="19"/>
      <c r="JO292" s="5"/>
      <c r="JP292" s="5"/>
      <c r="JQ292" s="5"/>
      <c r="JR292" s="5"/>
      <c r="JS292" s="6"/>
      <c r="JT292" s="23"/>
      <c r="JU292" s="13"/>
      <c r="JV292" s="6"/>
      <c r="JW292" s="6"/>
      <c r="JX292" s="6"/>
      <c r="JY292" s="6"/>
      <c r="JZ292" s="10"/>
      <c r="KA292" s="10"/>
      <c r="KB292" s="10"/>
      <c r="KC292" s="10"/>
      <c r="KD292" s="5"/>
      <c r="KE292" s="6"/>
    </row>
    <row r="293" spans="6:291" x14ac:dyDescent="0.3">
      <c r="F293" s="17"/>
      <c r="G293" s="9"/>
      <c r="H293" s="3"/>
      <c r="I293" s="3"/>
      <c r="J293" s="3"/>
      <c r="K293" s="3"/>
      <c r="L293" s="3"/>
      <c r="M293" s="3"/>
      <c r="N293" s="3"/>
      <c r="O293" s="3"/>
      <c r="P293" s="4"/>
      <c r="Q293" s="5"/>
      <c r="R293" s="5"/>
      <c r="S293" s="5"/>
      <c r="T293" s="6"/>
      <c r="U293" s="5"/>
      <c r="V293" s="6"/>
      <c r="W293" s="7"/>
      <c r="X293" s="8"/>
      <c r="Y293" s="6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6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C293" s="6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  <c r="JC293" s="5"/>
      <c r="JD293" s="5"/>
      <c r="JE293" s="5"/>
      <c r="JF293" s="5"/>
      <c r="JG293" s="5"/>
      <c r="JH293" s="5"/>
      <c r="JI293" s="5"/>
      <c r="JJ293" s="5"/>
      <c r="JK293" s="5"/>
      <c r="JM293" s="19"/>
      <c r="JO293" s="5"/>
      <c r="JP293" s="5"/>
      <c r="JQ293" s="5"/>
      <c r="JR293" s="5"/>
      <c r="JS293" s="6"/>
      <c r="JT293" s="23"/>
      <c r="JU293" s="13"/>
      <c r="JV293" s="6"/>
      <c r="JW293" s="6"/>
      <c r="JX293" s="6"/>
      <c r="JY293" s="6"/>
      <c r="JZ293" s="10"/>
      <c r="KA293" s="10"/>
      <c r="KB293" s="10"/>
      <c r="KC293" s="10"/>
      <c r="KD293" s="5"/>
      <c r="KE293" s="6"/>
    </row>
    <row r="294" spans="6:291" x14ac:dyDescent="0.3">
      <c r="F294" s="17"/>
      <c r="G294" s="9"/>
      <c r="H294" s="3"/>
      <c r="I294" s="3"/>
      <c r="J294" s="3"/>
      <c r="K294" s="3"/>
      <c r="L294" s="3"/>
      <c r="M294" s="3"/>
      <c r="N294" s="3"/>
      <c r="O294" s="3"/>
      <c r="P294" s="4"/>
      <c r="Q294" s="5"/>
      <c r="R294" s="5"/>
      <c r="S294" s="5"/>
      <c r="T294" s="6"/>
      <c r="U294" s="5"/>
      <c r="V294" s="6"/>
      <c r="W294" s="7"/>
      <c r="X294" s="8"/>
      <c r="Y294" s="6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6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C294" s="6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  <c r="JC294" s="5"/>
      <c r="JD294" s="5"/>
      <c r="JE294" s="5"/>
      <c r="JF294" s="5"/>
      <c r="JG294" s="5"/>
      <c r="JH294" s="5"/>
      <c r="JI294" s="5"/>
      <c r="JJ294" s="5"/>
      <c r="JK294" s="5"/>
      <c r="JM294" s="19"/>
      <c r="JO294" s="5"/>
      <c r="JP294" s="5"/>
      <c r="JQ294" s="5"/>
      <c r="JR294" s="5"/>
      <c r="JS294" s="6"/>
      <c r="JT294" s="23"/>
      <c r="JU294" s="13"/>
      <c r="JV294" s="6"/>
      <c r="JW294" s="6"/>
      <c r="JX294" s="6"/>
      <c r="JY294" s="6"/>
      <c r="JZ294" s="10"/>
      <c r="KA294" s="10"/>
      <c r="KB294" s="10"/>
      <c r="KC294" s="10"/>
      <c r="KD294" s="5"/>
      <c r="KE294" s="6"/>
    </row>
    <row r="295" spans="6:291" x14ac:dyDescent="0.3">
      <c r="F295" s="17"/>
      <c r="G295" s="9"/>
      <c r="H295" s="3"/>
      <c r="I295" s="3"/>
      <c r="J295" s="3"/>
      <c r="K295" s="3"/>
      <c r="L295" s="3"/>
      <c r="M295" s="3"/>
      <c r="N295" s="3"/>
      <c r="O295" s="3"/>
      <c r="P295" s="4"/>
      <c r="Q295" s="5"/>
      <c r="R295" s="5"/>
      <c r="S295" s="5"/>
      <c r="T295" s="6"/>
      <c r="U295" s="5"/>
      <c r="V295" s="6"/>
      <c r="W295" s="7"/>
      <c r="X295" s="8"/>
      <c r="Y295" s="6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6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C295" s="6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  <c r="JC295" s="5"/>
      <c r="JD295" s="5"/>
      <c r="JE295" s="5"/>
      <c r="JF295" s="5"/>
      <c r="JG295" s="5"/>
      <c r="JH295" s="5"/>
      <c r="JI295" s="5"/>
      <c r="JJ295" s="5"/>
      <c r="JK295" s="5"/>
      <c r="JM295" s="19"/>
      <c r="JO295" s="5"/>
      <c r="JP295" s="5"/>
      <c r="JQ295" s="5"/>
      <c r="JR295" s="5"/>
      <c r="JS295" s="6"/>
      <c r="JT295" s="23"/>
      <c r="JU295" s="13"/>
      <c r="JV295" s="6"/>
      <c r="JW295" s="6"/>
      <c r="JX295" s="6"/>
      <c r="JY295" s="6"/>
      <c r="JZ295" s="10"/>
      <c r="KA295" s="10"/>
      <c r="KB295" s="10"/>
      <c r="KC295" s="10"/>
      <c r="KD295" s="5"/>
      <c r="KE295" s="6"/>
    </row>
    <row r="296" spans="6:291" x14ac:dyDescent="0.3">
      <c r="F296" s="17"/>
      <c r="G296" s="9"/>
      <c r="H296" s="3"/>
      <c r="I296" s="3"/>
      <c r="J296" s="3"/>
      <c r="K296" s="3"/>
      <c r="L296" s="3"/>
      <c r="M296" s="3"/>
      <c r="N296" s="3"/>
      <c r="O296" s="3"/>
      <c r="P296" s="4"/>
      <c r="Q296" s="5"/>
      <c r="R296" s="5"/>
      <c r="S296" s="5"/>
      <c r="T296" s="6"/>
      <c r="U296" s="5"/>
      <c r="V296" s="6"/>
      <c r="W296" s="7"/>
      <c r="X296" s="8"/>
      <c r="Y296" s="6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6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C296" s="6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  <c r="JE296" s="5"/>
      <c r="JF296" s="5"/>
      <c r="JG296" s="5"/>
      <c r="JH296" s="5"/>
      <c r="JI296" s="5"/>
      <c r="JJ296" s="5"/>
      <c r="JK296" s="5"/>
      <c r="JM296" s="19"/>
      <c r="JO296" s="5"/>
      <c r="JP296" s="5"/>
      <c r="JQ296" s="5"/>
      <c r="JR296" s="5"/>
      <c r="JS296" s="6"/>
      <c r="JT296" s="23"/>
      <c r="JU296" s="13"/>
      <c r="JV296" s="6"/>
      <c r="JW296" s="6"/>
      <c r="JX296" s="6"/>
      <c r="JY296" s="6"/>
      <c r="JZ296" s="10"/>
      <c r="KA296" s="10"/>
      <c r="KB296" s="10"/>
      <c r="KC296" s="10"/>
      <c r="KD296" s="5"/>
      <c r="KE296" s="6"/>
    </row>
    <row r="297" spans="6:291" x14ac:dyDescent="0.3">
      <c r="F297" s="17"/>
      <c r="G297" s="9"/>
      <c r="H297" s="3"/>
      <c r="I297" s="3"/>
      <c r="J297" s="3"/>
      <c r="K297" s="3"/>
      <c r="L297" s="3"/>
      <c r="M297" s="3"/>
      <c r="N297" s="3"/>
      <c r="O297" s="3"/>
      <c r="P297" s="4"/>
      <c r="Q297" s="5"/>
      <c r="R297" s="5"/>
      <c r="S297" s="5"/>
      <c r="T297" s="6"/>
      <c r="U297" s="5"/>
      <c r="V297" s="6"/>
      <c r="W297" s="7"/>
      <c r="X297" s="8"/>
      <c r="Y297" s="6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6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C297" s="6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  <c r="JC297" s="5"/>
      <c r="JD297" s="5"/>
      <c r="JE297" s="5"/>
      <c r="JF297" s="5"/>
      <c r="JG297" s="5"/>
      <c r="JH297" s="5"/>
      <c r="JI297" s="5"/>
      <c r="JJ297" s="5"/>
      <c r="JK297" s="5"/>
      <c r="JM297" s="19"/>
      <c r="JO297" s="5"/>
      <c r="JP297" s="5"/>
      <c r="JQ297" s="5"/>
      <c r="JR297" s="5"/>
      <c r="JS297" s="6"/>
      <c r="JT297" s="23"/>
      <c r="JU297" s="13"/>
      <c r="JV297" s="6"/>
      <c r="JW297" s="6"/>
      <c r="JX297" s="6"/>
      <c r="JY297" s="6"/>
      <c r="JZ297" s="10"/>
      <c r="KA297" s="10"/>
      <c r="KB297" s="10"/>
      <c r="KC297" s="10"/>
      <c r="KD297" s="5"/>
      <c r="KE297" s="6"/>
    </row>
    <row r="298" spans="6:291" x14ac:dyDescent="0.3">
      <c r="F298" s="17"/>
      <c r="G298" s="9"/>
      <c r="H298" s="3"/>
      <c r="I298" s="3"/>
      <c r="J298" s="3"/>
      <c r="K298" s="3"/>
      <c r="L298" s="3"/>
      <c r="M298" s="3"/>
      <c r="N298" s="3"/>
      <c r="O298" s="3"/>
      <c r="P298" s="4"/>
      <c r="Q298" s="5"/>
      <c r="R298" s="5"/>
      <c r="S298" s="5"/>
      <c r="T298" s="6"/>
      <c r="U298" s="5"/>
      <c r="V298" s="6"/>
      <c r="W298" s="7"/>
      <c r="X298" s="8"/>
      <c r="Y298" s="6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6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C298" s="6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  <c r="JC298" s="5"/>
      <c r="JD298" s="5"/>
      <c r="JE298" s="5"/>
      <c r="JF298" s="5"/>
      <c r="JG298" s="5"/>
      <c r="JH298" s="5"/>
      <c r="JI298" s="5"/>
      <c r="JJ298" s="5"/>
      <c r="JK298" s="5"/>
      <c r="JM298" s="19"/>
      <c r="JO298" s="5"/>
      <c r="JP298" s="5"/>
      <c r="JQ298" s="5"/>
      <c r="JR298" s="5"/>
      <c r="JS298" s="6"/>
      <c r="JT298" s="23"/>
      <c r="JU298" s="13"/>
      <c r="JV298" s="6"/>
      <c r="JW298" s="6"/>
      <c r="JX298" s="6"/>
      <c r="JY298" s="6"/>
      <c r="JZ298" s="10"/>
      <c r="KA298" s="10"/>
      <c r="KB298" s="10"/>
      <c r="KC298" s="10"/>
      <c r="KD298" s="5"/>
      <c r="KE298" s="6"/>
    </row>
    <row r="299" spans="6:291" x14ac:dyDescent="0.3">
      <c r="F299" s="17"/>
      <c r="G299" s="9"/>
      <c r="H299" s="3"/>
      <c r="I299" s="3"/>
      <c r="J299" s="3"/>
      <c r="K299" s="3"/>
      <c r="L299" s="3"/>
      <c r="M299" s="3"/>
      <c r="N299" s="3"/>
      <c r="O299" s="3"/>
      <c r="P299" s="4"/>
      <c r="Q299" s="5"/>
      <c r="R299" s="5"/>
      <c r="S299" s="5"/>
      <c r="T299" s="6"/>
      <c r="U299" s="5"/>
      <c r="V299" s="6"/>
      <c r="W299" s="7"/>
      <c r="X299" s="8"/>
      <c r="Y299" s="6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6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C299" s="6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  <c r="JC299" s="5"/>
      <c r="JD299" s="5"/>
      <c r="JE299" s="5"/>
      <c r="JF299" s="5"/>
      <c r="JG299" s="5"/>
      <c r="JH299" s="5"/>
      <c r="JI299" s="5"/>
      <c r="JJ299" s="5"/>
      <c r="JK299" s="5"/>
      <c r="JM299" s="19"/>
      <c r="JO299" s="5"/>
      <c r="JP299" s="5"/>
      <c r="JQ299" s="5"/>
      <c r="JR299" s="5"/>
      <c r="JS299" s="6"/>
      <c r="JT299" s="23"/>
      <c r="JU299" s="13"/>
      <c r="JV299" s="6"/>
      <c r="JW299" s="6"/>
      <c r="JX299" s="6"/>
      <c r="JY299" s="6"/>
      <c r="JZ299" s="10"/>
      <c r="KA299" s="10"/>
      <c r="KB299" s="10"/>
      <c r="KC299" s="10"/>
      <c r="KD299" s="5"/>
      <c r="KE299" s="6"/>
    </row>
    <row r="300" spans="6:291" x14ac:dyDescent="0.3">
      <c r="F300" s="17"/>
      <c r="G300" s="9"/>
      <c r="H300" s="3"/>
      <c r="I300" s="3"/>
      <c r="J300" s="3"/>
      <c r="K300" s="3"/>
      <c r="L300" s="3"/>
      <c r="M300" s="3"/>
      <c r="N300" s="3"/>
      <c r="O300" s="3"/>
      <c r="P300" s="4"/>
      <c r="Q300" s="5"/>
      <c r="R300" s="5"/>
      <c r="S300" s="5"/>
      <c r="T300" s="6"/>
      <c r="U300" s="5"/>
      <c r="V300" s="6"/>
      <c r="W300" s="7"/>
      <c r="X300" s="8"/>
      <c r="Y300" s="6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6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C300" s="6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  <c r="JC300" s="5"/>
      <c r="JD300" s="5"/>
      <c r="JE300" s="5"/>
      <c r="JF300" s="5"/>
      <c r="JG300" s="5"/>
      <c r="JH300" s="5"/>
      <c r="JI300" s="5"/>
      <c r="JJ300" s="5"/>
      <c r="JK300" s="5"/>
      <c r="JM300" s="19"/>
      <c r="JO300" s="5"/>
      <c r="JP300" s="5"/>
      <c r="JQ300" s="5"/>
      <c r="JR300" s="5"/>
      <c r="JS300" s="6"/>
      <c r="JT300" s="23"/>
      <c r="JU300" s="13"/>
      <c r="JV300" s="6"/>
      <c r="JW300" s="6"/>
      <c r="JX300" s="6"/>
      <c r="JY300" s="6"/>
      <c r="JZ300" s="10"/>
      <c r="KA300" s="10"/>
      <c r="KB300" s="10"/>
      <c r="KC300" s="10"/>
      <c r="KD300" s="5"/>
      <c r="KE300" s="6"/>
    </row>
    <row r="301" spans="6:291" x14ac:dyDescent="0.3">
      <c r="F301" s="17"/>
      <c r="G301" s="9"/>
      <c r="H301" s="3"/>
      <c r="I301" s="3"/>
      <c r="J301" s="3"/>
      <c r="K301" s="3"/>
      <c r="L301" s="3"/>
      <c r="M301" s="3"/>
      <c r="N301" s="3"/>
      <c r="O301" s="3"/>
      <c r="P301" s="4"/>
      <c r="Q301" s="5"/>
      <c r="R301" s="5"/>
      <c r="S301" s="5"/>
      <c r="T301" s="6"/>
      <c r="U301" s="5"/>
      <c r="V301" s="6"/>
      <c r="W301" s="7"/>
      <c r="X301" s="8"/>
      <c r="Y301" s="6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6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C301" s="6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  <c r="JC301" s="5"/>
      <c r="JD301" s="5"/>
      <c r="JE301" s="5"/>
      <c r="JF301" s="5"/>
      <c r="JG301" s="5"/>
      <c r="JH301" s="5"/>
      <c r="JI301" s="5"/>
      <c r="JJ301" s="5"/>
      <c r="JK301" s="5"/>
      <c r="JM301" s="19"/>
      <c r="JO301" s="5"/>
      <c r="JP301" s="5"/>
      <c r="JQ301" s="5"/>
      <c r="JR301" s="5"/>
      <c r="JS301" s="6"/>
      <c r="JT301" s="23"/>
      <c r="JU301" s="13"/>
      <c r="JV301" s="6"/>
      <c r="JW301" s="6"/>
      <c r="JX301" s="6"/>
      <c r="JY301" s="6"/>
      <c r="JZ301" s="10"/>
      <c r="KA301" s="10"/>
      <c r="KB301" s="10"/>
      <c r="KC301" s="10"/>
      <c r="KD301" s="5"/>
      <c r="KE301" s="6"/>
    </row>
    <row r="302" spans="6:291" x14ac:dyDescent="0.3">
      <c r="F302" s="17"/>
      <c r="G302" s="9"/>
      <c r="H302" s="3"/>
      <c r="I302" s="3"/>
      <c r="J302" s="3"/>
      <c r="K302" s="3"/>
      <c r="L302" s="3"/>
      <c r="M302" s="3"/>
      <c r="N302" s="3"/>
      <c r="O302" s="3"/>
      <c r="P302" s="4"/>
      <c r="Q302" s="5"/>
      <c r="R302" s="5"/>
      <c r="S302" s="5"/>
      <c r="T302" s="6"/>
      <c r="U302" s="5"/>
      <c r="V302" s="6"/>
      <c r="W302" s="7"/>
      <c r="X302" s="8"/>
      <c r="Y302" s="6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6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C302" s="6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  <c r="JC302" s="5"/>
      <c r="JD302" s="5"/>
      <c r="JE302" s="5"/>
      <c r="JF302" s="5"/>
      <c r="JG302" s="5"/>
      <c r="JH302" s="5"/>
      <c r="JI302" s="5"/>
      <c r="JJ302" s="5"/>
      <c r="JK302" s="5"/>
      <c r="JM302" s="19"/>
      <c r="JO302" s="5"/>
      <c r="JP302" s="5"/>
      <c r="JQ302" s="5"/>
      <c r="JR302" s="5"/>
      <c r="JS302" s="6"/>
      <c r="JT302" s="23"/>
      <c r="JU302" s="13"/>
      <c r="JV302" s="6"/>
      <c r="JW302" s="6"/>
      <c r="JX302" s="6"/>
      <c r="JY302" s="6"/>
      <c r="JZ302" s="10"/>
      <c r="KA302" s="10"/>
      <c r="KB302" s="10"/>
      <c r="KC302" s="10"/>
      <c r="KD302" s="5"/>
      <c r="KE302" s="6"/>
    </row>
    <row r="303" spans="6:291" x14ac:dyDescent="0.3">
      <c r="F303" s="17"/>
      <c r="G303" s="9"/>
      <c r="H303" s="3"/>
      <c r="I303" s="3"/>
      <c r="J303" s="3"/>
      <c r="K303" s="3"/>
      <c r="L303" s="3"/>
      <c r="M303" s="3"/>
      <c r="N303" s="3"/>
      <c r="O303" s="3"/>
      <c r="P303" s="4"/>
      <c r="Q303" s="5"/>
      <c r="R303" s="5"/>
      <c r="S303" s="5"/>
      <c r="T303" s="6"/>
      <c r="U303" s="5"/>
      <c r="V303" s="6"/>
      <c r="W303" s="7"/>
      <c r="X303" s="8"/>
      <c r="Y303" s="6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6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C303" s="6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  <c r="JC303" s="5"/>
      <c r="JD303" s="5"/>
      <c r="JE303" s="5"/>
      <c r="JF303" s="5"/>
      <c r="JG303" s="5"/>
      <c r="JH303" s="5"/>
      <c r="JI303" s="5"/>
      <c r="JJ303" s="5"/>
      <c r="JK303" s="5"/>
      <c r="JM303" s="19"/>
      <c r="JO303" s="5"/>
      <c r="JP303" s="5"/>
      <c r="JQ303" s="5"/>
      <c r="JR303" s="5"/>
      <c r="JS303" s="6"/>
      <c r="JT303" s="23"/>
      <c r="JU303" s="13"/>
      <c r="JV303" s="6"/>
      <c r="JW303" s="6"/>
      <c r="JX303" s="6"/>
      <c r="JY303" s="6"/>
      <c r="JZ303" s="10"/>
      <c r="KA303" s="10"/>
      <c r="KB303" s="10"/>
      <c r="KC303" s="10"/>
      <c r="KD303" s="5"/>
      <c r="KE303" s="6"/>
    </row>
    <row r="304" spans="6:291" x14ac:dyDescent="0.3">
      <c r="F304" s="17"/>
      <c r="G304" s="9"/>
      <c r="H304" s="3"/>
      <c r="I304" s="3"/>
      <c r="J304" s="3"/>
      <c r="K304" s="3"/>
      <c r="L304" s="3"/>
      <c r="M304" s="3"/>
      <c r="N304" s="3"/>
      <c r="O304" s="3"/>
      <c r="P304" s="4"/>
      <c r="Q304" s="5"/>
      <c r="R304" s="5"/>
      <c r="S304" s="5"/>
      <c r="T304" s="6"/>
      <c r="U304" s="5"/>
      <c r="V304" s="6"/>
      <c r="W304" s="7"/>
      <c r="X304" s="8"/>
      <c r="Y304" s="6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6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C304" s="6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  <c r="JC304" s="5"/>
      <c r="JD304" s="5"/>
      <c r="JE304" s="5"/>
      <c r="JF304" s="5"/>
      <c r="JG304" s="5"/>
      <c r="JH304" s="5"/>
      <c r="JI304" s="5"/>
      <c r="JJ304" s="5"/>
      <c r="JK304" s="5"/>
      <c r="JM304" s="19"/>
      <c r="JO304" s="5"/>
      <c r="JP304" s="5"/>
      <c r="JQ304" s="5"/>
      <c r="JR304" s="5"/>
      <c r="JS304" s="6"/>
      <c r="JT304" s="23"/>
      <c r="JU304" s="13"/>
      <c r="JV304" s="6"/>
      <c r="JW304" s="6"/>
      <c r="JX304" s="6"/>
      <c r="JY304" s="6"/>
      <c r="JZ304" s="10"/>
      <c r="KA304" s="10"/>
      <c r="KB304" s="10"/>
      <c r="KC304" s="10"/>
      <c r="KD304" s="5"/>
      <c r="KE304" s="6"/>
    </row>
    <row r="305" spans="6:291" x14ac:dyDescent="0.3">
      <c r="F305" s="17"/>
      <c r="G305" s="9"/>
      <c r="H305" s="3"/>
      <c r="I305" s="3"/>
      <c r="J305" s="3"/>
      <c r="K305" s="3"/>
      <c r="L305" s="3"/>
      <c r="M305" s="3"/>
      <c r="N305" s="3"/>
      <c r="O305" s="3"/>
      <c r="P305" s="4"/>
      <c r="Q305" s="5"/>
      <c r="R305" s="5"/>
      <c r="S305" s="5"/>
      <c r="T305" s="6"/>
      <c r="U305" s="5"/>
      <c r="V305" s="6"/>
      <c r="W305" s="7"/>
      <c r="X305" s="8"/>
      <c r="Y305" s="6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6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C305" s="6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  <c r="JC305" s="5"/>
      <c r="JD305" s="5"/>
      <c r="JE305" s="5"/>
      <c r="JF305" s="5"/>
      <c r="JG305" s="5"/>
      <c r="JH305" s="5"/>
      <c r="JI305" s="5"/>
      <c r="JJ305" s="5"/>
      <c r="JK305" s="5"/>
      <c r="JM305" s="19"/>
      <c r="JO305" s="5"/>
      <c r="JP305" s="5"/>
      <c r="JQ305" s="5"/>
      <c r="JR305" s="5"/>
      <c r="JS305" s="6"/>
      <c r="JT305" s="23"/>
      <c r="JU305" s="13"/>
      <c r="JV305" s="6"/>
      <c r="JW305" s="6"/>
      <c r="JX305" s="6"/>
      <c r="JY305" s="6"/>
      <c r="JZ305" s="10"/>
      <c r="KA305" s="10"/>
      <c r="KB305" s="10"/>
      <c r="KC305" s="10"/>
      <c r="KD305" s="5"/>
      <c r="KE305" s="6"/>
    </row>
    <row r="306" spans="6:291" x14ac:dyDescent="0.3">
      <c r="F306" s="17"/>
      <c r="G306" s="9"/>
      <c r="H306" s="3"/>
      <c r="I306" s="3"/>
      <c r="J306" s="3"/>
      <c r="K306" s="3"/>
      <c r="L306" s="3"/>
      <c r="M306" s="3"/>
      <c r="N306" s="3"/>
      <c r="O306" s="3"/>
      <c r="P306" s="4"/>
      <c r="Q306" s="5"/>
      <c r="R306" s="5"/>
      <c r="S306" s="5"/>
      <c r="T306" s="6"/>
      <c r="U306" s="5"/>
      <c r="V306" s="6"/>
      <c r="W306" s="7"/>
      <c r="X306" s="8"/>
      <c r="Y306" s="6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6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C306" s="6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  <c r="JE306" s="5"/>
      <c r="JF306" s="5"/>
      <c r="JG306" s="5"/>
      <c r="JH306" s="5"/>
      <c r="JI306" s="5"/>
      <c r="JJ306" s="5"/>
      <c r="JK306" s="5"/>
      <c r="JM306" s="19"/>
      <c r="JO306" s="5"/>
      <c r="JP306" s="5"/>
      <c r="JQ306" s="5"/>
      <c r="JR306" s="5"/>
      <c r="JS306" s="6"/>
      <c r="JT306" s="23"/>
      <c r="JU306" s="13"/>
      <c r="JV306" s="6"/>
      <c r="JW306" s="6"/>
      <c r="JX306" s="6"/>
      <c r="JY306" s="6"/>
      <c r="JZ306" s="10"/>
      <c r="KA306" s="10"/>
      <c r="KB306" s="10"/>
      <c r="KC306" s="10"/>
      <c r="KD306" s="5"/>
      <c r="KE306" s="6"/>
    </row>
    <row r="307" spans="6:291" x14ac:dyDescent="0.3">
      <c r="F307" s="17"/>
      <c r="G307" s="9"/>
      <c r="H307" s="3"/>
      <c r="I307" s="3"/>
      <c r="J307" s="3"/>
      <c r="K307" s="3"/>
      <c r="L307" s="3"/>
      <c r="M307" s="3"/>
      <c r="N307" s="3"/>
      <c r="O307" s="3"/>
      <c r="P307" s="4"/>
      <c r="Q307" s="5"/>
      <c r="R307" s="5"/>
      <c r="S307" s="5"/>
      <c r="T307" s="6"/>
      <c r="U307" s="5"/>
      <c r="V307" s="6"/>
      <c r="W307" s="7"/>
      <c r="X307" s="8"/>
      <c r="Y307" s="6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6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C307" s="6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  <c r="JC307" s="5"/>
      <c r="JD307" s="5"/>
      <c r="JE307" s="5"/>
      <c r="JF307" s="5"/>
      <c r="JG307" s="5"/>
      <c r="JH307" s="5"/>
      <c r="JI307" s="5"/>
      <c r="JJ307" s="5"/>
      <c r="JK307" s="5"/>
      <c r="JM307" s="19"/>
      <c r="JO307" s="5"/>
      <c r="JP307" s="5"/>
      <c r="JQ307" s="5"/>
      <c r="JR307" s="5"/>
      <c r="JS307" s="6"/>
      <c r="JT307" s="23"/>
      <c r="JU307" s="13"/>
      <c r="JV307" s="6"/>
      <c r="JW307" s="6"/>
      <c r="JX307" s="6"/>
      <c r="JY307" s="6"/>
      <c r="JZ307" s="10"/>
      <c r="KA307" s="10"/>
      <c r="KB307" s="10"/>
      <c r="KC307" s="10"/>
      <c r="KD307" s="5"/>
      <c r="KE307" s="6"/>
    </row>
    <row r="308" spans="6:291" x14ac:dyDescent="0.3">
      <c r="F308" s="17"/>
      <c r="G308" s="9"/>
      <c r="H308" s="3"/>
      <c r="I308" s="3"/>
      <c r="J308" s="3"/>
      <c r="K308" s="3"/>
      <c r="L308" s="3"/>
      <c r="M308" s="3"/>
      <c r="N308" s="3"/>
      <c r="O308" s="3"/>
      <c r="P308" s="4"/>
      <c r="Q308" s="5"/>
      <c r="R308" s="5"/>
      <c r="S308" s="5"/>
      <c r="T308" s="6"/>
      <c r="U308" s="5"/>
      <c r="V308" s="6"/>
      <c r="W308" s="7"/>
      <c r="X308" s="8"/>
      <c r="Y308" s="6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6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C308" s="6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  <c r="JC308" s="5"/>
      <c r="JD308" s="5"/>
      <c r="JE308" s="5"/>
      <c r="JF308" s="5"/>
      <c r="JG308" s="5"/>
      <c r="JH308" s="5"/>
      <c r="JI308" s="5"/>
      <c r="JJ308" s="5"/>
      <c r="JK308" s="5"/>
      <c r="JM308" s="19"/>
      <c r="JO308" s="5"/>
      <c r="JP308" s="5"/>
      <c r="JQ308" s="5"/>
      <c r="JR308" s="5"/>
      <c r="JS308" s="6"/>
      <c r="JT308" s="23"/>
      <c r="JU308" s="13"/>
      <c r="JV308" s="6"/>
      <c r="JW308" s="6"/>
      <c r="JX308" s="6"/>
      <c r="JY308" s="6"/>
      <c r="JZ308" s="10"/>
      <c r="KA308" s="10"/>
      <c r="KB308" s="10"/>
      <c r="KC308" s="10"/>
      <c r="KD308" s="5"/>
      <c r="KE308" s="6"/>
    </row>
    <row r="309" spans="6:291" x14ac:dyDescent="0.3">
      <c r="F309" s="17"/>
      <c r="G309" s="9"/>
      <c r="H309" s="3"/>
      <c r="I309" s="3"/>
      <c r="J309" s="3"/>
      <c r="K309" s="3"/>
      <c r="L309" s="3"/>
      <c r="M309" s="3"/>
      <c r="N309" s="3"/>
      <c r="O309" s="3"/>
      <c r="P309" s="4"/>
      <c r="Q309" s="5"/>
      <c r="R309" s="5"/>
      <c r="S309" s="5"/>
      <c r="T309" s="6"/>
      <c r="U309" s="5"/>
      <c r="V309" s="6"/>
      <c r="W309" s="7"/>
      <c r="X309" s="8"/>
      <c r="Y309" s="6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6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C309" s="6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  <c r="JC309" s="5"/>
      <c r="JD309" s="5"/>
      <c r="JE309" s="5"/>
      <c r="JF309" s="5"/>
      <c r="JG309" s="5"/>
      <c r="JH309" s="5"/>
      <c r="JI309" s="5"/>
      <c r="JJ309" s="5"/>
      <c r="JK309" s="5"/>
      <c r="JM309" s="19"/>
      <c r="JO309" s="5"/>
      <c r="JP309" s="5"/>
      <c r="JQ309" s="5"/>
      <c r="JR309" s="5"/>
      <c r="JS309" s="6"/>
      <c r="JT309" s="23"/>
      <c r="JU309" s="13"/>
      <c r="JV309" s="6"/>
      <c r="JW309" s="6"/>
      <c r="JX309" s="6"/>
      <c r="JY309" s="6"/>
      <c r="JZ309" s="10"/>
      <c r="KA309" s="10"/>
      <c r="KB309" s="10"/>
      <c r="KC309" s="10"/>
      <c r="KD309" s="5"/>
      <c r="KE309" s="6"/>
    </row>
    <row r="310" spans="6:291" x14ac:dyDescent="0.3">
      <c r="F310" s="17"/>
      <c r="G310" s="9"/>
      <c r="H310" s="3"/>
      <c r="I310" s="3"/>
      <c r="J310" s="3"/>
      <c r="K310" s="3"/>
      <c r="L310" s="3"/>
      <c r="M310" s="3"/>
      <c r="N310" s="3"/>
      <c r="O310" s="3"/>
      <c r="P310" s="4"/>
      <c r="Q310" s="5"/>
      <c r="R310" s="5"/>
      <c r="S310" s="5"/>
      <c r="T310" s="6"/>
      <c r="U310" s="5"/>
      <c r="V310" s="6"/>
      <c r="W310" s="7"/>
      <c r="X310" s="8"/>
      <c r="Y310" s="6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6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C310" s="6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  <c r="JC310" s="5"/>
      <c r="JD310" s="5"/>
      <c r="JE310" s="5"/>
      <c r="JF310" s="5"/>
      <c r="JG310" s="5"/>
      <c r="JH310" s="5"/>
      <c r="JI310" s="5"/>
      <c r="JJ310" s="5"/>
      <c r="JK310" s="5"/>
      <c r="JM310" s="19"/>
      <c r="JO310" s="5"/>
      <c r="JP310" s="5"/>
      <c r="JQ310" s="5"/>
      <c r="JR310" s="5"/>
      <c r="JS310" s="6"/>
      <c r="JT310" s="23"/>
      <c r="JU310" s="13"/>
      <c r="JV310" s="6"/>
      <c r="JW310" s="6"/>
      <c r="JX310" s="6"/>
      <c r="JY310" s="6"/>
      <c r="JZ310" s="10"/>
      <c r="KA310" s="10"/>
      <c r="KB310" s="10"/>
      <c r="KC310" s="10"/>
      <c r="KD310" s="5"/>
      <c r="KE310" s="6"/>
    </row>
    <row r="311" spans="6:291" x14ac:dyDescent="0.3">
      <c r="F311" s="17"/>
      <c r="G311" s="9"/>
      <c r="H311" s="3"/>
      <c r="I311" s="3"/>
      <c r="J311" s="3"/>
      <c r="K311" s="3"/>
      <c r="L311" s="3"/>
      <c r="M311" s="3"/>
      <c r="N311" s="3"/>
      <c r="O311" s="3"/>
      <c r="P311" s="4"/>
      <c r="Q311" s="5"/>
      <c r="R311" s="5"/>
      <c r="S311" s="5"/>
      <c r="T311" s="6"/>
      <c r="U311" s="5"/>
      <c r="V311" s="6"/>
      <c r="W311" s="7"/>
      <c r="X311" s="8"/>
      <c r="Y311" s="6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6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C311" s="6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  <c r="JC311" s="5"/>
      <c r="JD311" s="5"/>
      <c r="JE311" s="5"/>
      <c r="JF311" s="5"/>
      <c r="JG311" s="5"/>
      <c r="JH311" s="5"/>
      <c r="JI311" s="5"/>
      <c r="JJ311" s="5"/>
      <c r="JK311" s="5"/>
      <c r="JM311" s="19"/>
      <c r="JO311" s="5"/>
      <c r="JP311" s="5"/>
      <c r="JQ311" s="5"/>
      <c r="JR311" s="5"/>
      <c r="JS311" s="6"/>
      <c r="JT311" s="23"/>
      <c r="JU311" s="13"/>
      <c r="JV311" s="6"/>
      <c r="JW311" s="6"/>
      <c r="JX311" s="6"/>
      <c r="JY311" s="6"/>
      <c r="JZ311" s="10"/>
      <c r="KA311" s="10"/>
      <c r="KB311" s="10"/>
      <c r="KC311" s="10"/>
      <c r="KD311" s="5"/>
      <c r="KE311" s="6"/>
    </row>
    <row r="312" spans="6:291" x14ac:dyDescent="0.3">
      <c r="F312" s="17"/>
      <c r="G312" s="9"/>
      <c r="H312" s="3"/>
      <c r="I312" s="3"/>
      <c r="J312" s="3"/>
      <c r="K312" s="3"/>
      <c r="L312" s="3"/>
      <c r="M312" s="3"/>
      <c r="N312" s="3"/>
      <c r="O312" s="3"/>
      <c r="P312" s="4"/>
      <c r="Q312" s="5"/>
      <c r="R312" s="5"/>
      <c r="S312" s="5"/>
      <c r="T312" s="6"/>
      <c r="U312" s="5"/>
      <c r="V312" s="6"/>
      <c r="W312" s="7"/>
      <c r="X312" s="8"/>
      <c r="Y312" s="6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6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C312" s="6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  <c r="JC312" s="5"/>
      <c r="JD312" s="5"/>
      <c r="JE312" s="5"/>
      <c r="JF312" s="5"/>
      <c r="JG312" s="5"/>
      <c r="JH312" s="5"/>
      <c r="JI312" s="5"/>
      <c r="JJ312" s="5"/>
      <c r="JK312" s="5"/>
      <c r="JM312" s="19"/>
      <c r="JO312" s="5"/>
      <c r="JP312" s="5"/>
      <c r="JQ312" s="5"/>
      <c r="JR312" s="5"/>
      <c r="JS312" s="6"/>
      <c r="JT312" s="23"/>
      <c r="JU312" s="13"/>
      <c r="JV312" s="6"/>
      <c r="JW312" s="6"/>
      <c r="JX312" s="6"/>
      <c r="JY312" s="6"/>
      <c r="JZ312" s="10"/>
      <c r="KA312" s="10"/>
      <c r="KB312" s="10"/>
      <c r="KC312" s="10"/>
      <c r="KD312" s="5"/>
      <c r="KE312" s="6"/>
    </row>
    <row r="313" spans="6:291" x14ac:dyDescent="0.3">
      <c r="F313" s="17"/>
      <c r="G313" s="9"/>
      <c r="H313" s="3"/>
      <c r="I313" s="3"/>
      <c r="J313" s="3"/>
      <c r="K313" s="3"/>
      <c r="L313" s="3"/>
      <c r="M313" s="3"/>
      <c r="N313" s="3"/>
      <c r="O313" s="3"/>
      <c r="P313" s="4"/>
      <c r="Q313" s="5"/>
      <c r="R313" s="5"/>
      <c r="S313" s="5"/>
      <c r="T313" s="6"/>
      <c r="U313" s="5"/>
      <c r="V313" s="6"/>
      <c r="W313" s="7"/>
      <c r="X313" s="8"/>
      <c r="Y313" s="6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6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C313" s="6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  <c r="JC313" s="5"/>
      <c r="JD313" s="5"/>
      <c r="JE313" s="5"/>
      <c r="JF313" s="5"/>
      <c r="JG313" s="5"/>
      <c r="JH313" s="5"/>
      <c r="JI313" s="5"/>
      <c r="JJ313" s="5"/>
      <c r="JK313" s="5"/>
      <c r="JM313" s="19"/>
      <c r="JO313" s="5"/>
      <c r="JP313" s="5"/>
      <c r="JQ313" s="5"/>
      <c r="JR313" s="5"/>
      <c r="JS313" s="6"/>
      <c r="JT313" s="23"/>
      <c r="JU313" s="13"/>
      <c r="JV313" s="6"/>
      <c r="JW313" s="6"/>
      <c r="JX313" s="6"/>
      <c r="JY313" s="6"/>
      <c r="JZ313" s="10"/>
      <c r="KA313" s="10"/>
      <c r="KB313" s="10"/>
      <c r="KC313" s="10"/>
      <c r="KD313" s="5"/>
      <c r="KE313" s="6"/>
    </row>
    <row r="314" spans="6:291" x14ac:dyDescent="0.3">
      <c r="F314" s="17"/>
      <c r="G314" s="9"/>
      <c r="H314" s="3"/>
      <c r="I314" s="3"/>
      <c r="J314" s="3"/>
      <c r="K314" s="3"/>
      <c r="L314" s="3"/>
      <c r="M314" s="3"/>
      <c r="N314" s="3"/>
      <c r="O314" s="3"/>
      <c r="P314" s="4"/>
      <c r="Q314" s="5"/>
      <c r="R314" s="5"/>
      <c r="S314" s="5"/>
      <c r="T314" s="6"/>
      <c r="U314" s="5"/>
      <c r="V314" s="6"/>
      <c r="W314" s="7"/>
      <c r="X314" s="8"/>
      <c r="Y314" s="6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6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C314" s="6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  <c r="JC314" s="5"/>
      <c r="JD314" s="5"/>
      <c r="JE314" s="5"/>
      <c r="JF314" s="5"/>
      <c r="JG314" s="5"/>
      <c r="JH314" s="5"/>
      <c r="JI314" s="5"/>
      <c r="JJ314" s="5"/>
      <c r="JK314" s="5"/>
      <c r="JM314" s="19"/>
      <c r="JO314" s="5"/>
      <c r="JP314" s="5"/>
      <c r="JQ314" s="5"/>
      <c r="JR314" s="5"/>
      <c r="JS314" s="6"/>
      <c r="JT314" s="23"/>
      <c r="JU314" s="13"/>
      <c r="JV314" s="6"/>
      <c r="JW314" s="6"/>
      <c r="JX314" s="6"/>
      <c r="JY314" s="6"/>
      <c r="JZ314" s="10"/>
      <c r="KA314" s="10"/>
      <c r="KB314" s="10"/>
      <c r="KC314" s="10"/>
      <c r="KD314" s="5"/>
      <c r="KE314" s="6"/>
    </row>
    <row r="315" spans="6:291" x14ac:dyDescent="0.3">
      <c r="F315" s="17"/>
      <c r="G315" s="9"/>
      <c r="H315" s="3"/>
      <c r="I315" s="3"/>
      <c r="J315" s="3"/>
      <c r="K315" s="3"/>
      <c r="L315" s="3"/>
      <c r="M315" s="3"/>
      <c r="N315" s="3"/>
      <c r="O315" s="3"/>
      <c r="P315" s="4"/>
      <c r="Q315" s="5"/>
      <c r="R315" s="5"/>
      <c r="S315" s="5"/>
      <c r="T315" s="6"/>
      <c r="U315" s="5"/>
      <c r="V315" s="6"/>
      <c r="W315" s="7"/>
      <c r="X315" s="8"/>
      <c r="Y315" s="6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6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C315" s="6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  <c r="JC315" s="5"/>
      <c r="JD315" s="5"/>
      <c r="JE315" s="5"/>
      <c r="JF315" s="5"/>
      <c r="JG315" s="5"/>
      <c r="JH315" s="5"/>
      <c r="JI315" s="5"/>
      <c r="JJ315" s="5"/>
      <c r="JK315" s="5"/>
      <c r="JM315" s="19"/>
      <c r="JO315" s="5"/>
      <c r="JP315" s="5"/>
      <c r="JQ315" s="5"/>
      <c r="JR315" s="5"/>
      <c r="JS315" s="6"/>
      <c r="JT315" s="23"/>
      <c r="JU315" s="13"/>
      <c r="JV315" s="6"/>
      <c r="JW315" s="6"/>
      <c r="JX315" s="6"/>
      <c r="JY315" s="6"/>
      <c r="JZ315" s="10"/>
      <c r="KA315" s="10"/>
      <c r="KB315" s="10"/>
      <c r="KC315" s="10"/>
      <c r="KD315" s="5"/>
      <c r="KE315" s="6"/>
    </row>
    <row r="316" spans="6:291" x14ac:dyDescent="0.3">
      <c r="F316" s="17"/>
      <c r="G316" s="9"/>
      <c r="H316" s="3"/>
      <c r="I316" s="3"/>
      <c r="J316" s="3"/>
      <c r="K316" s="3"/>
      <c r="L316" s="3"/>
      <c r="M316" s="3"/>
      <c r="N316" s="3"/>
      <c r="O316" s="3"/>
      <c r="P316" s="4"/>
      <c r="Q316" s="5"/>
      <c r="R316" s="5"/>
      <c r="S316" s="5"/>
      <c r="T316" s="6"/>
      <c r="U316" s="5"/>
      <c r="V316" s="6"/>
      <c r="W316" s="7"/>
      <c r="X316" s="8"/>
      <c r="Y316" s="6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6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C316" s="6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  <c r="JC316" s="5"/>
      <c r="JD316" s="5"/>
      <c r="JE316" s="5"/>
      <c r="JF316" s="5"/>
      <c r="JG316" s="5"/>
      <c r="JH316" s="5"/>
      <c r="JI316" s="5"/>
      <c r="JJ316" s="5"/>
      <c r="JK316" s="5"/>
      <c r="JM316" s="19"/>
      <c r="JO316" s="5"/>
      <c r="JP316" s="5"/>
      <c r="JQ316" s="5"/>
      <c r="JR316" s="5"/>
      <c r="JS316" s="6"/>
      <c r="JT316" s="23"/>
      <c r="JU316" s="13"/>
      <c r="JV316" s="6"/>
      <c r="JW316" s="6"/>
      <c r="JX316" s="6"/>
      <c r="JY316" s="6"/>
      <c r="JZ316" s="10"/>
      <c r="KA316" s="10"/>
      <c r="KB316" s="10"/>
      <c r="KC316" s="10"/>
      <c r="KD316" s="5"/>
      <c r="KE316" s="6"/>
    </row>
    <row r="317" spans="6:291" x14ac:dyDescent="0.3">
      <c r="F317" s="17"/>
      <c r="G317" s="9"/>
      <c r="H317" s="3"/>
      <c r="I317" s="3"/>
      <c r="J317" s="3"/>
      <c r="K317" s="3"/>
      <c r="L317" s="3"/>
      <c r="M317" s="3"/>
      <c r="N317" s="3"/>
      <c r="O317" s="3"/>
      <c r="P317" s="4"/>
      <c r="Q317" s="5"/>
      <c r="R317" s="5"/>
      <c r="S317" s="5"/>
      <c r="T317" s="6"/>
      <c r="U317" s="5"/>
      <c r="V317" s="6"/>
      <c r="W317" s="7"/>
      <c r="X317" s="8"/>
      <c r="Y317" s="6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6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C317" s="6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  <c r="JC317" s="5"/>
      <c r="JD317" s="5"/>
      <c r="JE317" s="5"/>
      <c r="JF317" s="5"/>
      <c r="JG317" s="5"/>
      <c r="JH317" s="5"/>
      <c r="JI317" s="5"/>
      <c r="JJ317" s="5"/>
      <c r="JK317" s="5"/>
      <c r="JM317" s="19"/>
      <c r="JO317" s="5"/>
      <c r="JP317" s="5"/>
      <c r="JQ317" s="5"/>
      <c r="JR317" s="5"/>
      <c r="JS317" s="6"/>
      <c r="JT317" s="23"/>
      <c r="JU317" s="13"/>
      <c r="JV317" s="6"/>
      <c r="JW317" s="6"/>
      <c r="JX317" s="6"/>
      <c r="JY317" s="6"/>
      <c r="JZ317" s="10"/>
      <c r="KA317" s="10"/>
      <c r="KB317" s="10"/>
      <c r="KC317" s="10"/>
      <c r="KD317" s="5"/>
      <c r="KE317" s="6"/>
    </row>
    <row r="318" spans="6:291" x14ac:dyDescent="0.3">
      <c r="F318" s="17"/>
      <c r="G318" s="9"/>
      <c r="H318" s="3"/>
      <c r="I318" s="3"/>
      <c r="J318" s="3"/>
      <c r="K318" s="3"/>
      <c r="L318" s="3"/>
      <c r="M318" s="3"/>
      <c r="N318" s="3"/>
      <c r="O318" s="3"/>
      <c r="P318" s="4"/>
      <c r="Q318" s="5"/>
      <c r="R318" s="5"/>
      <c r="S318" s="5"/>
      <c r="T318" s="6"/>
      <c r="U318" s="5"/>
      <c r="V318" s="6"/>
      <c r="W318" s="7"/>
      <c r="X318" s="8"/>
      <c r="Y318" s="6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6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C318" s="6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  <c r="JC318" s="5"/>
      <c r="JD318" s="5"/>
      <c r="JE318" s="5"/>
      <c r="JF318" s="5"/>
      <c r="JG318" s="5"/>
      <c r="JH318" s="5"/>
      <c r="JI318" s="5"/>
      <c r="JJ318" s="5"/>
      <c r="JK318" s="5"/>
      <c r="JM318" s="19"/>
      <c r="JO318" s="5"/>
      <c r="JP318" s="5"/>
      <c r="JQ318" s="5"/>
      <c r="JR318" s="5"/>
      <c r="JS318" s="6"/>
      <c r="JT318" s="23"/>
      <c r="JU318" s="13"/>
      <c r="JV318" s="6"/>
      <c r="JW318" s="6"/>
      <c r="JX318" s="6"/>
      <c r="JY318" s="6"/>
      <c r="JZ318" s="10"/>
      <c r="KA318" s="10"/>
      <c r="KB318" s="10"/>
      <c r="KC318" s="10"/>
      <c r="KD318" s="5"/>
      <c r="KE318" s="6"/>
    </row>
    <row r="319" spans="6:291" x14ac:dyDescent="0.3">
      <c r="F319" s="17"/>
      <c r="G319" s="9"/>
      <c r="H319" s="3"/>
      <c r="I319" s="3"/>
      <c r="J319" s="3"/>
      <c r="K319" s="3"/>
      <c r="L319" s="3"/>
      <c r="M319" s="3"/>
      <c r="N319" s="3"/>
      <c r="O319" s="3"/>
      <c r="P319" s="4"/>
      <c r="Q319" s="5"/>
      <c r="R319" s="5"/>
      <c r="S319" s="5"/>
      <c r="T319" s="6"/>
      <c r="U319" s="5"/>
      <c r="V319" s="6"/>
      <c r="W319" s="7"/>
      <c r="X319" s="8"/>
      <c r="Y319" s="6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6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C319" s="6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  <c r="JC319" s="5"/>
      <c r="JD319" s="5"/>
      <c r="JE319" s="5"/>
      <c r="JF319" s="5"/>
      <c r="JG319" s="5"/>
      <c r="JH319" s="5"/>
      <c r="JI319" s="5"/>
      <c r="JJ319" s="5"/>
      <c r="JK319" s="5"/>
      <c r="JM319" s="19"/>
      <c r="JO319" s="5"/>
      <c r="JP319" s="5"/>
      <c r="JQ319" s="5"/>
      <c r="JR319" s="5"/>
      <c r="JS319" s="6"/>
      <c r="JT319" s="23"/>
      <c r="JU319" s="13"/>
      <c r="JV319" s="6"/>
      <c r="JW319" s="6"/>
      <c r="JX319" s="6"/>
      <c r="JY319" s="6"/>
      <c r="JZ319" s="10"/>
      <c r="KA319" s="10"/>
      <c r="KB319" s="10"/>
      <c r="KC319" s="10"/>
      <c r="KD319" s="5"/>
      <c r="KE319" s="6"/>
    </row>
    <row r="320" spans="6:291" x14ac:dyDescent="0.3">
      <c r="F320" s="17"/>
      <c r="G320" s="9"/>
      <c r="H320" s="3"/>
      <c r="I320" s="3"/>
      <c r="J320" s="3"/>
      <c r="K320" s="3"/>
      <c r="L320" s="3"/>
      <c r="M320" s="3"/>
      <c r="N320" s="3"/>
      <c r="O320" s="3"/>
      <c r="P320" s="4"/>
      <c r="Q320" s="5"/>
      <c r="R320" s="5"/>
      <c r="S320" s="5"/>
      <c r="T320" s="6"/>
      <c r="U320" s="5"/>
      <c r="V320" s="6"/>
      <c r="W320" s="7"/>
      <c r="X320" s="8"/>
      <c r="Y320" s="6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6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C320" s="6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  <c r="JC320" s="5"/>
      <c r="JD320" s="5"/>
      <c r="JE320" s="5"/>
      <c r="JF320" s="5"/>
      <c r="JG320" s="5"/>
      <c r="JH320" s="5"/>
      <c r="JI320" s="5"/>
      <c r="JJ320" s="5"/>
      <c r="JK320" s="5"/>
      <c r="JM320" s="19"/>
      <c r="JO320" s="5"/>
      <c r="JP320" s="5"/>
      <c r="JQ320" s="5"/>
      <c r="JR320" s="5"/>
      <c r="JS320" s="6"/>
      <c r="JT320" s="23"/>
      <c r="JU320" s="13"/>
      <c r="JV320" s="6"/>
      <c r="JW320" s="6"/>
      <c r="JX320" s="6"/>
      <c r="JY320" s="6"/>
      <c r="JZ320" s="10"/>
      <c r="KA320" s="10"/>
      <c r="KB320" s="10"/>
      <c r="KC320" s="10"/>
      <c r="KD320" s="5"/>
      <c r="KE320" s="6"/>
    </row>
    <row r="321" spans="6:291" x14ac:dyDescent="0.3">
      <c r="F321" s="17"/>
      <c r="G321" s="9"/>
      <c r="H321" s="3"/>
      <c r="I321" s="3"/>
      <c r="J321" s="3"/>
      <c r="K321" s="3"/>
      <c r="L321" s="3"/>
      <c r="M321" s="3"/>
      <c r="N321" s="3"/>
      <c r="O321" s="3"/>
      <c r="P321" s="4"/>
      <c r="Q321" s="5"/>
      <c r="R321" s="5"/>
      <c r="S321" s="5"/>
      <c r="T321" s="6"/>
      <c r="U321" s="5"/>
      <c r="V321" s="6"/>
      <c r="W321" s="7"/>
      <c r="X321" s="8"/>
      <c r="Y321" s="6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6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C321" s="6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  <c r="JC321" s="5"/>
      <c r="JD321" s="5"/>
      <c r="JE321" s="5"/>
      <c r="JF321" s="5"/>
      <c r="JG321" s="5"/>
      <c r="JH321" s="5"/>
      <c r="JI321" s="5"/>
      <c r="JJ321" s="5"/>
      <c r="JK321" s="5"/>
      <c r="JM321" s="19"/>
      <c r="JO321" s="5"/>
      <c r="JP321" s="5"/>
      <c r="JQ321" s="5"/>
      <c r="JR321" s="5"/>
      <c r="JS321" s="6"/>
      <c r="JT321" s="23"/>
      <c r="JU321" s="13"/>
      <c r="JV321" s="6"/>
      <c r="JW321" s="6"/>
      <c r="JX321" s="6"/>
      <c r="JY321" s="6"/>
      <c r="JZ321" s="10"/>
      <c r="KA321" s="10"/>
      <c r="KB321" s="10"/>
      <c r="KC321" s="10"/>
      <c r="KD321" s="5"/>
      <c r="KE321" s="6"/>
    </row>
    <row r="322" spans="6:291" x14ac:dyDescent="0.3">
      <c r="F322" s="17"/>
      <c r="G322" s="9"/>
      <c r="H322" s="3"/>
      <c r="I322" s="3"/>
      <c r="J322" s="3"/>
      <c r="K322" s="3"/>
      <c r="L322" s="3"/>
      <c r="M322" s="3"/>
      <c r="N322" s="3"/>
      <c r="O322" s="3"/>
      <c r="P322" s="4"/>
      <c r="Q322" s="5"/>
      <c r="R322" s="5"/>
      <c r="S322" s="5"/>
      <c r="T322" s="6"/>
      <c r="U322" s="5"/>
      <c r="V322" s="6"/>
      <c r="W322" s="7"/>
      <c r="X322" s="8"/>
      <c r="Y322" s="6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6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C322" s="6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  <c r="JC322" s="5"/>
      <c r="JD322" s="5"/>
      <c r="JE322" s="5"/>
      <c r="JF322" s="5"/>
      <c r="JG322" s="5"/>
      <c r="JH322" s="5"/>
      <c r="JI322" s="5"/>
      <c r="JJ322" s="5"/>
      <c r="JK322" s="5"/>
      <c r="JM322" s="19"/>
      <c r="JO322" s="5"/>
      <c r="JP322" s="5"/>
      <c r="JQ322" s="5"/>
      <c r="JR322" s="5"/>
      <c r="JS322" s="6"/>
      <c r="JT322" s="23"/>
      <c r="JU322" s="13"/>
      <c r="JV322" s="6"/>
      <c r="JW322" s="6"/>
      <c r="JX322" s="6"/>
      <c r="JY322" s="6"/>
      <c r="JZ322" s="10"/>
      <c r="KA322" s="10"/>
      <c r="KB322" s="10"/>
      <c r="KC322" s="10"/>
      <c r="KD322" s="5"/>
      <c r="KE322" s="6"/>
    </row>
    <row r="323" spans="6:291" x14ac:dyDescent="0.3">
      <c r="F323" s="17"/>
      <c r="G323" s="9"/>
      <c r="H323" s="3"/>
      <c r="I323" s="3"/>
      <c r="J323" s="3"/>
      <c r="K323" s="3"/>
      <c r="L323" s="3"/>
      <c r="M323" s="3"/>
      <c r="N323" s="3"/>
      <c r="O323" s="3"/>
      <c r="P323" s="4"/>
      <c r="Q323" s="5"/>
      <c r="R323" s="5"/>
      <c r="S323" s="5"/>
      <c r="T323" s="6"/>
      <c r="U323" s="5"/>
      <c r="V323" s="6"/>
      <c r="W323" s="7"/>
      <c r="X323" s="8"/>
      <c r="Y323" s="6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6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C323" s="6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  <c r="JC323" s="5"/>
      <c r="JD323" s="5"/>
      <c r="JE323" s="5"/>
      <c r="JF323" s="5"/>
      <c r="JG323" s="5"/>
      <c r="JH323" s="5"/>
      <c r="JI323" s="5"/>
      <c r="JJ323" s="5"/>
      <c r="JK323" s="5"/>
      <c r="JM323" s="19"/>
      <c r="JO323" s="5"/>
      <c r="JP323" s="5"/>
      <c r="JQ323" s="5"/>
      <c r="JR323" s="5"/>
      <c r="JS323" s="6"/>
      <c r="JT323" s="23"/>
      <c r="JU323" s="13"/>
      <c r="JV323" s="6"/>
      <c r="JW323" s="6"/>
      <c r="JX323" s="6"/>
      <c r="JY323" s="6"/>
      <c r="JZ323" s="10"/>
      <c r="KA323" s="10"/>
      <c r="KB323" s="10"/>
      <c r="KC323" s="10"/>
      <c r="KD323" s="5"/>
      <c r="KE323" s="6"/>
    </row>
    <row r="324" spans="6:291" x14ac:dyDescent="0.3">
      <c r="F324" s="17"/>
      <c r="G324" s="9"/>
      <c r="H324" s="3"/>
      <c r="I324" s="3"/>
      <c r="J324" s="3"/>
      <c r="K324" s="3"/>
      <c r="L324" s="3"/>
      <c r="M324" s="3"/>
      <c r="N324" s="3"/>
      <c r="O324" s="3"/>
      <c r="P324" s="4"/>
      <c r="Q324" s="5"/>
      <c r="R324" s="5"/>
      <c r="S324" s="5"/>
      <c r="T324" s="6"/>
      <c r="U324" s="5"/>
      <c r="V324" s="6"/>
      <c r="W324" s="7"/>
      <c r="X324" s="8"/>
      <c r="Y324" s="6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6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C324" s="6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  <c r="JC324" s="5"/>
      <c r="JD324" s="5"/>
      <c r="JE324" s="5"/>
      <c r="JF324" s="5"/>
      <c r="JG324" s="5"/>
      <c r="JH324" s="5"/>
      <c r="JI324" s="5"/>
      <c r="JJ324" s="5"/>
      <c r="JK324" s="5"/>
      <c r="JM324" s="19"/>
      <c r="JO324" s="5"/>
      <c r="JP324" s="5"/>
      <c r="JQ324" s="5"/>
      <c r="JR324" s="5"/>
      <c r="JS324" s="6"/>
      <c r="JT324" s="23"/>
      <c r="JU324" s="13"/>
      <c r="JV324" s="6"/>
      <c r="JW324" s="6"/>
      <c r="JX324" s="6"/>
      <c r="JY324" s="6"/>
      <c r="JZ324" s="10"/>
      <c r="KA324" s="10"/>
      <c r="KB324" s="10"/>
      <c r="KC324" s="10"/>
      <c r="KD324" s="5"/>
      <c r="KE324" s="6"/>
    </row>
    <row r="325" spans="6:291" x14ac:dyDescent="0.3">
      <c r="F325" s="17"/>
      <c r="G325" s="9"/>
      <c r="H325" s="3"/>
      <c r="I325" s="3"/>
      <c r="J325" s="3"/>
      <c r="K325" s="3"/>
      <c r="L325" s="3"/>
      <c r="M325" s="3"/>
      <c r="N325" s="3"/>
      <c r="O325" s="3"/>
      <c r="P325" s="4"/>
      <c r="Q325" s="5"/>
      <c r="R325" s="5"/>
      <c r="S325" s="5"/>
      <c r="T325" s="6"/>
      <c r="U325" s="5"/>
      <c r="V325" s="6"/>
      <c r="W325" s="7"/>
      <c r="X325" s="8"/>
      <c r="Y325" s="6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6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C325" s="6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  <c r="JC325" s="5"/>
      <c r="JD325" s="5"/>
      <c r="JE325" s="5"/>
      <c r="JF325" s="5"/>
      <c r="JG325" s="5"/>
      <c r="JH325" s="5"/>
      <c r="JI325" s="5"/>
      <c r="JJ325" s="5"/>
      <c r="JK325" s="5"/>
      <c r="JM325" s="19"/>
      <c r="JO325" s="5"/>
      <c r="JP325" s="5"/>
      <c r="JQ325" s="5"/>
      <c r="JR325" s="5"/>
      <c r="JS325" s="6"/>
      <c r="JT325" s="23"/>
      <c r="JU325" s="13"/>
      <c r="JV325" s="6"/>
      <c r="JW325" s="6"/>
      <c r="JX325" s="6"/>
      <c r="JY325" s="6"/>
      <c r="JZ325" s="10"/>
      <c r="KA325" s="10"/>
      <c r="KB325" s="10"/>
      <c r="KC325" s="10"/>
      <c r="KD325" s="5"/>
      <c r="KE325" s="6"/>
    </row>
    <row r="326" spans="6:291" x14ac:dyDescent="0.3">
      <c r="F326" s="17"/>
      <c r="G326" s="9"/>
      <c r="H326" s="3"/>
      <c r="I326" s="3"/>
      <c r="J326" s="3"/>
      <c r="K326" s="3"/>
      <c r="L326" s="3"/>
      <c r="M326" s="3"/>
      <c r="N326" s="3"/>
      <c r="O326" s="3"/>
      <c r="P326" s="4"/>
      <c r="Q326" s="5"/>
      <c r="R326" s="5"/>
      <c r="S326" s="5"/>
      <c r="T326" s="6"/>
      <c r="U326" s="5"/>
      <c r="V326" s="6"/>
      <c r="W326" s="7"/>
      <c r="X326" s="8"/>
      <c r="Y326" s="6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6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C326" s="6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  <c r="JC326" s="5"/>
      <c r="JD326" s="5"/>
      <c r="JE326" s="5"/>
      <c r="JF326" s="5"/>
      <c r="JG326" s="5"/>
      <c r="JH326" s="5"/>
      <c r="JI326" s="5"/>
      <c r="JJ326" s="5"/>
      <c r="JK326" s="5"/>
      <c r="JM326" s="19"/>
      <c r="JO326" s="5"/>
      <c r="JP326" s="5"/>
      <c r="JQ326" s="5"/>
      <c r="JR326" s="5"/>
      <c r="JS326" s="6"/>
      <c r="JT326" s="23"/>
      <c r="JU326" s="13"/>
      <c r="JV326" s="6"/>
      <c r="JW326" s="6"/>
      <c r="JX326" s="6"/>
      <c r="JY326" s="6"/>
      <c r="JZ326" s="10"/>
      <c r="KA326" s="10"/>
      <c r="KB326" s="10"/>
      <c r="KC326" s="10"/>
      <c r="KD326" s="5"/>
      <c r="KE326" s="6"/>
    </row>
    <row r="327" spans="6:291" x14ac:dyDescent="0.3">
      <c r="F327" s="17"/>
      <c r="G327" s="9"/>
      <c r="H327" s="3"/>
      <c r="I327" s="3"/>
      <c r="J327" s="3"/>
      <c r="K327" s="3"/>
      <c r="L327" s="3"/>
      <c r="M327" s="3"/>
      <c r="N327" s="3"/>
      <c r="O327" s="3"/>
      <c r="P327" s="4"/>
      <c r="Q327" s="5"/>
      <c r="R327" s="5"/>
      <c r="S327" s="5"/>
      <c r="T327" s="6"/>
      <c r="U327" s="5"/>
      <c r="V327" s="6"/>
      <c r="W327" s="7"/>
      <c r="X327" s="8"/>
      <c r="Y327" s="6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6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C327" s="6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  <c r="JC327" s="5"/>
      <c r="JD327" s="5"/>
      <c r="JE327" s="5"/>
      <c r="JF327" s="5"/>
      <c r="JG327" s="5"/>
      <c r="JH327" s="5"/>
      <c r="JI327" s="5"/>
      <c r="JJ327" s="5"/>
      <c r="JK327" s="5"/>
      <c r="JM327" s="19"/>
      <c r="JO327" s="5"/>
      <c r="JP327" s="5"/>
      <c r="JQ327" s="5"/>
      <c r="JR327" s="5"/>
      <c r="JS327" s="6"/>
      <c r="JT327" s="23"/>
      <c r="JU327" s="13"/>
      <c r="JV327" s="6"/>
      <c r="JW327" s="6"/>
      <c r="JX327" s="6"/>
      <c r="JY327" s="6"/>
      <c r="JZ327" s="10"/>
      <c r="KA327" s="10"/>
      <c r="KB327" s="10"/>
      <c r="KC327" s="10"/>
      <c r="KD327" s="5"/>
      <c r="KE327" s="6"/>
    </row>
    <row r="328" spans="6:291" x14ac:dyDescent="0.3">
      <c r="F328" s="17"/>
      <c r="G328" s="9"/>
      <c r="H328" s="3"/>
      <c r="I328" s="3"/>
      <c r="J328" s="3"/>
      <c r="K328" s="3"/>
      <c r="L328" s="3"/>
      <c r="M328" s="3"/>
      <c r="N328" s="3"/>
      <c r="O328" s="3"/>
      <c r="P328" s="4"/>
      <c r="Q328" s="5"/>
      <c r="R328" s="5"/>
      <c r="S328" s="5"/>
      <c r="T328" s="6"/>
      <c r="U328" s="5"/>
      <c r="V328" s="6"/>
      <c r="W328" s="7"/>
      <c r="X328" s="8"/>
      <c r="Y328" s="6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6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C328" s="6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  <c r="JC328" s="5"/>
      <c r="JD328" s="5"/>
      <c r="JE328" s="5"/>
      <c r="JF328" s="5"/>
      <c r="JG328" s="5"/>
      <c r="JH328" s="5"/>
      <c r="JI328" s="5"/>
      <c r="JJ328" s="5"/>
      <c r="JK328" s="5"/>
      <c r="JM328" s="19"/>
      <c r="JO328" s="5"/>
      <c r="JP328" s="5"/>
      <c r="JQ328" s="5"/>
      <c r="JR328" s="5"/>
      <c r="JS328" s="6"/>
      <c r="JT328" s="23"/>
      <c r="JU328" s="13"/>
      <c r="JV328" s="6"/>
      <c r="JW328" s="6"/>
      <c r="JX328" s="6"/>
      <c r="JY328" s="6"/>
      <c r="JZ328" s="10"/>
      <c r="KA328" s="10"/>
      <c r="KB328" s="10"/>
      <c r="KC328" s="10"/>
      <c r="KD328" s="5"/>
      <c r="KE328" s="6"/>
    </row>
    <row r="329" spans="6:291" x14ac:dyDescent="0.3">
      <c r="F329" s="17"/>
      <c r="G329" s="9"/>
      <c r="H329" s="3"/>
      <c r="I329" s="3"/>
      <c r="J329" s="3"/>
      <c r="K329" s="3"/>
      <c r="L329" s="3"/>
      <c r="M329" s="3"/>
      <c r="N329" s="3"/>
      <c r="O329" s="3"/>
      <c r="P329" s="4"/>
      <c r="Q329" s="5"/>
      <c r="R329" s="5"/>
      <c r="S329" s="5"/>
      <c r="T329" s="6"/>
      <c r="U329" s="5"/>
      <c r="V329" s="6"/>
      <c r="W329" s="7"/>
      <c r="X329" s="8"/>
      <c r="Y329" s="6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6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C329" s="6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  <c r="JC329" s="5"/>
      <c r="JD329" s="5"/>
      <c r="JE329" s="5"/>
      <c r="JF329" s="5"/>
      <c r="JG329" s="5"/>
      <c r="JH329" s="5"/>
      <c r="JI329" s="5"/>
      <c r="JJ329" s="5"/>
      <c r="JK329" s="5"/>
      <c r="JM329" s="19"/>
      <c r="JO329" s="5"/>
      <c r="JP329" s="5"/>
      <c r="JQ329" s="5"/>
      <c r="JR329" s="5"/>
      <c r="JS329" s="6"/>
      <c r="JT329" s="23"/>
      <c r="JU329" s="13"/>
      <c r="JV329" s="6"/>
      <c r="JW329" s="6"/>
      <c r="JX329" s="6"/>
      <c r="JY329" s="6"/>
      <c r="JZ329" s="10"/>
      <c r="KA329" s="10"/>
      <c r="KB329" s="10"/>
      <c r="KC329" s="10"/>
      <c r="KD329" s="5"/>
      <c r="KE329" s="6"/>
    </row>
    <row r="330" spans="6:291" x14ac:dyDescent="0.3">
      <c r="F330" s="17"/>
      <c r="G330" s="9"/>
      <c r="H330" s="3"/>
      <c r="I330" s="3"/>
      <c r="J330" s="3"/>
      <c r="K330" s="3"/>
      <c r="L330" s="3"/>
      <c r="M330" s="3"/>
      <c r="N330" s="3"/>
      <c r="O330" s="3"/>
      <c r="P330" s="4"/>
      <c r="Q330" s="5"/>
      <c r="R330" s="5"/>
      <c r="S330" s="5"/>
      <c r="T330" s="6"/>
      <c r="U330" s="5"/>
      <c r="V330" s="6"/>
      <c r="W330" s="7"/>
      <c r="X330" s="8"/>
      <c r="Y330" s="6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6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C330" s="6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  <c r="JC330" s="5"/>
      <c r="JD330" s="5"/>
      <c r="JE330" s="5"/>
      <c r="JF330" s="5"/>
      <c r="JG330" s="5"/>
      <c r="JH330" s="5"/>
      <c r="JI330" s="5"/>
      <c r="JJ330" s="5"/>
      <c r="JK330" s="5"/>
      <c r="JM330" s="19"/>
      <c r="JO330" s="5"/>
      <c r="JP330" s="5"/>
      <c r="JQ330" s="5"/>
      <c r="JR330" s="5"/>
      <c r="JS330" s="6"/>
      <c r="JT330" s="23"/>
      <c r="JU330" s="13"/>
      <c r="JV330" s="6"/>
      <c r="JW330" s="6"/>
      <c r="JX330" s="6"/>
      <c r="JY330" s="6"/>
      <c r="JZ330" s="10"/>
      <c r="KA330" s="10"/>
      <c r="KB330" s="10"/>
      <c r="KC330" s="10"/>
      <c r="KD330" s="5"/>
      <c r="KE330" s="6"/>
    </row>
    <row r="331" spans="6:291" x14ac:dyDescent="0.3">
      <c r="F331" s="17"/>
      <c r="G331" s="9"/>
      <c r="H331" s="3"/>
      <c r="I331" s="3"/>
      <c r="J331" s="3"/>
      <c r="K331" s="3"/>
      <c r="L331" s="3"/>
      <c r="M331" s="3"/>
      <c r="N331" s="3"/>
      <c r="O331" s="3"/>
      <c r="P331" s="4"/>
      <c r="Q331" s="5"/>
      <c r="R331" s="5"/>
      <c r="S331" s="5"/>
      <c r="T331" s="6"/>
      <c r="U331" s="5"/>
      <c r="V331" s="6"/>
      <c r="W331" s="7"/>
      <c r="X331" s="8"/>
      <c r="Y331" s="6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6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C331" s="6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  <c r="JC331" s="5"/>
      <c r="JD331" s="5"/>
      <c r="JE331" s="5"/>
      <c r="JF331" s="5"/>
      <c r="JG331" s="5"/>
      <c r="JH331" s="5"/>
      <c r="JI331" s="5"/>
      <c r="JJ331" s="5"/>
      <c r="JK331" s="5"/>
      <c r="JM331" s="19"/>
      <c r="JO331" s="5"/>
      <c r="JP331" s="5"/>
      <c r="JQ331" s="5"/>
      <c r="JR331" s="5"/>
      <c r="JS331" s="6"/>
      <c r="JT331" s="23"/>
      <c r="JU331" s="13"/>
      <c r="JV331" s="6"/>
      <c r="JW331" s="6"/>
      <c r="JX331" s="6"/>
      <c r="JY331" s="6"/>
      <c r="JZ331" s="10"/>
      <c r="KA331" s="10"/>
      <c r="KB331" s="10"/>
      <c r="KC331" s="10"/>
      <c r="KD331" s="5"/>
      <c r="KE331" s="6"/>
    </row>
    <row r="332" spans="6:291" x14ac:dyDescent="0.3">
      <c r="F332" s="17"/>
      <c r="G332" s="9"/>
      <c r="H332" s="3"/>
      <c r="I332" s="3"/>
      <c r="J332" s="3"/>
      <c r="K332" s="3"/>
      <c r="L332" s="3"/>
      <c r="M332" s="3"/>
      <c r="N332" s="3"/>
      <c r="O332" s="3"/>
      <c r="P332" s="4"/>
      <c r="Q332" s="5"/>
      <c r="R332" s="5"/>
      <c r="S332" s="5"/>
      <c r="T332" s="6"/>
      <c r="U332" s="5"/>
      <c r="V332" s="6"/>
      <c r="W332" s="7"/>
      <c r="X332" s="8"/>
      <c r="Y332" s="6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6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C332" s="6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  <c r="JC332" s="5"/>
      <c r="JD332" s="5"/>
      <c r="JE332" s="5"/>
      <c r="JF332" s="5"/>
      <c r="JG332" s="5"/>
      <c r="JH332" s="5"/>
      <c r="JI332" s="5"/>
      <c r="JJ332" s="5"/>
      <c r="JK332" s="5"/>
      <c r="JM332" s="19"/>
      <c r="JO332" s="5"/>
      <c r="JP332" s="5"/>
      <c r="JQ332" s="5"/>
      <c r="JR332" s="5"/>
      <c r="JS332" s="6"/>
      <c r="JT332" s="23"/>
      <c r="JU332" s="13"/>
      <c r="JV332" s="6"/>
      <c r="JW332" s="6"/>
      <c r="JX332" s="6"/>
      <c r="JY332" s="6"/>
      <c r="JZ332" s="10"/>
      <c r="KA332" s="10"/>
      <c r="KB332" s="10"/>
      <c r="KC332" s="10"/>
      <c r="KD332" s="5"/>
      <c r="KE332" s="6"/>
    </row>
    <row r="333" spans="6:291" x14ac:dyDescent="0.3">
      <c r="F333" s="17"/>
      <c r="G333" s="9"/>
      <c r="H333" s="3"/>
      <c r="I333" s="3"/>
      <c r="J333" s="3"/>
      <c r="K333" s="3"/>
      <c r="L333" s="3"/>
      <c r="M333" s="3"/>
      <c r="N333" s="3"/>
      <c r="O333" s="3"/>
      <c r="P333" s="4"/>
      <c r="Q333" s="5"/>
      <c r="R333" s="5"/>
      <c r="S333" s="5"/>
      <c r="T333" s="6"/>
      <c r="U333" s="5"/>
      <c r="V333" s="6"/>
      <c r="W333" s="7"/>
      <c r="X333" s="8"/>
      <c r="Y333" s="6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6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C333" s="6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  <c r="JC333" s="5"/>
      <c r="JD333" s="5"/>
      <c r="JE333" s="5"/>
      <c r="JF333" s="5"/>
      <c r="JG333" s="5"/>
      <c r="JH333" s="5"/>
      <c r="JI333" s="5"/>
      <c r="JJ333" s="5"/>
      <c r="JK333" s="5"/>
      <c r="JM333" s="19"/>
      <c r="JO333" s="5"/>
      <c r="JP333" s="5"/>
      <c r="JQ333" s="5"/>
      <c r="JR333" s="5"/>
      <c r="JS333" s="6"/>
      <c r="JT333" s="23"/>
      <c r="JU333" s="13"/>
      <c r="JV333" s="6"/>
      <c r="JW333" s="6"/>
      <c r="JX333" s="6"/>
      <c r="JY333" s="6"/>
      <c r="JZ333" s="10"/>
      <c r="KA333" s="10"/>
      <c r="KB333" s="10"/>
      <c r="KC333" s="10"/>
      <c r="KD333" s="5"/>
      <c r="KE333" s="6"/>
    </row>
    <row r="334" spans="6:291" x14ac:dyDescent="0.3">
      <c r="F334" s="17"/>
      <c r="G334" s="9"/>
      <c r="H334" s="3"/>
      <c r="I334" s="3"/>
      <c r="J334" s="3"/>
      <c r="K334" s="3"/>
      <c r="L334" s="3"/>
      <c r="M334" s="3"/>
      <c r="N334" s="3"/>
      <c r="O334" s="3"/>
      <c r="P334" s="4"/>
      <c r="Q334" s="5"/>
      <c r="R334" s="5"/>
      <c r="S334" s="5"/>
      <c r="T334" s="6"/>
      <c r="U334" s="5"/>
      <c r="V334" s="6"/>
      <c r="W334" s="7"/>
      <c r="X334" s="8"/>
      <c r="Y334" s="6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6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C334" s="6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  <c r="JC334" s="5"/>
      <c r="JD334" s="5"/>
      <c r="JE334" s="5"/>
      <c r="JF334" s="5"/>
      <c r="JG334" s="5"/>
      <c r="JH334" s="5"/>
      <c r="JI334" s="5"/>
      <c r="JJ334" s="5"/>
      <c r="JK334" s="5"/>
      <c r="JM334" s="19"/>
      <c r="JO334" s="5"/>
      <c r="JP334" s="5"/>
      <c r="JQ334" s="5"/>
      <c r="JR334" s="5"/>
      <c r="JS334" s="6"/>
      <c r="JT334" s="23"/>
      <c r="JU334" s="13"/>
      <c r="JV334" s="6"/>
      <c r="JW334" s="6"/>
      <c r="JX334" s="6"/>
      <c r="JY334" s="6"/>
      <c r="JZ334" s="10"/>
      <c r="KA334" s="10"/>
      <c r="KB334" s="10"/>
      <c r="KC334" s="10"/>
      <c r="KD334" s="5"/>
      <c r="KE334" s="6"/>
    </row>
    <row r="335" spans="6:291" x14ac:dyDescent="0.3">
      <c r="F335" s="17"/>
      <c r="G335" s="9"/>
      <c r="H335" s="3"/>
      <c r="I335" s="3"/>
      <c r="J335" s="3"/>
      <c r="K335" s="3"/>
      <c r="L335" s="3"/>
      <c r="M335" s="3"/>
      <c r="N335" s="3"/>
      <c r="O335" s="3"/>
      <c r="P335" s="4"/>
      <c r="Q335" s="5"/>
      <c r="R335" s="5"/>
      <c r="S335" s="5"/>
      <c r="T335" s="6"/>
      <c r="U335" s="5"/>
      <c r="V335" s="6"/>
      <c r="W335" s="7"/>
      <c r="X335" s="8"/>
      <c r="Y335" s="6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6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C335" s="6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  <c r="JC335" s="5"/>
      <c r="JD335" s="5"/>
      <c r="JE335" s="5"/>
      <c r="JF335" s="5"/>
      <c r="JG335" s="5"/>
      <c r="JH335" s="5"/>
      <c r="JI335" s="5"/>
      <c r="JJ335" s="5"/>
      <c r="JK335" s="5"/>
      <c r="JM335" s="19"/>
      <c r="JO335" s="5"/>
      <c r="JP335" s="5"/>
      <c r="JQ335" s="5"/>
      <c r="JR335" s="5"/>
      <c r="JS335" s="6"/>
      <c r="JT335" s="23"/>
      <c r="JU335" s="13"/>
      <c r="JV335" s="6"/>
      <c r="JW335" s="6"/>
      <c r="JX335" s="6"/>
      <c r="JY335" s="6"/>
      <c r="JZ335" s="10"/>
      <c r="KA335" s="10"/>
      <c r="KB335" s="10"/>
      <c r="KC335" s="10"/>
      <c r="KD335" s="5"/>
      <c r="KE335" s="6"/>
    </row>
    <row r="336" spans="6:291" x14ac:dyDescent="0.3">
      <c r="F336" s="17"/>
      <c r="G336" s="9"/>
      <c r="H336" s="3"/>
      <c r="I336" s="3"/>
      <c r="J336" s="3"/>
      <c r="K336" s="3"/>
      <c r="L336" s="3"/>
      <c r="M336" s="3"/>
      <c r="N336" s="3"/>
      <c r="O336" s="3"/>
      <c r="P336" s="4"/>
      <c r="Q336" s="5"/>
      <c r="R336" s="5"/>
      <c r="S336" s="5"/>
      <c r="T336" s="6"/>
      <c r="U336" s="5"/>
      <c r="V336" s="6"/>
      <c r="W336" s="7"/>
      <c r="X336" s="8"/>
      <c r="Y336" s="6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6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C336" s="6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  <c r="JC336" s="5"/>
      <c r="JD336" s="5"/>
      <c r="JE336" s="5"/>
      <c r="JF336" s="5"/>
      <c r="JG336" s="5"/>
      <c r="JH336" s="5"/>
      <c r="JI336" s="5"/>
      <c r="JJ336" s="5"/>
      <c r="JK336" s="5"/>
      <c r="JM336" s="19"/>
      <c r="JO336" s="5"/>
      <c r="JP336" s="5"/>
      <c r="JQ336" s="5"/>
      <c r="JR336" s="5"/>
      <c r="JS336" s="6"/>
      <c r="JT336" s="23"/>
      <c r="JU336" s="13"/>
      <c r="JV336" s="6"/>
      <c r="JW336" s="6"/>
      <c r="JX336" s="6"/>
      <c r="JY336" s="6"/>
      <c r="JZ336" s="10"/>
      <c r="KA336" s="10"/>
      <c r="KB336" s="10"/>
      <c r="KC336" s="10"/>
      <c r="KD336" s="5"/>
      <c r="KE336" s="6"/>
    </row>
    <row r="337" spans="6:291" x14ac:dyDescent="0.3">
      <c r="F337" s="17"/>
      <c r="G337" s="9"/>
      <c r="H337" s="3"/>
      <c r="I337" s="3"/>
      <c r="J337" s="3"/>
      <c r="K337" s="3"/>
      <c r="L337" s="3"/>
      <c r="M337" s="3"/>
      <c r="N337" s="3"/>
      <c r="O337" s="3"/>
      <c r="P337" s="4"/>
      <c r="Q337" s="5"/>
      <c r="R337" s="5"/>
      <c r="S337" s="5"/>
      <c r="T337" s="6"/>
      <c r="U337" s="5"/>
      <c r="V337" s="6"/>
      <c r="W337" s="7"/>
      <c r="X337" s="8"/>
      <c r="Y337" s="6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6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C337" s="6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  <c r="JC337" s="5"/>
      <c r="JD337" s="5"/>
      <c r="JE337" s="5"/>
      <c r="JF337" s="5"/>
      <c r="JG337" s="5"/>
      <c r="JH337" s="5"/>
      <c r="JI337" s="5"/>
      <c r="JJ337" s="5"/>
      <c r="JK337" s="5"/>
      <c r="JM337" s="19"/>
      <c r="JO337" s="5"/>
      <c r="JP337" s="5"/>
      <c r="JQ337" s="5"/>
      <c r="JR337" s="5"/>
      <c r="JS337" s="6"/>
      <c r="JT337" s="23"/>
      <c r="JU337" s="13"/>
      <c r="JV337" s="6"/>
      <c r="JW337" s="6"/>
      <c r="JX337" s="6"/>
      <c r="JY337" s="6"/>
      <c r="JZ337" s="10"/>
      <c r="KA337" s="10"/>
      <c r="KB337" s="10"/>
      <c r="KC337" s="10"/>
      <c r="KD337" s="5"/>
      <c r="KE337" s="6"/>
    </row>
    <row r="338" spans="6:291" x14ac:dyDescent="0.3">
      <c r="F338" s="17"/>
      <c r="G338" s="9"/>
      <c r="H338" s="3"/>
      <c r="I338" s="3"/>
      <c r="J338" s="3"/>
      <c r="K338" s="3"/>
      <c r="L338" s="3"/>
      <c r="M338" s="3"/>
      <c r="N338" s="3"/>
      <c r="O338" s="3"/>
      <c r="P338" s="4"/>
      <c r="Q338" s="5"/>
      <c r="R338" s="5"/>
      <c r="S338" s="5"/>
      <c r="T338" s="6"/>
      <c r="U338" s="5"/>
      <c r="V338" s="6"/>
      <c r="W338" s="7"/>
      <c r="X338" s="8"/>
      <c r="Y338" s="6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6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C338" s="6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  <c r="JC338" s="5"/>
      <c r="JD338" s="5"/>
      <c r="JE338" s="5"/>
      <c r="JF338" s="5"/>
      <c r="JG338" s="5"/>
      <c r="JH338" s="5"/>
      <c r="JI338" s="5"/>
      <c r="JJ338" s="5"/>
      <c r="JK338" s="5"/>
      <c r="JM338" s="19"/>
      <c r="JO338" s="5"/>
      <c r="JP338" s="5"/>
      <c r="JQ338" s="5"/>
      <c r="JR338" s="5"/>
      <c r="JS338" s="6"/>
      <c r="JT338" s="23"/>
      <c r="JU338" s="13"/>
      <c r="JV338" s="6"/>
      <c r="JW338" s="6"/>
      <c r="JX338" s="6"/>
      <c r="JY338" s="6"/>
      <c r="JZ338" s="10"/>
      <c r="KA338" s="10"/>
      <c r="KB338" s="10"/>
      <c r="KC338" s="10"/>
      <c r="KD338" s="5"/>
      <c r="KE338" s="6"/>
    </row>
    <row r="339" spans="6:291" x14ac:dyDescent="0.3">
      <c r="F339" s="17"/>
      <c r="G339" s="9"/>
      <c r="H339" s="3"/>
      <c r="I339" s="3"/>
      <c r="J339" s="3"/>
      <c r="K339" s="3"/>
      <c r="L339" s="3"/>
      <c r="M339" s="3"/>
      <c r="N339" s="3"/>
      <c r="O339" s="3"/>
      <c r="P339" s="4"/>
      <c r="Q339" s="5"/>
      <c r="R339" s="5"/>
      <c r="S339" s="5"/>
      <c r="T339" s="6"/>
      <c r="U339" s="5"/>
      <c r="V339" s="6"/>
      <c r="W339" s="7"/>
      <c r="X339" s="8"/>
      <c r="Y339" s="6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6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C339" s="6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  <c r="JC339" s="5"/>
      <c r="JD339" s="5"/>
      <c r="JE339" s="5"/>
      <c r="JF339" s="5"/>
      <c r="JG339" s="5"/>
      <c r="JH339" s="5"/>
      <c r="JI339" s="5"/>
      <c r="JJ339" s="5"/>
      <c r="JK339" s="5"/>
      <c r="JM339" s="19"/>
      <c r="JO339" s="5"/>
      <c r="JP339" s="5"/>
      <c r="JQ339" s="5"/>
      <c r="JR339" s="5"/>
      <c r="JS339" s="6"/>
      <c r="JT339" s="23"/>
      <c r="JU339" s="13"/>
      <c r="JV339" s="6"/>
      <c r="JW339" s="6"/>
      <c r="JX339" s="6"/>
      <c r="JY339" s="6"/>
      <c r="JZ339" s="10"/>
      <c r="KA339" s="10"/>
      <c r="KB339" s="10"/>
      <c r="KC339" s="10"/>
      <c r="KD339" s="5"/>
      <c r="KE339" s="6"/>
    </row>
    <row r="340" spans="6:291" x14ac:dyDescent="0.3">
      <c r="F340" s="17"/>
      <c r="G340" s="9"/>
      <c r="H340" s="3"/>
      <c r="I340" s="3"/>
      <c r="J340" s="3"/>
      <c r="K340" s="3"/>
      <c r="L340" s="3"/>
      <c r="M340" s="3"/>
      <c r="N340" s="3"/>
      <c r="O340" s="3"/>
      <c r="P340" s="4"/>
      <c r="Q340" s="5"/>
      <c r="R340" s="5"/>
      <c r="S340" s="5"/>
      <c r="T340" s="6"/>
      <c r="U340" s="5"/>
      <c r="V340" s="6"/>
      <c r="W340" s="7"/>
      <c r="X340" s="8"/>
      <c r="Y340" s="6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6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C340" s="6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  <c r="JC340" s="5"/>
      <c r="JD340" s="5"/>
      <c r="JE340" s="5"/>
      <c r="JF340" s="5"/>
      <c r="JG340" s="5"/>
      <c r="JH340" s="5"/>
      <c r="JI340" s="5"/>
      <c r="JJ340" s="5"/>
      <c r="JK340" s="5"/>
      <c r="JM340" s="19"/>
      <c r="JO340" s="5"/>
      <c r="JP340" s="5"/>
      <c r="JQ340" s="5"/>
      <c r="JR340" s="5"/>
      <c r="JS340" s="6"/>
      <c r="JT340" s="23"/>
      <c r="JU340" s="13"/>
      <c r="JV340" s="6"/>
      <c r="JW340" s="6"/>
      <c r="JX340" s="6"/>
      <c r="JY340" s="6"/>
      <c r="JZ340" s="10"/>
      <c r="KA340" s="10"/>
      <c r="KB340" s="10"/>
      <c r="KC340" s="10"/>
      <c r="KD340" s="5"/>
      <c r="KE340" s="6"/>
    </row>
    <row r="341" spans="6:291" x14ac:dyDescent="0.3">
      <c r="F341" s="17"/>
      <c r="G341" s="9"/>
      <c r="H341" s="3"/>
      <c r="I341" s="3"/>
      <c r="J341" s="3"/>
      <c r="K341" s="3"/>
      <c r="L341" s="3"/>
      <c r="M341" s="3"/>
      <c r="N341" s="3"/>
      <c r="O341" s="3"/>
      <c r="P341" s="4"/>
      <c r="Q341" s="5"/>
      <c r="R341" s="5"/>
      <c r="S341" s="5"/>
      <c r="T341" s="6"/>
      <c r="U341" s="5"/>
      <c r="V341" s="6"/>
      <c r="W341" s="7"/>
      <c r="X341" s="8"/>
      <c r="Y341" s="6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6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C341" s="6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  <c r="JC341" s="5"/>
      <c r="JD341" s="5"/>
      <c r="JE341" s="5"/>
      <c r="JF341" s="5"/>
      <c r="JG341" s="5"/>
      <c r="JH341" s="5"/>
      <c r="JI341" s="5"/>
      <c r="JJ341" s="5"/>
      <c r="JK341" s="5"/>
      <c r="JM341" s="19"/>
      <c r="JO341" s="5"/>
      <c r="JP341" s="5"/>
      <c r="JQ341" s="5"/>
      <c r="JR341" s="5"/>
      <c r="JS341" s="6"/>
      <c r="JT341" s="23"/>
      <c r="JU341" s="13"/>
      <c r="JV341" s="6"/>
      <c r="JW341" s="6"/>
      <c r="JX341" s="6"/>
      <c r="JY341" s="6"/>
      <c r="JZ341" s="10"/>
      <c r="KA341" s="10"/>
      <c r="KB341" s="10"/>
      <c r="KC341" s="10"/>
      <c r="KD341" s="5"/>
      <c r="KE341" s="6"/>
    </row>
    <row r="342" spans="6:291" x14ac:dyDescent="0.3">
      <c r="F342" s="17"/>
      <c r="G342" s="9"/>
      <c r="H342" s="3"/>
      <c r="I342" s="3"/>
      <c r="J342" s="3"/>
      <c r="K342" s="3"/>
      <c r="L342" s="3"/>
      <c r="M342" s="3"/>
      <c r="N342" s="3"/>
      <c r="O342" s="3"/>
      <c r="P342" s="4"/>
      <c r="Q342" s="5"/>
      <c r="R342" s="5"/>
      <c r="S342" s="5"/>
      <c r="T342" s="6"/>
      <c r="U342" s="5"/>
      <c r="V342" s="6"/>
      <c r="W342" s="7"/>
      <c r="X342" s="8"/>
      <c r="Y342" s="6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6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C342" s="6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  <c r="JC342" s="5"/>
      <c r="JD342" s="5"/>
      <c r="JE342" s="5"/>
      <c r="JF342" s="5"/>
      <c r="JG342" s="5"/>
      <c r="JH342" s="5"/>
      <c r="JI342" s="5"/>
      <c r="JJ342" s="5"/>
      <c r="JK342" s="5"/>
      <c r="JM342" s="19"/>
      <c r="JO342" s="5"/>
      <c r="JP342" s="5"/>
      <c r="JQ342" s="5"/>
      <c r="JR342" s="5"/>
      <c r="JS342" s="6"/>
      <c r="JT342" s="23"/>
      <c r="JU342" s="13"/>
      <c r="JV342" s="6"/>
      <c r="JW342" s="6"/>
      <c r="JX342" s="6"/>
      <c r="JY342" s="6"/>
      <c r="JZ342" s="10"/>
      <c r="KA342" s="10"/>
      <c r="KB342" s="10"/>
      <c r="KC342" s="10"/>
      <c r="KD342" s="5"/>
      <c r="KE342" s="6"/>
    </row>
    <row r="343" spans="6:291" x14ac:dyDescent="0.3">
      <c r="F343" s="17"/>
      <c r="G343" s="9"/>
      <c r="H343" s="3"/>
      <c r="I343" s="3"/>
      <c r="J343" s="3"/>
      <c r="K343" s="3"/>
      <c r="L343" s="3"/>
      <c r="M343" s="3"/>
      <c r="N343" s="3"/>
      <c r="O343" s="3"/>
      <c r="P343" s="4"/>
      <c r="Q343" s="5"/>
      <c r="R343" s="5"/>
      <c r="S343" s="5"/>
      <c r="T343" s="6"/>
      <c r="U343" s="5"/>
      <c r="V343" s="6"/>
      <c r="W343" s="7"/>
      <c r="X343" s="8"/>
      <c r="Y343" s="6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6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C343" s="6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  <c r="JC343" s="5"/>
      <c r="JD343" s="5"/>
      <c r="JE343" s="5"/>
      <c r="JF343" s="5"/>
      <c r="JG343" s="5"/>
      <c r="JH343" s="5"/>
      <c r="JI343" s="5"/>
      <c r="JJ343" s="5"/>
      <c r="JK343" s="5"/>
      <c r="JM343" s="19"/>
      <c r="JO343" s="5"/>
      <c r="JP343" s="5"/>
      <c r="JQ343" s="5"/>
      <c r="JR343" s="5"/>
      <c r="JS343" s="6"/>
      <c r="JT343" s="23"/>
      <c r="JU343" s="13"/>
      <c r="JV343" s="6"/>
      <c r="JW343" s="6"/>
      <c r="JX343" s="6"/>
      <c r="JY343" s="6"/>
      <c r="JZ343" s="10"/>
      <c r="KA343" s="10"/>
      <c r="KB343" s="10"/>
      <c r="KC343" s="10"/>
      <c r="KD343" s="5"/>
      <c r="KE343" s="6"/>
    </row>
    <row r="344" spans="6:291" x14ac:dyDescent="0.3">
      <c r="F344" s="17"/>
      <c r="G344" s="9"/>
      <c r="H344" s="3"/>
      <c r="I344" s="3"/>
      <c r="J344" s="3"/>
      <c r="K344" s="3"/>
      <c r="L344" s="3"/>
      <c r="M344" s="3"/>
      <c r="N344" s="3"/>
      <c r="O344" s="3"/>
      <c r="P344" s="4"/>
      <c r="Q344" s="5"/>
      <c r="R344" s="5"/>
      <c r="S344" s="5"/>
      <c r="T344" s="6"/>
      <c r="U344" s="5"/>
      <c r="V344" s="6"/>
      <c r="W344" s="7"/>
      <c r="X344" s="8"/>
      <c r="Y344" s="6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6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C344" s="6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  <c r="JC344" s="5"/>
      <c r="JD344" s="5"/>
      <c r="JE344" s="5"/>
      <c r="JF344" s="5"/>
      <c r="JG344" s="5"/>
      <c r="JH344" s="5"/>
      <c r="JI344" s="5"/>
      <c r="JJ344" s="5"/>
      <c r="JK344" s="5"/>
      <c r="JM344" s="19"/>
      <c r="JO344" s="5"/>
      <c r="JP344" s="5"/>
      <c r="JQ344" s="5"/>
      <c r="JR344" s="5"/>
      <c r="JS344" s="6"/>
      <c r="JT344" s="23"/>
      <c r="JU344" s="13"/>
      <c r="JV344" s="6"/>
      <c r="JW344" s="6"/>
      <c r="JX344" s="6"/>
      <c r="JY344" s="6"/>
      <c r="JZ344" s="10"/>
      <c r="KA344" s="10"/>
      <c r="KB344" s="10"/>
      <c r="KC344" s="10"/>
      <c r="KD344" s="5"/>
      <c r="KE344" s="6"/>
    </row>
    <row r="345" spans="6:291" x14ac:dyDescent="0.3">
      <c r="F345" s="17"/>
      <c r="G345" s="9"/>
      <c r="H345" s="3"/>
      <c r="I345" s="3"/>
      <c r="J345" s="3"/>
      <c r="K345" s="3"/>
      <c r="L345" s="3"/>
      <c r="M345" s="3"/>
      <c r="N345" s="3"/>
      <c r="O345" s="3"/>
      <c r="P345" s="4"/>
      <c r="Q345" s="5"/>
      <c r="R345" s="5"/>
      <c r="S345" s="5"/>
      <c r="T345" s="6"/>
      <c r="U345" s="5"/>
      <c r="V345" s="6"/>
      <c r="W345" s="7"/>
      <c r="X345" s="8"/>
      <c r="Y345" s="6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6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C345" s="6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  <c r="JC345" s="5"/>
      <c r="JD345" s="5"/>
      <c r="JE345" s="5"/>
      <c r="JF345" s="5"/>
      <c r="JG345" s="5"/>
      <c r="JH345" s="5"/>
      <c r="JI345" s="5"/>
      <c r="JJ345" s="5"/>
      <c r="JK345" s="5"/>
      <c r="JM345" s="19"/>
      <c r="JO345" s="5"/>
      <c r="JP345" s="5"/>
      <c r="JQ345" s="5"/>
      <c r="JR345" s="5"/>
      <c r="JS345" s="6"/>
      <c r="JT345" s="23"/>
      <c r="JU345" s="13"/>
      <c r="JV345" s="6"/>
      <c r="JW345" s="6"/>
      <c r="JX345" s="6"/>
      <c r="JY345" s="6"/>
      <c r="JZ345" s="10"/>
      <c r="KA345" s="10"/>
      <c r="KB345" s="10"/>
      <c r="KC345" s="10"/>
      <c r="KD345" s="5"/>
      <c r="KE345" s="6"/>
    </row>
    <row r="346" spans="6:291" x14ac:dyDescent="0.3">
      <c r="F346" s="17"/>
      <c r="G346" s="9"/>
      <c r="H346" s="3"/>
      <c r="I346" s="3"/>
      <c r="J346" s="3"/>
      <c r="K346" s="3"/>
      <c r="L346" s="3"/>
      <c r="M346" s="3"/>
      <c r="N346" s="3"/>
      <c r="O346" s="3"/>
      <c r="P346" s="4"/>
      <c r="Q346" s="5"/>
      <c r="R346" s="5"/>
      <c r="S346" s="5"/>
      <c r="T346" s="6"/>
      <c r="U346" s="5"/>
      <c r="V346" s="6"/>
      <c r="W346" s="7"/>
      <c r="X346" s="8"/>
      <c r="Y346" s="6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6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C346" s="6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  <c r="JC346" s="5"/>
      <c r="JD346" s="5"/>
      <c r="JE346" s="5"/>
      <c r="JF346" s="5"/>
      <c r="JG346" s="5"/>
      <c r="JH346" s="5"/>
      <c r="JI346" s="5"/>
      <c r="JJ346" s="5"/>
      <c r="JK346" s="5"/>
      <c r="JM346" s="19"/>
      <c r="JO346" s="5"/>
      <c r="JP346" s="5"/>
      <c r="JQ346" s="5"/>
      <c r="JR346" s="5"/>
      <c r="JS346" s="6"/>
      <c r="JT346" s="23"/>
      <c r="JU346" s="13"/>
      <c r="JV346" s="6"/>
      <c r="JW346" s="6"/>
      <c r="JX346" s="6"/>
      <c r="JY346" s="6"/>
      <c r="JZ346" s="10"/>
      <c r="KA346" s="10"/>
      <c r="KB346" s="10"/>
      <c r="KC346" s="10"/>
      <c r="KD346" s="5"/>
      <c r="KE346" s="6"/>
    </row>
    <row r="347" spans="6:291" x14ac:dyDescent="0.3">
      <c r="F347" s="17"/>
      <c r="G347" s="9"/>
      <c r="H347" s="3"/>
      <c r="I347" s="3"/>
      <c r="J347" s="3"/>
      <c r="K347" s="3"/>
      <c r="L347" s="3"/>
      <c r="M347" s="3"/>
      <c r="N347" s="3"/>
      <c r="O347" s="3"/>
      <c r="P347" s="4"/>
      <c r="Q347" s="5"/>
      <c r="R347" s="5"/>
      <c r="S347" s="5"/>
      <c r="T347" s="6"/>
      <c r="U347" s="5"/>
      <c r="V347" s="6"/>
      <c r="W347" s="7"/>
      <c r="X347" s="8"/>
      <c r="Y347" s="6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6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C347" s="6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  <c r="JC347" s="5"/>
      <c r="JD347" s="5"/>
      <c r="JE347" s="5"/>
      <c r="JF347" s="5"/>
      <c r="JG347" s="5"/>
      <c r="JH347" s="5"/>
      <c r="JI347" s="5"/>
      <c r="JJ347" s="5"/>
      <c r="JK347" s="5"/>
      <c r="JM347" s="19"/>
      <c r="JO347" s="5"/>
      <c r="JP347" s="5"/>
      <c r="JQ347" s="5"/>
      <c r="JR347" s="5"/>
      <c r="JS347" s="6"/>
      <c r="JT347" s="23"/>
      <c r="JU347" s="13"/>
      <c r="JV347" s="6"/>
      <c r="JW347" s="6"/>
      <c r="JX347" s="6"/>
      <c r="JY347" s="6"/>
      <c r="JZ347" s="10"/>
      <c r="KA347" s="10"/>
      <c r="KB347" s="10"/>
      <c r="KC347" s="10"/>
      <c r="KD347" s="5"/>
      <c r="KE347" s="6"/>
    </row>
    <row r="348" spans="6:291" x14ac:dyDescent="0.3">
      <c r="F348" s="17"/>
      <c r="G348" s="9"/>
      <c r="H348" s="3"/>
      <c r="I348" s="3"/>
      <c r="J348" s="3"/>
      <c r="K348" s="3"/>
      <c r="L348" s="3"/>
      <c r="M348" s="3"/>
      <c r="N348" s="3"/>
      <c r="O348" s="3"/>
      <c r="P348" s="4"/>
      <c r="Q348" s="5"/>
      <c r="R348" s="5"/>
      <c r="S348" s="5"/>
      <c r="T348" s="6"/>
      <c r="U348" s="5"/>
      <c r="V348" s="6"/>
      <c r="W348" s="7"/>
      <c r="X348" s="8"/>
      <c r="Y348" s="6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6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C348" s="6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  <c r="JC348" s="5"/>
      <c r="JD348" s="5"/>
      <c r="JE348" s="5"/>
      <c r="JF348" s="5"/>
      <c r="JG348" s="5"/>
      <c r="JH348" s="5"/>
      <c r="JI348" s="5"/>
      <c r="JJ348" s="5"/>
      <c r="JK348" s="5"/>
      <c r="JM348" s="19"/>
      <c r="JO348" s="5"/>
      <c r="JP348" s="5"/>
      <c r="JQ348" s="5"/>
      <c r="JR348" s="5"/>
      <c r="JS348" s="6"/>
      <c r="JT348" s="23"/>
      <c r="JU348" s="13"/>
      <c r="JV348" s="6"/>
      <c r="JW348" s="6"/>
      <c r="JX348" s="6"/>
      <c r="JY348" s="6"/>
      <c r="JZ348" s="10"/>
      <c r="KA348" s="10"/>
      <c r="KB348" s="10"/>
      <c r="KC348" s="10"/>
      <c r="KD348" s="5"/>
      <c r="KE348" s="6"/>
    </row>
    <row r="349" spans="6:291" x14ac:dyDescent="0.3">
      <c r="F349" s="17"/>
      <c r="G349" s="9"/>
      <c r="H349" s="3"/>
      <c r="I349" s="3"/>
      <c r="J349" s="3"/>
      <c r="K349" s="3"/>
      <c r="L349" s="3"/>
      <c r="M349" s="3"/>
      <c r="N349" s="3"/>
      <c r="O349" s="3"/>
      <c r="P349" s="4"/>
      <c r="Q349" s="5"/>
      <c r="R349" s="5"/>
      <c r="S349" s="5"/>
      <c r="T349" s="6"/>
      <c r="U349" s="5"/>
      <c r="V349" s="6"/>
      <c r="W349" s="7"/>
      <c r="X349" s="8"/>
      <c r="Y349" s="6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6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C349" s="6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  <c r="JC349" s="5"/>
      <c r="JD349" s="5"/>
      <c r="JE349" s="5"/>
      <c r="JF349" s="5"/>
      <c r="JG349" s="5"/>
      <c r="JH349" s="5"/>
      <c r="JI349" s="5"/>
      <c r="JJ349" s="5"/>
      <c r="JK349" s="5"/>
      <c r="JM349" s="19"/>
      <c r="JO349" s="5"/>
      <c r="JP349" s="5"/>
      <c r="JQ349" s="5"/>
      <c r="JR349" s="5"/>
      <c r="JS349" s="6"/>
      <c r="JT349" s="23"/>
      <c r="JU349" s="13"/>
      <c r="JV349" s="6"/>
      <c r="JW349" s="6"/>
      <c r="JX349" s="6"/>
      <c r="JY349" s="6"/>
      <c r="JZ349" s="10"/>
      <c r="KA349" s="10"/>
      <c r="KB349" s="10"/>
      <c r="KC349" s="10"/>
      <c r="KD349" s="5"/>
      <c r="KE349" s="6"/>
    </row>
    <row r="350" spans="6:291" x14ac:dyDescent="0.3">
      <c r="F350" s="17"/>
      <c r="G350" s="9"/>
      <c r="H350" s="3"/>
      <c r="I350" s="3"/>
      <c r="J350" s="3"/>
      <c r="K350" s="3"/>
      <c r="L350" s="3"/>
      <c r="M350" s="3"/>
      <c r="N350" s="3"/>
      <c r="O350" s="3"/>
      <c r="P350" s="4"/>
      <c r="Q350" s="5"/>
      <c r="R350" s="5"/>
      <c r="S350" s="5"/>
      <c r="T350" s="6"/>
      <c r="U350" s="5"/>
      <c r="V350" s="6"/>
      <c r="W350" s="7"/>
      <c r="X350" s="8"/>
      <c r="Y350" s="6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6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C350" s="6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  <c r="JC350" s="5"/>
      <c r="JD350" s="5"/>
      <c r="JE350" s="5"/>
      <c r="JF350" s="5"/>
      <c r="JG350" s="5"/>
      <c r="JH350" s="5"/>
      <c r="JI350" s="5"/>
      <c r="JJ350" s="5"/>
      <c r="JK350" s="5"/>
      <c r="JM350" s="19"/>
      <c r="JO350" s="5"/>
      <c r="JP350" s="5"/>
      <c r="JQ350" s="5"/>
      <c r="JR350" s="5"/>
      <c r="JS350" s="6"/>
      <c r="JT350" s="23"/>
      <c r="JU350" s="13"/>
      <c r="JV350" s="6"/>
      <c r="JW350" s="6"/>
      <c r="JX350" s="6"/>
      <c r="JY350" s="6"/>
      <c r="JZ350" s="10"/>
      <c r="KA350" s="10"/>
      <c r="KB350" s="10"/>
      <c r="KC350" s="10"/>
      <c r="KD350" s="5"/>
      <c r="KE350" s="6"/>
    </row>
    <row r="351" spans="6:291" x14ac:dyDescent="0.3">
      <c r="F351" s="17"/>
      <c r="G351" s="9"/>
      <c r="H351" s="3"/>
      <c r="I351" s="3"/>
      <c r="J351" s="3"/>
      <c r="K351" s="3"/>
      <c r="L351" s="3"/>
      <c r="M351" s="3"/>
      <c r="N351" s="3"/>
      <c r="O351" s="3"/>
      <c r="P351" s="4"/>
      <c r="Q351" s="5"/>
      <c r="R351" s="5"/>
      <c r="S351" s="5"/>
      <c r="T351" s="6"/>
      <c r="U351" s="5"/>
      <c r="V351" s="6"/>
      <c r="W351" s="7"/>
      <c r="X351" s="8"/>
      <c r="Y351" s="6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6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C351" s="6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  <c r="JC351" s="5"/>
      <c r="JD351" s="5"/>
      <c r="JE351" s="5"/>
      <c r="JF351" s="5"/>
      <c r="JG351" s="5"/>
      <c r="JH351" s="5"/>
      <c r="JI351" s="5"/>
      <c r="JJ351" s="5"/>
      <c r="JK351" s="5"/>
      <c r="JM351" s="19"/>
      <c r="JO351" s="5"/>
      <c r="JP351" s="5"/>
      <c r="JQ351" s="5"/>
      <c r="JR351" s="5"/>
      <c r="JS351" s="6"/>
      <c r="JT351" s="23"/>
      <c r="JU351" s="13"/>
      <c r="JV351" s="6"/>
      <c r="JW351" s="6"/>
      <c r="JX351" s="6"/>
      <c r="JY351" s="6"/>
      <c r="JZ351" s="10"/>
      <c r="KA351" s="10"/>
      <c r="KB351" s="10"/>
      <c r="KC351" s="10"/>
      <c r="KD351" s="5"/>
      <c r="KE351" s="6"/>
    </row>
    <row r="352" spans="6:291" x14ac:dyDescent="0.3">
      <c r="F352" s="17"/>
      <c r="G352" s="9"/>
      <c r="H352" s="3"/>
      <c r="I352" s="3"/>
      <c r="J352" s="3"/>
      <c r="K352" s="3"/>
      <c r="L352" s="3"/>
      <c r="M352" s="3"/>
      <c r="N352" s="3"/>
      <c r="O352" s="3"/>
      <c r="P352" s="4"/>
      <c r="Q352" s="5"/>
      <c r="R352" s="5"/>
      <c r="S352" s="5"/>
      <c r="T352" s="6"/>
      <c r="U352" s="5"/>
      <c r="V352" s="6"/>
      <c r="W352" s="7"/>
      <c r="X352" s="8"/>
      <c r="Y352" s="6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6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C352" s="6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  <c r="JC352" s="5"/>
      <c r="JD352" s="5"/>
      <c r="JE352" s="5"/>
      <c r="JF352" s="5"/>
      <c r="JG352" s="5"/>
      <c r="JH352" s="5"/>
      <c r="JI352" s="5"/>
      <c r="JJ352" s="5"/>
      <c r="JK352" s="5"/>
      <c r="JM352" s="19"/>
      <c r="JO352" s="5"/>
      <c r="JP352" s="5"/>
      <c r="JQ352" s="5"/>
      <c r="JR352" s="5"/>
      <c r="JS352" s="6"/>
      <c r="JT352" s="23"/>
      <c r="JU352" s="13"/>
      <c r="JV352" s="6"/>
      <c r="JW352" s="6"/>
      <c r="JX352" s="6"/>
      <c r="JY352" s="6"/>
      <c r="JZ352" s="10"/>
      <c r="KA352" s="10"/>
      <c r="KB352" s="10"/>
      <c r="KC352" s="10"/>
      <c r="KD352" s="5"/>
      <c r="KE352" s="6"/>
    </row>
    <row r="353" spans="6:291" x14ac:dyDescent="0.3">
      <c r="F353" s="17"/>
      <c r="G353" s="9"/>
      <c r="H353" s="3"/>
      <c r="I353" s="3"/>
      <c r="J353" s="3"/>
      <c r="K353" s="3"/>
      <c r="L353" s="3"/>
      <c r="M353" s="3"/>
      <c r="N353" s="3"/>
      <c r="O353" s="3"/>
      <c r="P353" s="4"/>
      <c r="Q353" s="5"/>
      <c r="R353" s="5"/>
      <c r="S353" s="5"/>
      <c r="T353" s="6"/>
      <c r="U353" s="5"/>
      <c r="V353" s="6"/>
      <c r="W353" s="7"/>
      <c r="X353" s="8"/>
      <c r="Y353" s="6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6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C353" s="6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  <c r="JC353" s="5"/>
      <c r="JD353" s="5"/>
      <c r="JE353" s="5"/>
      <c r="JF353" s="5"/>
      <c r="JG353" s="5"/>
      <c r="JH353" s="5"/>
      <c r="JI353" s="5"/>
      <c r="JJ353" s="5"/>
      <c r="JK353" s="5"/>
      <c r="JM353" s="19"/>
      <c r="JO353" s="5"/>
      <c r="JP353" s="5"/>
      <c r="JQ353" s="5"/>
      <c r="JR353" s="5"/>
      <c r="JS353" s="6"/>
      <c r="JT353" s="23"/>
      <c r="JU353" s="13"/>
      <c r="JV353" s="6"/>
      <c r="JW353" s="6"/>
      <c r="JX353" s="6"/>
      <c r="JY353" s="6"/>
      <c r="JZ353" s="10"/>
      <c r="KA353" s="10"/>
      <c r="KB353" s="10"/>
      <c r="KC353" s="10"/>
      <c r="KD353" s="5"/>
      <c r="KE353" s="6"/>
    </row>
    <row r="354" spans="6:291" x14ac:dyDescent="0.3">
      <c r="F354" s="17"/>
      <c r="G354" s="9"/>
      <c r="H354" s="3"/>
      <c r="I354" s="3"/>
      <c r="J354" s="3"/>
      <c r="K354" s="3"/>
      <c r="L354" s="3"/>
      <c r="M354" s="3"/>
      <c r="N354" s="3"/>
      <c r="O354" s="3"/>
      <c r="P354" s="4"/>
      <c r="Q354" s="5"/>
      <c r="R354" s="5"/>
      <c r="S354" s="5"/>
      <c r="T354" s="6"/>
      <c r="U354" s="5"/>
      <c r="V354" s="6"/>
      <c r="W354" s="7"/>
      <c r="X354" s="8"/>
      <c r="Y354" s="6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6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C354" s="6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  <c r="JC354" s="5"/>
      <c r="JD354" s="5"/>
      <c r="JE354" s="5"/>
      <c r="JF354" s="5"/>
      <c r="JG354" s="5"/>
      <c r="JH354" s="5"/>
      <c r="JI354" s="5"/>
      <c r="JJ354" s="5"/>
      <c r="JK354" s="5"/>
      <c r="JM354" s="19"/>
      <c r="JO354" s="5"/>
      <c r="JP354" s="5"/>
      <c r="JQ354" s="5"/>
      <c r="JR354" s="5"/>
      <c r="JS354" s="6"/>
      <c r="JT354" s="23"/>
      <c r="JU354" s="13"/>
      <c r="JV354" s="6"/>
      <c r="JW354" s="6"/>
      <c r="JX354" s="6"/>
      <c r="JY354" s="6"/>
      <c r="JZ354" s="10"/>
      <c r="KA354" s="10"/>
      <c r="KB354" s="10"/>
      <c r="KC354" s="10"/>
      <c r="KD354" s="5"/>
      <c r="KE354" s="6"/>
    </row>
    <row r="355" spans="6:291" x14ac:dyDescent="0.3">
      <c r="F355" s="17"/>
      <c r="G355" s="9"/>
      <c r="H355" s="3"/>
      <c r="I355" s="3"/>
      <c r="J355" s="3"/>
      <c r="K355" s="3"/>
      <c r="L355" s="3"/>
      <c r="M355" s="3"/>
      <c r="N355" s="3"/>
      <c r="O355" s="3"/>
      <c r="P355" s="4"/>
      <c r="Q355" s="5"/>
      <c r="R355" s="5"/>
      <c r="S355" s="5"/>
      <c r="T355" s="6"/>
      <c r="U355" s="5"/>
      <c r="V355" s="6"/>
      <c r="W355" s="7"/>
      <c r="X355" s="8"/>
      <c r="Y355" s="6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6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C355" s="6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  <c r="JC355" s="5"/>
      <c r="JD355" s="5"/>
      <c r="JE355" s="5"/>
      <c r="JF355" s="5"/>
      <c r="JG355" s="5"/>
      <c r="JH355" s="5"/>
      <c r="JI355" s="5"/>
      <c r="JJ355" s="5"/>
      <c r="JK355" s="5"/>
      <c r="JM355" s="19"/>
      <c r="JO355" s="5"/>
      <c r="JP355" s="5"/>
      <c r="JQ355" s="5"/>
      <c r="JR355" s="5"/>
      <c r="JS355" s="6"/>
      <c r="JT355" s="23"/>
      <c r="JU355" s="13"/>
      <c r="JV355" s="6"/>
      <c r="JW355" s="6"/>
      <c r="JX355" s="6"/>
      <c r="JY355" s="6"/>
      <c r="JZ355" s="10"/>
      <c r="KA355" s="10"/>
      <c r="KB355" s="10"/>
      <c r="KC355" s="10"/>
      <c r="KD355" s="5"/>
      <c r="KE355" s="6"/>
    </row>
    <row r="356" spans="6:291" x14ac:dyDescent="0.3">
      <c r="F356" s="17"/>
      <c r="G356" s="9"/>
      <c r="H356" s="3"/>
      <c r="I356" s="3"/>
      <c r="J356" s="3"/>
      <c r="K356" s="3"/>
      <c r="L356" s="3"/>
      <c r="M356" s="3"/>
      <c r="N356" s="3"/>
      <c r="O356" s="3"/>
      <c r="P356" s="4"/>
      <c r="Q356" s="5"/>
      <c r="R356" s="5"/>
      <c r="S356" s="5"/>
      <c r="T356" s="6"/>
      <c r="U356" s="5"/>
      <c r="V356" s="6"/>
      <c r="W356" s="7"/>
      <c r="X356" s="8"/>
      <c r="Y356" s="6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6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C356" s="6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  <c r="JC356" s="5"/>
      <c r="JD356" s="5"/>
      <c r="JE356" s="5"/>
      <c r="JF356" s="5"/>
      <c r="JG356" s="5"/>
      <c r="JH356" s="5"/>
      <c r="JI356" s="5"/>
      <c r="JJ356" s="5"/>
      <c r="JK356" s="5"/>
      <c r="JM356" s="19"/>
      <c r="JO356" s="5"/>
      <c r="JP356" s="5"/>
      <c r="JQ356" s="5"/>
      <c r="JR356" s="5"/>
      <c r="JS356" s="6"/>
      <c r="JT356" s="23"/>
      <c r="JU356" s="13"/>
      <c r="JV356" s="6"/>
      <c r="JW356" s="6"/>
      <c r="JX356" s="6"/>
      <c r="JY356" s="6"/>
      <c r="JZ356" s="10"/>
      <c r="KA356" s="10"/>
      <c r="KB356" s="10"/>
      <c r="KC356" s="10"/>
      <c r="KD356" s="5"/>
      <c r="KE356" s="6"/>
    </row>
    <row r="357" spans="6:291" x14ac:dyDescent="0.3">
      <c r="F357" s="17"/>
      <c r="G357" s="9"/>
      <c r="H357" s="3"/>
      <c r="I357" s="3"/>
      <c r="J357" s="3"/>
      <c r="K357" s="3"/>
      <c r="L357" s="3"/>
      <c r="M357" s="3"/>
      <c r="N357" s="3"/>
      <c r="O357" s="3"/>
      <c r="P357" s="4"/>
      <c r="Q357" s="5"/>
      <c r="R357" s="5"/>
      <c r="S357" s="5"/>
      <c r="T357" s="6"/>
      <c r="U357" s="5"/>
      <c r="V357" s="6"/>
      <c r="W357" s="7"/>
      <c r="X357" s="8"/>
      <c r="Y357" s="6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6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C357" s="6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  <c r="JC357" s="5"/>
      <c r="JD357" s="5"/>
      <c r="JE357" s="5"/>
      <c r="JF357" s="5"/>
      <c r="JG357" s="5"/>
      <c r="JH357" s="5"/>
      <c r="JI357" s="5"/>
      <c r="JJ357" s="5"/>
      <c r="JK357" s="5"/>
      <c r="JM357" s="19"/>
      <c r="JO357" s="5"/>
      <c r="JP357" s="5"/>
      <c r="JQ357" s="5"/>
      <c r="JR357" s="5"/>
      <c r="JS357" s="6"/>
      <c r="JT357" s="23"/>
      <c r="JU357" s="13"/>
      <c r="JV357" s="6"/>
      <c r="JW357" s="6"/>
      <c r="JX357" s="6"/>
      <c r="JY357" s="6"/>
      <c r="JZ357" s="10"/>
      <c r="KA357" s="10"/>
      <c r="KB357" s="10"/>
      <c r="KC357" s="10"/>
      <c r="KD357" s="5"/>
      <c r="KE357" s="6"/>
    </row>
    <row r="358" spans="6:291" x14ac:dyDescent="0.3">
      <c r="F358" s="17"/>
      <c r="G358" s="9"/>
      <c r="H358" s="3"/>
      <c r="I358" s="3"/>
      <c r="J358" s="3"/>
      <c r="K358" s="3"/>
      <c r="L358" s="3"/>
      <c r="M358" s="3"/>
      <c r="N358" s="3"/>
      <c r="O358" s="3"/>
      <c r="P358" s="4"/>
      <c r="Q358" s="5"/>
      <c r="R358" s="5"/>
      <c r="S358" s="5"/>
      <c r="T358" s="6"/>
      <c r="U358" s="5"/>
      <c r="V358" s="6"/>
      <c r="W358" s="7"/>
      <c r="X358" s="8"/>
      <c r="Y358" s="6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6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C358" s="6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  <c r="JC358" s="5"/>
      <c r="JD358" s="5"/>
      <c r="JE358" s="5"/>
      <c r="JF358" s="5"/>
      <c r="JG358" s="5"/>
      <c r="JH358" s="5"/>
      <c r="JI358" s="5"/>
      <c r="JJ358" s="5"/>
      <c r="JK358" s="5"/>
      <c r="JM358" s="19"/>
      <c r="JO358" s="5"/>
      <c r="JP358" s="5"/>
      <c r="JQ358" s="5"/>
      <c r="JR358" s="5"/>
      <c r="JS358" s="6"/>
      <c r="JT358" s="23"/>
      <c r="JU358" s="13"/>
      <c r="JV358" s="6"/>
      <c r="JW358" s="6"/>
      <c r="JX358" s="6"/>
      <c r="JY358" s="6"/>
      <c r="JZ358" s="10"/>
      <c r="KA358" s="10"/>
      <c r="KB358" s="10"/>
      <c r="KC358" s="10"/>
      <c r="KD358" s="5"/>
      <c r="KE358" s="6"/>
    </row>
    <row r="359" spans="6:291" x14ac:dyDescent="0.3">
      <c r="F359" s="17"/>
      <c r="G359" s="9"/>
      <c r="H359" s="3"/>
      <c r="I359" s="3"/>
      <c r="J359" s="3"/>
      <c r="K359" s="3"/>
      <c r="L359" s="3"/>
      <c r="M359" s="3"/>
      <c r="N359" s="3"/>
      <c r="O359" s="3"/>
      <c r="P359" s="4"/>
      <c r="Q359" s="5"/>
      <c r="R359" s="5"/>
      <c r="S359" s="5"/>
      <c r="T359" s="6"/>
      <c r="U359" s="5"/>
      <c r="V359" s="6"/>
      <c r="W359" s="7"/>
      <c r="X359" s="8"/>
      <c r="Y359" s="6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6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C359" s="6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  <c r="JC359" s="5"/>
      <c r="JD359" s="5"/>
      <c r="JE359" s="5"/>
      <c r="JF359" s="5"/>
      <c r="JG359" s="5"/>
      <c r="JH359" s="5"/>
      <c r="JI359" s="5"/>
      <c r="JJ359" s="5"/>
      <c r="JK359" s="5"/>
      <c r="JM359" s="19"/>
      <c r="JO359" s="5"/>
      <c r="JP359" s="5"/>
      <c r="JQ359" s="5"/>
      <c r="JR359" s="5"/>
      <c r="JS359" s="6"/>
      <c r="JT359" s="23"/>
      <c r="JU359" s="13"/>
      <c r="JV359" s="6"/>
      <c r="JW359" s="6"/>
      <c r="JX359" s="6"/>
      <c r="JY359" s="6"/>
      <c r="JZ359" s="10"/>
      <c r="KA359" s="10"/>
      <c r="KB359" s="10"/>
      <c r="KC359" s="10"/>
      <c r="KD359" s="5"/>
      <c r="KE359" s="6"/>
    </row>
    <row r="360" spans="6:291" x14ac:dyDescent="0.3">
      <c r="F360" s="17"/>
      <c r="G360" s="9"/>
      <c r="H360" s="3"/>
      <c r="I360" s="3"/>
      <c r="J360" s="3"/>
      <c r="K360" s="3"/>
      <c r="L360" s="3"/>
      <c r="M360" s="3"/>
      <c r="N360" s="3"/>
      <c r="O360" s="3"/>
      <c r="P360" s="4"/>
      <c r="Q360" s="5"/>
      <c r="R360" s="5"/>
      <c r="S360" s="5"/>
      <c r="T360" s="6"/>
      <c r="U360" s="5"/>
      <c r="V360" s="6"/>
      <c r="W360" s="7"/>
      <c r="X360" s="8"/>
      <c r="Y360" s="6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6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C360" s="6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  <c r="JC360" s="5"/>
      <c r="JD360" s="5"/>
      <c r="JE360" s="5"/>
      <c r="JF360" s="5"/>
      <c r="JG360" s="5"/>
      <c r="JH360" s="5"/>
      <c r="JI360" s="5"/>
      <c r="JJ360" s="5"/>
      <c r="JK360" s="5"/>
      <c r="JM360" s="19"/>
      <c r="JO360" s="5"/>
      <c r="JP360" s="5"/>
      <c r="JQ360" s="5"/>
      <c r="JR360" s="5"/>
      <c r="JS360" s="6"/>
      <c r="JT360" s="23"/>
      <c r="JU360" s="13"/>
      <c r="JV360" s="6"/>
      <c r="JW360" s="6"/>
      <c r="JX360" s="6"/>
      <c r="JY360" s="6"/>
      <c r="JZ360" s="10"/>
      <c r="KA360" s="10"/>
      <c r="KB360" s="10"/>
      <c r="KC360" s="10"/>
      <c r="KD360" s="5"/>
      <c r="KE360" s="6"/>
    </row>
    <row r="361" spans="6:291" x14ac:dyDescent="0.3">
      <c r="F361" s="17"/>
      <c r="G361" s="9"/>
      <c r="H361" s="3"/>
      <c r="I361" s="3"/>
      <c r="J361" s="3"/>
      <c r="K361" s="3"/>
      <c r="L361" s="3"/>
      <c r="M361" s="3"/>
      <c r="N361" s="3"/>
      <c r="O361" s="3"/>
      <c r="P361" s="4"/>
      <c r="Q361" s="5"/>
      <c r="R361" s="5"/>
      <c r="S361" s="5"/>
      <c r="T361" s="6"/>
      <c r="U361" s="5"/>
      <c r="V361" s="6"/>
      <c r="W361" s="7"/>
      <c r="X361" s="8"/>
      <c r="Y361" s="6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6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C361" s="6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  <c r="JC361" s="5"/>
      <c r="JD361" s="5"/>
      <c r="JE361" s="5"/>
      <c r="JF361" s="5"/>
      <c r="JG361" s="5"/>
      <c r="JH361" s="5"/>
      <c r="JI361" s="5"/>
      <c r="JJ361" s="5"/>
      <c r="JK361" s="5"/>
      <c r="JM361" s="19"/>
      <c r="JO361" s="5"/>
      <c r="JP361" s="5"/>
      <c r="JQ361" s="5"/>
      <c r="JR361" s="5"/>
      <c r="JS361" s="6"/>
      <c r="JT361" s="23"/>
      <c r="JU361" s="13"/>
      <c r="JV361" s="6"/>
      <c r="JW361" s="6"/>
      <c r="JX361" s="6"/>
      <c r="JY361" s="6"/>
      <c r="JZ361" s="10"/>
      <c r="KA361" s="10"/>
      <c r="KB361" s="10"/>
      <c r="KC361" s="10"/>
      <c r="KD361" s="5"/>
      <c r="KE361" s="6"/>
    </row>
    <row r="362" spans="6:291" x14ac:dyDescent="0.3">
      <c r="F362" s="17"/>
      <c r="G362" s="9"/>
      <c r="H362" s="3"/>
      <c r="I362" s="3"/>
      <c r="J362" s="3"/>
      <c r="K362" s="3"/>
      <c r="L362" s="3"/>
      <c r="M362" s="3"/>
      <c r="N362" s="3"/>
      <c r="O362" s="3"/>
      <c r="P362" s="4"/>
      <c r="Q362" s="5"/>
      <c r="R362" s="5"/>
      <c r="S362" s="5"/>
      <c r="T362" s="6"/>
      <c r="U362" s="5"/>
      <c r="V362" s="6"/>
      <c r="W362" s="7"/>
      <c r="X362" s="8"/>
      <c r="Y362" s="6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6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C362" s="6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  <c r="JC362" s="5"/>
      <c r="JD362" s="5"/>
      <c r="JE362" s="5"/>
      <c r="JF362" s="5"/>
      <c r="JG362" s="5"/>
      <c r="JH362" s="5"/>
      <c r="JI362" s="5"/>
      <c r="JJ362" s="5"/>
      <c r="JK362" s="5"/>
      <c r="JM362" s="19"/>
      <c r="JO362" s="5"/>
      <c r="JP362" s="5"/>
      <c r="JQ362" s="5"/>
      <c r="JR362" s="5"/>
      <c r="JS362" s="6"/>
      <c r="JT362" s="23"/>
      <c r="JU362" s="13"/>
      <c r="JV362" s="6"/>
      <c r="JW362" s="6"/>
      <c r="JX362" s="6"/>
      <c r="JY362" s="6"/>
      <c r="JZ362" s="10"/>
      <c r="KA362" s="10"/>
      <c r="KB362" s="10"/>
      <c r="KC362" s="10"/>
      <c r="KD362" s="5"/>
      <c r="KE362" s="6"/>
    </row>
    <row r="363" spans="6:291" x14ac:dyDescent="0.3">
      <c r="F363" s="17"/>
      <c r="G363" s="9"/>
      <c r="H363" s="3"/>
      <c r="I363" s="3"/>
      <c r="J363" s="3"/>
      <c r="K363" s="3"/>
      <c r="L363" s="3"/>
      <c r="M363" s="3"/>
      <c r="N363" s="3"/>
      <c r="O363" s="3"/>
      <c r="P363" s="4"/>
      <c r="Q363" s="5"/>
      <c r="R363" s="5"/>
      <c r="S363" s="5"/>
      <c r="T363" s="6"/>
      <c r="U363" s="5"/>
      <c r="V363" s="6"/>
      <c r="W363" s="7"/>
      <c r="X363" s="8"/>
      <c r="Y363" s="6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6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C363" s="6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  <c r="JC363" s="5"/>
      <c r="JD363" s="5"/>
      <c r="JE363" s="5"/>
      <c r="JF363" s="5"/>
      <c r="JG363" s="5"/>
      <c r="JH363" s="5"/>
      <c r="JI363" s="5"/>
      <c r="JJ363" s="5"/>
      <c r="JK363" s="5"/>
      <c r="JM363" s="19"/>
      <c r="JO363" s="5"/>
      <c r="JP363" s="5"/>
      <c r="JQ363" s="5"/>
      <c r="JR363" s="5"/>
      <c r="JS363" s="6"/>
      <c r="JT363" s="23"/>
      <c r="JU363" s="13"/>
      <c r="JV363" s="6"/>
      <c r="JW363" s="6"/>
      <c r="JX363" s="6"/>
      <c r="JY363" s="6"/>
      <c r="JZ363" s="10"/>
      <c r="KA363" s="10"/>
      <c r="KB363" s="10"/>
      <c r="KC363" s="10"/>
      <c r="KD363" s="5"/>
      <c r="KE363" s="6"/>
    </row>
    <row r="364" spans="6:291" x14ac:dyDescent="0.3">
      <c r="F364" s="17"/>
      <c r="G364" s="9"/>
      <c r="H364" s="3"/>
      <c r="I364" s="3"/>
      <c r="J364" s="3"/>
      <c r="K364" s="3"/>
      <c r="L364" s="3"/>
      <c r="M364" s="3"/>
      <c r="N364" s="3"/>
      <c r="O364" s="3"/>
      <c r="P364" s="4"/>
      <c r="Q364" s="5"/>
      <c r="R364" s="5"/>
      <c r="S364" s="5"/>
      <c r="T364" s="6"/>
      <c r="U364" s="5"/>
      <c r="V364" s="6"/>
      <c r="W364" s="7"/>
      <c r="X364" s="8"/>
      <c r="Y364" s="6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6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C364" s="6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  <c r="JC364" s="5"/>
      <c r="JD364" s="5"/>
      <c r="JE364" s="5"/>
      <c r="JF364" s="5"/>
      <c r="JG364" s="5"/>
      <c r="JH364" s="5"/>
      <c r="JI364" s="5"/>
      <c r="JJ364" s="5"/>
      <c r="JK364" s="5"/>
      <c r="JM364" s="19"/>
      <c r="JO364" s="5"/>
      <c r="JP364" s="5"/>
      <c r="JQ364" s="5"/>
      <c r="JR364" s="5"/>
      <c r="JS364" s="6"/>
      <c r="JT364" s="23"/>
      <c r="JU364" s="13"/>
      <c r="JV364" s="6"/>
      <c r="JW364" s="6"/>
      <c r="JX364" s="6"/>
      <c r="JY364" s="6"/>
      <c r="JZ364" s="10"/>
      <c r="KA364" s="10"/>
      <c r="KB364" s="10"/>
      <c r="KC364" s="10"/>
      <c r="KD364" s="5"/>
      <c r="KE364" s="6"/>
    </row>
    <row r="365" spans="6:291" x14ac:dyDescent="0.3">
      <c r="F365" s="17"/>
      <c r="G365" s="9"/>
      <c r="H365" s="3"/>
      <c r="I365" s="3"/>
      <c r="J365" s="3"/>
      <c r="K365" s="3"/>
      <c r="L365" s="3"/>
      <c r="M365" s="3"/>
      <c r="N365" s="3"/>
      <c r="O365" s="3"/>
      <c r="P365" s="4"/>
      <c r="Q365" s="5"/>
      <c r="R365" s="5"/>
      <c r="S365" s="5"/>
      <c r="T365" s="6"/>
      <c r="U365" s="5"/>
      <c r="V365" s="6"/>
      <c r="W365" s="7"/>
      <c r="X365" s="8"/>
      <c r="Y365" s="6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6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C365" s="6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  <c r="JC365" s="5"/>
      <c r="JD365" s="5"/>
      <c r="JE365" s="5"/>
      <c r="JF365" s="5"/>
      <c r="JG365" s="5"/>
      <c r="JH365" s="5"/>
      <c r="JI365" s="5"/>
      <c r="JJ365" s="5"/>
      <c r="JK365" s="5"/>
      <c r="JM365" s="19"/>
      <c r="JO365" s="5"/>
      <c r="JP365" s="5"/>
      <c r="JQ365" s="5"/>
      <c r="JR365" s="5"/>
      <c r="JS365" s="6"/>
      <c r="JT365" s="23"/>
      <c r="JU365" s="13"/>
      <c r="JV365" s="6"/>
      <c r="JW365" s="6"/>
      <c r="JX365" s="6"/>
      <c r="JY365" s="6"/>
      <c r="JZ365" s="10"/>
      <c r="KA365" s="10"/>
      <c r="KB365" s="10"/>
      <c r="KC365" s="10"/>
      <c r="KD365" s="5"/>
      <c r="KE365" s="6"/>
    </row>
    <row r="366" spans="6:291" x14ac:dyDescent="0.3">
      <c r="F366" s="17"/>
      <c r="G366" s="9"/>
      <c r="H366" s="3"/>
      <c r="I366" s="3"/>
      <c r="J366" s="3"/>
      <c r="K366" s="3"/>
      <c r="L366" s="3"/>
      <c r="M366" s="3"/>
      <c r="N366" s="3"/>
      <c r="O366" s="3"/>
      <c r="P366" s="4"/>
      <c r="Q366" s="5"/>
      <c r="R366" s="5"/>
      <c r="S366" s="5"/>
      <c r="T366" s="6"/>
      <c r="U366" s="5"/>
      <c r="V366" s="6"/>
      <c r="W366" s="7"/>
      <c r="X366" s="8"/>
      <c r="Y366" s="6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6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C366" s="6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  <c r="JC366" s="5"/>
      <c r="JD366" s="5"/>
      <c r="JE366" s="5"/>
      <c r="JF366" s="5"/>
      <c r="JG366" s="5"/>
      <c r="JH366" s="5"/>
      <c r="JI366" s="5"/>
      <c r="JJ366" s="5"/>
      <c r="JK366" s="5"/>
      <c r="JM366" s="19"/>
      <c r="JO366" s="5"/>
      <c r="JP366" s="5"/>
      <c r="JQ366" s="5"/>
      <c r="JR366" s="5"/>
      <c r="JS366" s="6"/>
      <c r="JT366" s="23"/>
      <c r="JU366" s="13"/>
      <c r="JV366" s="6"/>
      <c r="JW366" s="6"/>
      <c r="JX366" s="6"/>
      <c r="JY366" s="6"/>
      <c r="JZ366" s="10"/>
      <c r="KA366" s="10"/>
      <c r="KB366" s="10"/>
      <c r="KC366" s="10"/>
      <c r="KD366" s="5"/>
      <c r="KE366" s="6"/>
    </row>
    <row r="367" spans="6:291" x14ac:dyDescent="0.3">
      <c r="F367" s="17"/>
      <c r="G367" s="9"/>
      <c r="H367" s="3"/>
      <c r="I367" s="3"/>
      <c r="J367" s="3"/>
      <c r="K367" s="3"/>
      <c r="L367" s="3"/>
      <c r="M367" s="3"/>
      <c r="N367" s="3"/>
      <c r="O367" s="3"/>
      <c r="P367" s="4"/>
      <c r="Q367" s="5"/>
      <c r="R367" s="5"/>
      <c r="S367" s="5"/>
      <c r="T367" s="6"/>
      <c r="U367" s="5"/>
      <c r="V367" s="6"/>
      <c r="W367" s="7"/>
      <c r="X367" s="8"/>
      <c r="Y367" s="6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6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C367" s="6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  <c r="JC367" s="5"/>
      <c r="JD367" s="5"/>
      <c r="JE367" s="5"/>
      <c r="JF367" s="5"/>
      <c r="JG367" s="5"/>
      <c r="JH367" s="5"/>
      <c r="JI367" s="5"/>
      <c r="JJ367" s="5"/>
      <c r="JK367" s="5"/>
      <c r="JM367" s="19"/>
      <c r="JO367" s="5"/>
      <c r="JP367" s="5"/>
      <c r="JQ367" s="5"/>
      <c r="JR367" s="5"/>
      <c r="JS367" s="6"/>
      <c r="JT367" s="23"/>
      <c r="JU367" s="13"/>
      <c r="JV367" s="6"/>
      <c r="JW367" s="6"/>
      <c r="JX367" s="6"/>
      <c r="JY367" s="6"/>
      <c r="JZ367" s="10"/>
      <c r="KA367" s="10"/>
      <c r="KB367" s="10"/>
      <c r="KC367" s="10"/>
      <c r="KD367" s="5"/>
      <c r="KE367" s="6"/>
    </row>
    <row r="368" spans="6:291" x14ac:dyDescent="0.3">
      <c r="F368" s="17"/>
      <c r="G368" s="9"/>
      <c r="H368" s="3"/>
      <c r="I368" s="3"/>
      <c r="J368" s="3"/>
      <c r="K368" s="3"/>
      <c r="L368" s="3"/>
      <c r="M368" s="3"/>
      <c r="N368" s="3"/>
      <c r="O368" s="3"/>
      <c r="P368" s="4"/>
      <c r="Q368" s="5"/>
      <c r="R368" s="5"/>
      <c r="S368" s="5"/>
      <c r="T368" s="6"/>
      <c r="U368" s="5"/>
      <c r="V368" s="6"/>
      <c r="W368" s="7"/>
      <c r="X368" s="8"/>
      <c r="Y368" s="6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6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C368" s="6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  <c r="JC368" s="5"/>
      <c r="JD368" s="5"/>
      <c r="JE368" s="5"/>
      <c r="JF368" s="5"/>
      <c r="JG368" s="5"/>
      <c r="JH368" s="5"/>
      <c r="JI368" s="5"/>
      <c r="JJ368" s="5"/>
      <c r="JK368" s="5"/>
      <c r="JM368" s="19"/>
      <c r="JO368" s="5"/>
      <c r="JP368" s="5"/>
      <c r="JQ368" s="5"/>
      <c r="JR368" s="5"/>
      <c r="JS368" s="6"/>
      <c r="JT368" s="23"/>
      <c r="JU368" s="13"/>
      <c r="JV368" s="6"/>
      <c r="JW368" s="6"/>
      <c r="JX368" s="6"/>
      <c r="JY368" s="6"/>
      <c r="JZ368" s="10"/>
      <c r="KA368" s="10"/>
      <c r="KB368" s="10"/>
      <c r="KC368" s="10"/>
      <c r="KD368" s="5"/>
      <c r="KE368" s="6"/>
    </row>
    <row r="369" spans="6:291" x14ac:dyDescent="0.3">
      <c r="F369" s="17"/>
      <c r="G369" s="9"/>
      <c r="H369" s="3"/>
      <c r="I369" s="3"/>
      <c r="J369" s="3"/>
      <c r="K369" s="3"/>
      <c r="L369" s="3"/>
      <c r="M369" s="3"/>
      <c r="N369" s="3"/>
      <c r="O369" s="3"/>
      <c r="P369" s="4"/>
      <c r="Q369" s="5"/>
      <c r="R369" s="5"/>
      <c r="S369" s="5"/>
      <c r="T369" s="6"/>
      <c r="U369" s="5"/>
      <c r="V369" s="6"/>
      <c r="W369" s="7"/>
      <c r="X369" s="8"/>
      <c r="Y369" s="6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6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C369" s="6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  <c r="JC369" s="5"/>
      <c r="JD369" s="5"/>
      <c r="JE369" s="5"/>
      <c r="JF369" s="5"/>
      <c r="JG369" s="5"/>
      <c r="JH369" s="5"/>
      <c r="JI369" s="5"/>
      <c r="JJ369" s="5"/>
      <c r="JK369" s="5"/>
      <c r="JM369" s="19"/>
      <c r="JO369" s="5"/>
      <c r="JP369" s="5"/>
      <c r="JQ369" s="5"/>
      <c r="JR369" s="5"/>
      <c r="JS369" s="6"/>
      <c r="JT369" s="23"/>
      <c r="JU369" s="13"/>
      <c r="JV369" s="6"/>
      <c r="JW369" s="6"/>
      <c r="JX369" s="6"/>
      <c r="JY369" s="6"/>
      <c r="JZ369" s="10"/>
      <c r="KA369" s="10"/>
      <c r="KB369" s="10"/>
      <c r="KC369" s="10"/>
      <c r="KD369" s="5"/>
      <c r="KE369" s="6"/>
    </row>
    <row r="370" spans="6:291" x14ac:dyDescent="0.3">
      <c r="F370" s="17"/>
      <c r="G370" s="9"/>
      <c r="H370" s="3"/>
      <c r="I370" s="3"/>
      <c r="J370" s="3"/>
      <c r="K370" s="3"/>
      <c r="L370" s="3"/>
      <c r="M370" s="3"/>
      <c r="N370" s="3"/>
      <c r="O370" s="3"/>
      <c r="P370" s="4"/>
      <c r="Q370" s="5"/>
      <c r="R370" s="5"/>
      <c r="S370" s="5"/>
      <c r="T370" s="6"/>
      <c r="U370" s="5"/>
      <c r="V370" s="6"/>
      <c r="W370" s="7"/>
      <c r="X370" s="8"/>
      <c r="Y370" s="6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6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C370" s="6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  <c r="JC370" s="5"/>
      <c r="JD370" s="5"/>
      <c r="JE370" s="5"/>
      <c r="JF370" s="5"/>
      <c r="JG370" s="5"/>
      <c r="JH370" s="5"/>
      <c r="JI370" s="5"/>
      <c r="JJ370" s="5"/>
      <c r="JK370" s="5"/>
      <c r="JM370" s="19"/>
      <c r="JO370" s="5"/>
      <c r="JP370" s="5"/>
      <c r="JQ370" s="5"/>
      <c r="JR370" s="5"/>
      <c r="JS370" s="6"/>
      <c r="JT370" s="23"/>
      <c r="JU370" s="13"/>
      <c r="JV370" s="6"/>
      <c r="JW370" s="6"/>
      <c r="JX370" s="6"/>
      <c r="JY370" s="6"/>
      <c r="JZ370" s="10"/>
      <c r="KA370" s="10"/>
      <c r="KB370" s="10"/>
      <c r="KC370" s="10"/>
      <c r="KD370" s="5"/>
      <c r="KE370" s="6"/>
    </row>
    <row r="371" spans="6:291" x14ac:dyDescent="0.3">
      <c r="F371" s="17"/>
      <c r="G371" s="9"/>
      <c r="H371" s="3"/>
      <c r="I371" s="3"/>
      <c r="J371" s="3"/>
      <c r="K371" s="3"/>
      <c r="L371" s="3"/>
      <c r="M371" s="3"/>
      <c r="N371" s="3"/>
      <c r="O371" s="3"/>
      <c r="P371" s="4"/>
      <c r="Q371" s="5"/>
      <c r="R371" s="5"/>
      <c r="S371" s="5"/>
      <c r="T371" s="6"/>
      <c r="U371" s="5"/>
      <c r="V371" s="6"/>
      <c r="W371" s="7"/>
      <c r="X371" s="8"/>
      <c r="Y371" s="6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6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C371" s="6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  <c r="JC371" s="5"/>
      <c r="JD371" s="5"/>
      <c r="JE371" s="5"/>
      <c r="JF371" s="5"/>
      <c r="JG371" s="5"/>
      <c r="JH371" s="5"/>
      <c r="JI371" s="5"/>
      <c r="JJ371" s="5"/>
      <c r="JK371" s="5"/>
      <c r="JM371" s="19"/>
      <c r="JO371" s="5"/>
      <c r="JP371" s="5"/>
      <c r="JQ371" s="5"/>
      <c r="JR371" s="5"/>
      <c r="JS371" s="6"/>
      <c r="JT371" s="23"/>
      <c r="JU371" s="13"/>
      <c r="JV371" s="6"/>
      <c r="JW371" s="6"/>
      <c r="JX371" s="6"/>
      <c r="JY371" s="6"/>
      <c r="JZ371" s="10"/>
      <c r="KA371" s="10"/>
      <c r="KB371" s="10"/>
      <c r="KC371" s="10"/>
      <c r="KD371" s="5"/>
      <c r="KE371" s="6"/>
    </row>
    <row r="372" spans="6:291" x14ac:dyDescent="0.3">
      <c r="F372" s="17"/>
      <c r="G372" s="9"/>
      <c r="H372" s="3"/>
      <c r="I372" s="3"/>
      <c r="J372" s="3"/>
      <c r="K372" s="3"/>
      <c r="L372" s="3"/>
      <c r="M372" s="3"/>
      <c r="N372" s="3"/>
      <c r="O372" s="3"/>
      <c r="P372" s="4"/>
      <c r="Q372" s="5"/>
      <c r="R372" s="5"/>
      <c r="S372" s="5"/>
      <c r="T372" s="6"/>
      <c r="U372" s="5"/>
      <c r="V372" s="6"/>
      <c r="W372" s="7"/>
      <c r="X372" s="8"/>
      <c r="Y372" s="6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6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C372" s="6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  <c r="JC372" s="5"/>
      <c r="JD372" s="5"/>
      <c r="JE372" s="5"/>
      <c r="JF372" s="5"/>
      <c r="JG372" s="5"/>
      <c r="JH372" s="5"/>
      <c r="JI372" s="5"/>
      <c r="JJ372" s="5"/>
      <c r="JK372" s="5"/>
      <c r="JM372" s="19"/>
      <c r="JO372" s="5"/>
      <c r="JP372" s="5"/>
      <c r="JQ372" s="5"/>
      <c r="JR372" s="5"/>
      <c r="JS372" s="6"/>
      <c r="JT372" s="23"/>
      <c r="JU372" s="13"/>
      <c r="JV372" s="6"/>
      <c r="JW372" s="6"/>
      <c r="JX372" s="6"/>
      <c r="JY372" s="6"/>
      <c r="JZ372" s="10"/>
      <c r="KA372" s="10"/>
      <c r="KB372" s="10"/>
      <c r="KC372" s="10"/>
      <c r="KD372" s="5"/>
      <c r="KE372" s="6"/>
    </row>
    <row r="373" spans="6:291" x14ac:dyDescent="0.3">
      <c r="F373" s="17"/>
      <c r="G373" s="9"/>
      <c r="H373" s="3"/>
      <c r="I373" s="3"/>
      <c r="J373" s="3"/>
      <c r="K373" s="3"/>
      <c r="L373" s="3"/>
      <c r="M373" s="3"/>
      <c r="N373" s="3"/>
      <c r="O373" s="3"/>
      <c r="P373" s="4"/>
      <c r="Q373" s="5"/>
      <c r="R373" s="5"/>
      <c r="S373" s="5"/>
      <c r="T373" s="6"/>
      <c r="U373" s="5"/>
      <c r="V373" s="6"/>
      <c r="W373" s="7"/>
      <c r="X373" s="8"/>
      <c r="Y373" s="6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6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C373" s="6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  <c r="JC373" s="5"/>
      <c r="JD373" s="5"/>
      <c r="JE373" s="5"/>
      <c r="JF373" s="5"/>
      <c r="JG373" s="5"/>
      <c r="JH373" s="5"/>
      <c r="JI373" s="5"/>
      <c r="JJ373" s="5"/>
      <c r="JK373" s="5"/>
      <c r="JM373" s="19"/>
      <c r="JO373" s="5"/>
      <c r="JP373" s="5"/>
      <c r="JQ373" s="5"/>
      <c r="JR373" s="5"/>
      <c r="JS373" s="6"/>
      <c r="JT373" s="23"/>
      <c r="JU373" s="13"/>
      <c r="JV373" s="6"/>
      <c r="JW373" s="6"/>
      <c r="JX373" s="6"/>
      <c r="JY373" s="6"/>
      <c r="JZ373" s="10"/>
      <c r="KA373" s="10"/>
      <c r="KB373" s="10"/>
      <c r="KC373" s="10"/>
      <c r="KD373" s="5"/>
      <c r="KE373" s="6"/>
    </row>
    <row r="374" spans="6:291" x14ac:dyDescent="0.3">
      <c r="F374" s="17"/>
      <c r="G374" s="9"/>
      <c r="H374" s="3"/>
      <c r="I374" s="3"/>
      <c r="J374" s="3"/>
      <c r="K374" s="3"/>
      <c r="L374" s="3"/>
      <c r="M374" s="3"/>
      <c r="N374" s="3"/>
      <c r="O374" s="3"/>
      <c r="P374" s="4"/>
      <c r="Q374" s="5"/>
      <c r="R374" s="5"/>
      <c r="S374" s="5"/>
      <c r="T374" s="6"/>
      <c r="U374" s="5"/>
      <c r="V374" s="6"/>
      <c r="W374" s="7"/>
      <c r="X374" s="8"/>
      <c r="Y374" s="6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6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C374" s="6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  <c r="JC374" s="5"/>
      <c r="JD374" s="5"/>
      <c r="JE374" s="5"/>
      <c r="JF374" s="5"/>
      <c r="JG374" s="5"/>
      <c r="JH374" s="5"/>
      <c r="JI374" s="5"/>
      <c r="JJ374" s="5"/>
      <c r="JK374" s="5"/>
      <c r="JM374" s="19"/>
      <c r="JO374" s="5"/>
      <c r="JP374" s="5"/>
      <c r="JQ374" s="5"/>
      <c r="JR374" s="5"/>
      <c r="JS374" s="6"/>
      <c r="JT374" s="23"/>
      <c r="JU374" s="13"/>
      <c r="JV374" s="6"/>
      <c r="JW374" s="6"/>
      <c r="JX374" s="6"/>
      <c r="JY374" s="6"/>
      <c r="JZ374" s="10"/>
      <c r="KA374" s="10"/>
      <c r="KB374" s="10"/>
      <c r="KC374" s="10"/>
      <c r="KD374" s="5"/>
      <c r="KE374" s="6"/>
    </row>
    <row r="375" spans="6:291" x14ac:dyDescent="0.3">
      <c r="F375" s="17"/>
      <c r="G375" s="9"/>
      <c r="H375" s="3"/>
      <c r="I375" s="3"/>
      <c r="J375" s="3"/>
      <c r="K375" s="3"/>
      <c r="L375" s="3"/>
      <c r="M375" s="3"/>
      <c r="N375" s="3"/>
      <c r="O375" s="3"/>
      <c r="P375" s="4"/>
      <c r="Q375" s="5"/>
      <c r="R375" s="5"/>
      <c r="S375" s="5"/>
      <c r="T375" s="6"/>
      <c r="U375" s="5"/>
      <c r="V375" s="6"/>
      <c r="W375" s="7"/>
      <c r="X375" s="8"/>
      <c r="Y375" s="6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6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C375" s="6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  <c r="JC375" s="5"/>
      <c r="JD375" s="5"/>
      <c r="JE375" s="5"/>
      <c r="JF375" s="5"/>
      <c r="JG375" s="5"/>
      <c r="JH375" s="5"/>
      <c r="JI375" s="5"/>
      <c r="JJ375" s="5"/>
      <c r="JK375" s="5"/>
      <c r="JM375" s="19"/>
      <c r="JO375" s="5"/>
      <c r="JP375" s="5"/>
      <c r="JQ375" s="5"/>
      <c r="JR375" s="5"/>
      <c r="JS375" s="6"/>
      <c r="JT375" s="23"/>
      <c r="JU375" s="13"/>
      <c r="JV375" s="6"/>
      <c r="JW375" s="6"/>
      <c r="JX375" s="6"/>
      <c r="JY375" s="6"/>
      <c r="JZ375" s="10"/>
      <c r="KA375" s="10"/>
      <c r="KB375" s="10"/>
      <c r="KC375" s="10"/>
      <c r="KD375" s="5"/>
      <c r="KE375" s="6"/>
    </row>
    <row r="376" spans="6:291" x14ac:dyDescent="0.3">
      <c r="F376" s="17"/>
      <c r="G376" s="9"/>
      <c r="H376" s="3"/>
      <c r="I376" s="3"/>
      <c r="J376" s="3"/>
      <c r="K376" s="3"/>
      <c r="L376" s="3"/>
      <c r="M376" s="3"/>
      <c r="N376" s="3"/>
      <c r="O376" s="3"/>
      <c r="P376" s="4"/>
      <c r="Q376" s="5"/>
      <c r="R376" s="5"/>
      <c r="S376" s="5"/>
      <c r="T376" s="6"/>
      <c r="U376" s="5"/>
      <c r="V376" s="6"/>
      <c r="W376" s="7"/>
      <c r="X376" s="8"/>
      <c r="Y376" s="6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6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C376" s="6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  <c r="JC376" s="5"/>
      <c r="JD376" s="5"/>
      <c r="JE376" s="5"/>
      <c r="JF376" s="5"/>
      <c r="JG376" s="5"/>
      <c r="JH376" s="5"/>
      <c r="JI376" s="5"/>
      <c r="JJ376" s="5"/>
      <c r="JK376" s="5"/>
      <c r="JM376" s="19"/>
      <c r="JO376" s="5"/>
      <c r="JP376" s="5"/>
      <c r="JQ376" s="5"/>
      <c r="JR376" s="5"/>
      <c r="JS376" s="6"/>
      <c r="JT376" s="23"/>
      <c r="JU376" s="13"/>
      <c r="JV376" s="6"/>
      <c r="JW376" s="6"/>
      <c r="JX376" s="6"/>
      <c r="JY376" s="6"/>
      <c r="JZ376" s="10"/>
      <c r="KA376" s="10"/>
      <c r="KB376" s="10"/>
      <c r="KC376" s="10"/>
      <c r="KD376" s="5"/>
      <c r="KE376" s="6"/>
    </row>
    <row r="377" spans="6:291" x14ac:dyDescent="0.3">
      <c r="F377" s="17"/>
      <c r="G377" s="9"/>
      <c r="H377" s="3"/>
      <c r="I377" s="3"/>
      <c r="J377" s="3"/>
      <c r="K377" s="3"/>
      <c r="L377" s="3"/>
      <c r="M377" s="3"/>
      <c r="N377" s="3"/>
      <c r="O377" s="3"/>
      <c r="P377" s="4"/>
      <c r="Q377" s="5"/>
      <c r="R377" s="5"/>
      <c r="S377" s="5"/>
      <c r="T377" s="6"/>
      <c r="U377" s="5"/>
      <c r="V377" s="6"/>
      <c r="W377" s="7"/>
      <c r="X377" s="8"/>
      <c r="Y377" s="6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6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C377" s="6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  <c r="JC377" s="5"/>
      <c r="JD377" s="5"/>
      <c r="JE377" s="5"/>
      <c r="JF377" s="5"/>
      <c r="JG377" s="5"/>
      <c r="JH377" s="5"/>
      <c r="JI377" s="5"/>
      <c r="JJ377" s="5"/>
      <c r="JK377" s="5"/>
      <c r="JM377" s="19"/>
      <c r="JO377" s="5"/>
      <c r="JP377" s="5"/>
      <c r="JQ377" s="5"/>
      <c r="JR377" s="5"/>
      <c r="JS377" s="6"/>
      <c r="JT377" s="23"/>
      <c r="JU377" s="13"/>
      <c r="JV377" s="6"/>
      <c r="JW377" s="6"/>
      <c r="JX377" s="6"/>
      <c r="JY377" s="6"/>
      <c r="JZ377" s="10"/>
      <c r="KA377" s="10"/>
      <c r="KB377" s="10"/>
      <c r="KC377" s="10"/>
      <c r="KD377" s="5"/>
      <c r="KE377" s="6"/>
    </row>
    <row r="378" spans="6:291" x14ac:dyDescent="0.3">
      <c r="F378" s="17"/>
      <c r="G378" s="9"/>
      <c r="H378" s="3"/>
      <c r="I378" s="3"/>
      <c r="J378" s="3"/>
      <c r="K378" s="3"/>
      <c r="L378" s="3"/>
      <c r="M378" s="3"/>
      <c r="N378" s="3"/>
      <c r="O378" s="3"/>
      <c r="P378" s="4"/>
      <c r="Q378" s="5"/>
      <c r="R378" s="5"/>
      <c r="S378" s="5"/>
      <c r="T378" s="6"/>
      <c r="U378" s="5"/>
      <c r="V378" s="6"/>
      <c r="W378" s="7"/>
      <c r="X378" s="8"/>
      <c r="Y378" s="6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6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C378" s="6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  <c r="JC378" s="5"/>
      <c r="JD378" s="5"/>
      <c r="JE378" s="5"/>
      <c r="JF378" s="5"/>
      <c r="JG378" s="5"/>
      <c r="JH378" s="5"/>
      <c r="JI378" s="5"/>
      <c r="JJ378" s="5"/>
      <c r="JK378" s="5"/>
      <c r="JM378" s="19"/>
      <c r="JO378" s="5"/>
      <c r="JP378" s="5"/>
      <c r="JQ378" s="5"/>
      <c r="JR378" s="5"/>
      <c r="JS378" s="6"/>
      <c r="JT378" s="23"/>
      <c r="JU378" s="13"/>
      <c r="JV378" s="6"/>
      <c r="JW378" s="6"/>
      <c r="JX378" s="6"/>
      <c r="JY378" s="6"/>
      <c r="JZ378" s="10"/>
      <c r="KA378" s="10"/>
      <c r="KB378" s="10"/>
      <c r="KC378" s="10"/>
      <c r="KD378" s="5"/>
      <c r="KE378" s="6"/>
    </row>
    <row r="379" spans="6:291" x14ac:dyDescent="0.3">
      <c r="F379" s="17"/>
      <c r="G379" s="9"/>
      <c r="H379" s="3"/>
      <c r="I379" s="3"/>
      <c r="J379" s="3"/>
      <c r="K379" s="3"/>
      <c r="L379" s="3"/>
      <c r="M379" s="3"/>
      <c r="N379" s="3"/>
      <c r="O379" s="3"/>
      <c r="P379" s="4"/>
      <c r="Q379" s="5"/>
      <c r="R379" s="5"/>
      <c r="S379" s="5"/>
      <c r="T379" s="6"/>
      <c r="U379" s="5"/>
      <c r="V379" s="6"/>
      <c r="W379" s="7"/>
      <c r="X379" s="8"/>
      <c r="Y379" s="6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6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C379" s="6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  <c r="JC379" s="5"/>
      <c r="JD379" s="5"/>
      <c r="JE379" s="5"/>
      <c r="JF379" s="5"/>
      <c r="JG379" s="5"/>
      <c r="JH379" s="5"/>
      <c r="JI379" s="5"/>
      <c r="JJ379" s="5"/>
      <c r="JK379" s="5"/>
      <c r="JM379" s="19"/>
      <c r="JO379" s="5"/>
      <c r="JP379" s="5"/>
      <c r="JQ379" s="5"/>
      <c r="JR379" s="5"/>
      <c r="JS379" s="6"/>
      <c r="JT379" s="23"/>
      <c r="JU379" s="13"/>
      <c r="JV379" s="6"/>
      <c r="JW379" s="6"/>
      <c r="JX379" s="6"/>
      <c r="JY379" s="6"/>
      <c r="JZ379" s="10"/>
      <c r="KA379" s="10"/>
      <c r="KB379" s="10"/>
      <c r="KC379" s="10"/>
      <c r="KD379" s="5"/>
      <c r="KE379" s="6"/>
    </row>
    <row r="380" spans="6:291" x14ac:dyDescent="0.3">
      <c r="F380" s="17"/>
      <c r="G380" s="9"/>
      <c r="H380" s="3"/>
      <c r="I380" s="3"/>
      <c r="J380" s="3"/>
      <c r="K380" s="3"/>
      <c r="L380" s="3"/>
      <c r="M380" s="3"/>
      <c r="N380" s="3"/>
      <c r="O380" s="3"/>
      <c r="P380" s="4"/>
      <c r="Q380" s="5"/>
      <c r="R380" s="5"/>
      <c r="S380" s="5"/>
      <c r="T380" s="6"/>
      <c r="U380" s="5"/>
      <c r="V380" s="6"/>
      <c r="W380" s="7"/>
      <c r="X380" s="8"/>
      <c r="Y380" s="6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6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C380" s="6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  <c r="JC380" s="5"/>
      <c r="JD380" s="5"/>
      <c r="JE380" s="5"/>
      <c r="JF380" s="5"/>
      <c r="JG380" s="5"/>
      <c r="JH380" s="5"/>
      <c r="JI380" s="5"/>
      <c r="JJ380" s="5"/>
      <c r="JK380" s="5"/>
      <c r="JM380" s="19"/>
      <c r="JO380" s="5"/>
      <c r="JP380" s="5"/>
      <c r="JQ380" s="5"/>
      <c r="JR380" s="5"/>
      <c r="JS380" s="6"/>
      <c r="JT380" s="23"/>
      <c r="JU380" s="13"/>
      <c r="JV380" s="6"/>
      <c r="JW380" s="6"/>
      <c r="JX380" s="6"/>
      <c r="JY380" s="6"/>
      <c r="JZ380" s="10"/>
      <c r="KA380" s="10"/>
      <c r="KB380" s="10"/>
      <c r="KC380" s="10"/>
      <c r="KD380" s="5"/>
      <c r="KE380" s="6"/>
    </row>
    <row r="381" spans="6:291" x14ac:dyDescent="0.3">
      <c r="F381" s="17"/>
      <c r="G381" s="9"/>
      <c r="H381" s="3"/>
      <c r="I381" s="3"/>
      <c r="J381" s="3"/>
      <c r="K381" s="3"/>
      <c r="L381" s="3"/>
      <c r="M381" s="3"/>
      <c r="N381" s="3"/>
      <c r="O381" s="3"/>
      <c r="P381" s="4"/>
      <c r="Q381" s="5"/>
      <c r="R381" s="5"/>
      <c r="S381" s="5"/>
      <c r="T381" s="6"/>
      <c r="U381" s="5"/>
      <c r="V381" s="6"/>
      <c r="W381" s="7"/>
      <c r="X381" s="8"/>
      <c r="Y381" s="6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6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C381" s="6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  <c r="JC381" s="5"/>
      <c r="JD381" s="5"/>
      <c r="JE381" s="5"/>
      <c r="JF381" s="5"/>
      <c r="JG381" s="5"/>
      <c r="JH381" s="5"/>
      <c r="JI381" s="5"/>
      <c r="JJ381" s="5"/>
      <c r="JK381" s="5"/>
      <c r="JM381" s="19"/>
      <c r="JO381" s="5"/>
      <c r="JP381" s="5"/>
      <c r="JQ381" s="5"/>
      <c r="JR381" s="5"/>
      <c r="JS381" s="6"/>
      <c r="JT381" s="23"/>
      <c r="JU381" s="13"/>
      <c r="JV381" s="6"/>
      <c r="JW381" s="6"/>
      <c r="JX381" s="6"/>
      <c r="JY381" s="6"/>
      <c r="JZ381" s="10"/>
      <c r="KA381" s="10"/>
      <c r="KB381" s="10"/>
      <c r="KC381" s="10"/>
      <c r="KD381" s="5"/>
      <c r="KE381" s="6"/>
    </row>
    <row r="382" spans="6:291" x14ac:dyDescent="0.3">
      <c r="F382" s="17"/>
      <c r="G382" s="9"/>
      <c r="H382" s="3"/>
      <c r="I382" s="3"/>
      <c r="J382" s="3"/>
      <c r="K382" s="3"/>
      <c r="L382" s="3"/>
      <c r="M382" s="3"/>
      <c r="N382" s="3"/>
      <c r="O382" s="3"/>
      <c r="P382" s="4"/>
      <c r="Q382" s="5"/>
      <c r="R382" s="5"/>
      <c r="S382" s="5"/>
      <c r="T382" s="6"/>
      <c r="U382" s="5"/>
      <c r="V382" s="6"/>
      <c r="W382" s="7"/>
      <c r="X382" s="8"/>
      <c r="Y382" s="6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6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C382" s="6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  <c r="JC382" s="5"/>
      <c r="JD382" s="5"/>
      <c r="JE382" s="5"/>
      <c r="JF382" s="5"/>
      <c r="JG382" s="5"/>
      <c r="JH382" s="5"/>
      <c r="JI382" s="5"/>
      <c r="JJ382" s="5"/>
      <c r="JK382" s="5"/>
      <c r="JM382" s="19"/>
      <c r="JO382" s="5"/>
      <c r="JP382" s="5"/>
      <c r="JQ382" s="5"/>
      <c r="JR382" s="5"/>
      <c r="JS382" s="6"/>
      <c r="JT382" s="23"/>
      <c r="JU382" s="13"/>
      <c r="JV382" s="6"/>
      <c r="JW382" s="6"/>
      <c r="JX382" s="6"/>
      <c r="JY382" s="6"/>
      <c r="JZ382" s="10"/>
      <c r="KA382" s="10"/>
      <c r="KB382" s="10"/>
      <c r="KC382" s="10"/>
      <c r="KD382" s="5"/>
      <c r="KE382" s="6"/>
    </row>
    <row r="383" spans="6:291" x14ac:dyDescent="0.3">
      <c r="F383" s="17"/>
      <c r="G383" s="9"/>
      <c r="H383" s="3"/>
      <c r="I383" s="3"/>
      <c r="J383" s="3"/>
      <c r="K383" s="3"/>
      <c r="L383" s="3"/>
      <c r="M383" s="3"/>
      <c r="N383" s="3"/>
      <c r="O383" s="3"/>
      <c r="P383" s="4"/>
      <c r="Q383" s="5"/>
      <c r="R383" s="5"/>
      <c r="S383" s="5"/>
      <c r="T383" s="6"/>
      <c r="U383" s="5"/>
      <c r="V383" s="6"/>
      <c r="W383" s="7"/>
      <c r="X383" s="8"/>
      <c r="Y383" s="6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6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C383" s="6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  <c r="JC383" s="5"/>
      <c r="JD383" s="5"/>
      <c r="JE383" s="5"/>
      <c r="JF383" s="5"/>
      <c r="JG383" s="5"/>
      <c r="JH383" s="5"/>
      <c r="JI383" s="5"/>
      <c r="JJ383" s="5"/>
      <c r="JK383" s="5"/>
      <c r="JM383" s="19"/>
      <c r="JO383" s="5"/>
      <c r="JP383" s="5"/>
      <c r="JQ383" s="5"/>
      <c r="JR383" s="5"/>
      <c r="JS383" s="6"/>
      <c r="JT383" s="23"/>
      <c r="JU383" s="13"/>
      <c r="JV383" s="6"/>
      <c r="JW383" s="6"/>
      <c r="JX383" s="6"/>
      <c r="JY383" s="6"/>
      <c r="JZ383" s="10"/>
      <c r="KA383" s="10"/>
      <c r="KB383" s="10"/>
      <c r="KC383" s="10"/>
      <c r="KD383" s="5"/>
      <c r="KE383" s="6"/>
    </row>
    <row r="384" spans="6:291" x14ac:dyDescent="0.3">
      <c r="F384" s="17"/>
      <c r="G384" s="9"/>
      <c r="H384" s="3"/>
      <c r="I384" s="3"/>
      <c r="J384" s="3"/>
      <c r="K384" s="3"/>
      <c r="L384" s="3"/>
      <c r="M384" s="3"/>
      <c r="N384" s="3"/>
      <c r="O384" s="3"/>
      <c r="P384" s="4"/>
      <c r="Q384" s="5"/>
      <c r="R384" s="5"/>
      <c r="S384" s="5"/>
      <c r="T384" s="6"/>
      <c r="U384" s="5"/>
      <c r="V384" s="6"/>
      <c r="W384" s="7"/>
      <c r="X384" s="8"/>
      <c r="Y384" s="6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6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C384" s="6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  <c r="JC384" s="5"/>
      <c r="JD384" s="5"/>
      <c r="JE384" s="5"/>
      <c r="JF384" s="5"/>
      <c r="JG384" s="5"/>
      <c r="JH384" s="5"/>
      <c r="JI384" s="5"/>
      <c r="JJ384" s="5"/>
      <c r="JK384" s="5"/>
      <c r="JM384" s="19"/>
      <c r="JO384" s="5"/>
      <c r="JP384" s="5"/>
      <c r="JQ384" s="5"/>
      <c r="JR384" s="5"/>
      <c r="JS384" s="6"/>
      <c r="JT384" s="23"/>
      <c r="JU384" s="13"/>
      <c r="JV384" s="6"/>
      <c r="JW384" s="6"/>
      <c r="JX384" s="6"/>
      <c r="JY384" s="6"/>
      <c r="JZ384" s="10"/>
      <c r="KA384" s="10"/>
      <c r="KB384" s="10"/>
      <c r="KC384" s="10"/>
      <c r="KD384" s="5"/>
      <c r="KE384" s="6"/>
    </row>
    <row r="385" spans="6:291" x14ac:dyDescent="0.3">
      <c r="F385" s="17"/>
      <c r="G385" s="9"/>
      <c r="H385" s="3"/>
      <c r="I385" s="3"/>
      <c r="J385" s="3"/>
      <c r="K385" s="3"/>
      <c r="L385" s="3"/>
      <c r="M385" s="3"/>
      <c r="N385" s="3"/>
      <c r="O385" s="3"/>
      <c r="P385" s="4"/>
      <c r="Q385" s="5"/>
      <c r="R385" s="5"/>
      <c r="S385" s="5"/>
      <c r="T385" s="6"/>
      <c r="U385" s="5"/>
      <c r="V385" s="6"/>
      <c r="W385" s="7"/>
      <c r="X385" s="8"/>
      <c r="Y385" s="6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6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C385" s="6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  <c r="JC385" s="5"/>
      <c r="JD385" s="5"/>
      <c r="JE385" s="5"/>
      <c r="JF385" s="5"/>
      <c r="JG385" s="5"/>
      <c r="JH385" s="5"/>
      <c r="JI385" s="5"/>
      <c r="JJ385" s="5"/>
      <c r="JK385" s="5"/>
      <c r="JM385" s="19"/>
      <c r="JO385" s="5"/>
      <c r="JP385" s="5"/>
      <c r="JQ385" s="5"/>
      <c r="JR385" s="5"/>
      <c r="JS385" s="6"/>
      <c r="JT385" s="23"/>
      <c r="JU385" s="13"/>
      <c r="JV385" s="6"/>
      <c r="JW385" s="6"/>
      <c r="JX385" s="6"/>
      <c r="JY385" s="6"/>
      <c r="JZ385" s="10"/>
      <c r="KA385" s="10"/>
      <c r="KB385" s="10"/>
      <c r="KC385" s="10"/>
      <c r="KD385" s="5"/>
      <c r="KE385" s="6"/>
    </row>
    <row r="386" spans="6:291" x14ac:dyDescent="0.3">
      <c r="F386" s="17"/>
      <c r="G386" s="9"/>
      <c r="H386" s="3"/>
      <c r="I386" s="3"/>
      <c r="J386" s="3"/>
      <c r="K386" s="3"/>
      <c r="L386" s="3"/>
      <c r="M386" s="3"/>
      <c r="N386" s="3"/>
      <c r="O386" s="3"/>
      <c r="P386" s="4"/>
      <c r="Q386" s="5"/>
      <c r="R386" s="5"/>
      <c r="S386" s="5"/>
      <c r="T386" s="6"/>
      <c r="U386" s="5"/>
      <c r="V386" s="6"/>
      <c r="W386" s="7"/>
      <c r="X386" s="8"/>
      <c r="Y386" s="6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6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C386" s="6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  <c r="JC386" s="5"/>
      <c r="JD386" s="5"/>
      <c r="JE386" s="5"/>
      <c r="JF386" s="5"/>
      <c r="JG386" s="5"/>
      <c r="JH386" s="5"/>
      <c r="JI386" s="5"/>
      <c r="JJ386" s="5"/>
      <c r="JK386" s="5"/>
      <c r="JM386" s="19"/>
      <c r="JO386" s="5"/>
      <c r="JP386" s="5"/>
      <c r="JQ386" s="5"/>
      <c r="JR386" s="5"/>
      <c r="JS386" s="6"/>
      <c r="JT386" s="23"/>
      <c r="JU386" s="13"/>
      <c r="JV386" s="6"/>
      <c r="JW386" s="6"/>
      <c r="JX386" s="6"/>
      <c r="JY386" s="6"/>
      <c r="JZ386" s="10"/>
      <c r="KA386" s="10"/>
      <c r="KB386" s="10"/>
      <c r="KC386" s="10"/>
      <c r="KD386" s="5"/>
      <c r="KE386" s="6"/>
    </row>
    <row r="387" spans="6:291" x14ac:dyDescent="0.3">
      <c r="F387" s="17"/>
      <c r="G387" s="9"/>
      <c r="H387" s="3"/>
      <c r="I387" s="3"/>
      <c r="J387" s="3"/>
      <c r="K387" s="3"/>
      <c r="L387" s="3"/>
      <c r="M387" s="3"/>
      <c r="N387" s="3"/>
      <c r="O387" s="3"/>
      <c r="P387" s="4"/>
      <c r="Q387" s="5"/>
      <c r="R387" s="5"/>
      <c r="S387" s="5"/>
      <c r="T387" s="6"/>
      <c r="U387" s="5"/>
      <c r="V387" s="6"/>
      <c r="W387" s="7"/>
      <c r="X387" s="8"/>
      <c r="Y387" s="6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6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C387" s="6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  <c r="JC387" s="5"/>
      <c r="JD387" s="5"/>
      <c r="JE387" s="5"/>
      <c r="JF387" s="5"/>
      <c r="JG387" s="5"/>
      <c r="JH387" s="5"/>
      <c r="JI387" s="5"/>
      <c r="JJ387" s="5"/>
      <c r="JK387" s="5"/>
      <c r="JM387" s="19"/>
      <c r="JO387" s="5"/>
      <c r="JP387" s="5"/>
      <c r="JQ387" s="5"/>
      <c r="JR387" s="5"/>
      <c r="JS387" s="6"/>
      <c r="JT387" s="23"/>
      <c r="JU387" s="13"/>
      <c r="JV387" s="6"/>
      <c r="JW387" s="6"/>
      <c r="JX387" s="6"/>
      <c r="JY387" s="6"/>
      <c r="JZ387" s="10"/>
      <c r="KA387" s="10"/>
      <c r="KB387" s="10"/>
      <c r="KC387" s="10"/>
      <c r="KD387" s="5"/>
      <c r="KE387" s="6"/>
    </row>
    <row r="388" spans="6:291" x14ac:dyDescent="0.3">
      <c r="F388" s="17"/>
      <c r="G388" s="9"/>
      <c r="H388" s="3"/>
      <c r="I388" s="3"/>
      <c r="J388" s="3"/>
      <c r="K388" s="3"/>
      <c r="L388" s="3"/>
      <c r="M388" s="3"/>
      <c r="N388" s="3"/>
      <c r="O388" s="3"/>
      <c r="P388" s="4"/>
      <c r="Q388" s="5"/>
      <c r="R388" s="5"/>
      <c r="S388" s="5"/>
      <c r="T388" s="6"/>
      <c r="U388" s="5"/>
      <c r="V388" s="6"/>
      <c r="W388" s="7"/>
      <c r="X388" s="8"/>
      <c r="Y388" s="6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6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C388" s="6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  <c r="JC388" s="5"/>
      <c r="JD388" s="5"/>
      <c r="JE388" s="5"/>
      <c r="JF388" s="5"/>
      <c r="JG388" s="5"/>
      <c r="JH388" s="5"/>
      <c r="JI388" s="5"/>
      <c r="JJ388" s="5"/>
      <c r="JK388" s="5"/>
      <c r="JM388" s="19"/>
      <c r="JO388" s="5"/>
      <c r="JP388" s="5"/>
      <c r="JQ388" s="5"/>
      <c r="JR388" s="5"/>
      <c r="JS388" s="6"/>
      <c r="JT388" s="23"/>
      <c r="JU388" s="13"/>
      <c r="JV388" s="6"/>
      <c r="JW388" s="6"/>
      <c r="JX388" s="6"/>
      <c r="JY388" s="6"/>
      <c r="JZ388" s="10"/>
      <c r="KA388" s="10"/>
      <c r="KB388" s="10"/>
      <c r="KC388" s="10"/>
      <c r="KD388" s="5"/>
      <c r="KE388" s="6"/>
    </row>
    <row r="389" spans="6:291" x14ac:dyDescent="0.3">
      <c r="F389" s="17"/>
      <c r="G389" s="9"/>
      <c r="H389" s="3"/>
      <c r="I389" s="3"/>
      <c r="J389" s="3"/>
      <c r="K389" s="3"/>
      <c r="L389" s="3"/>
      <c r="M389" s="3"/>
      <c r="N389" s="3"/>
      <c r="O389" s="3"/>
      <c r="P389" s="4"/>
      <c r="Q389" s="5"/>
      <c r="R389" s="5"/>
      <c r="S389" s="5"/>
      <c r="T389" s="6"/>
      <c r="U389" s="5"/>
      <c r="V389" s="6"/>
      <c r="W389" s="7"/>
      <c r="X389" s="8"/>
      <c r="Y389" s="6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6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C389" s="6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  <c r="JC389" s="5"/>
      <c r="JD389" s="5"/>
      <c r="JE389" s="5"/>
      <c r="JF389" s="5"/>
      <c r="JG389" s="5"/>
      <c r="JH389" s="5"/>
      <c r="JI389" s="5"/>
      <c r="JJ389" s="5"/>
      <c r="JK389" s="5"/>
      <c r="JM389" s="19"/>
      <c r="JO389" s="5"/>
      <c r="JP389" s="5"/>
      <c r="JQ389" s="5"/>
      <c r="JR389" s="5"/>
      <c r="JS389" s="6"/>
      <c r="JT389" s="23"/>
      <c r="JU389" s="13"/>
      <c r="JV389" s="6"/>
      <c r="JW389" s="6"/>
      <c r="JX389" s="6"/>
      <c r="JY389" s="6"/>
      <c r="JZ389" s="10"/>
      <c r="KA389" s="10"/>
      <c r="KB389" s="10"/>
      <c r="KC389" s="10"/>
      <c r="KD389" s="5"/>
      <c r="KE389" s="6"/>
    </row>
    <row r="390" spans="6:291" x14ac:dyDescent="0.3">
      <c r="F390" s="17"/>
      <c r="G390" s="9"/>
      <c r="H390" s="3"/>
      <c r="I390" s="3"/>
      <c r="J390" s="3"/>
      <c r="K390" s="3"/>
      <c r="L390" s="3"/>
      <c r="M390" s="3"/>
      <c r="N390" s="3"/>
      <c r="O390" s="3"/>
      <c r="P390" s="4"/>
      <c r="Q390" s="5"/>
      <c r="R390" s="5"/>
      <c r="S390" s="5"/>
      <c r="T390" s="6"/>
      <c r="U390" s="5"/>
      <c r="V390" s="6"/>
      <c r="W390" s="7"/>
      <c r="X390" s="8"/>
      <c r="Y390" s="6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6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C390" s="6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  <c r="JC390" s="5"/>
      <c r="JD390" s="5"/>
      <c r="JE390" s="5"/>
      <c r="JF390" s="5"/>
      <c r="JG390" s="5"/>
      <c r="JH390" s="5"/>
      <c r="JI390" s="5"/>
      <c r="JJ390" s="5"/>
      <c r="JK390" s="5"/>
      <c r="JM390" s="19"/>
      <c r="JO390" s="5"/>
      <c r="JP390" s="5"/>
      <c r="JQ390" s="5"/>
      <c r="JR390" s="5"/>
      <c r="JS390" s="6"/>
      <c r="JT390" s="23"/>
      <c r="JU390" s="13"/>
      <c r="JV390" s="6"/>
      <c r="JW390" s="6"/>
      <c r="JX390" s="6"/>
      <c r="JY390" s="6"/>
      <c r="JZ390" s="10"/>
      <c r="KA390" s="10"/>
      <c r="KB390" s="10"/>
      <c r="KC390" s="10"/>
      <c r="KD390" s="5"/>
      <c r="KE390" s="6"/>
    </row>
    <row r="391" spans="6:291" x14ac:dyDescent="0.3">
      <c r="F391" s="17"/>
      <c r="G391" s="9"/>
      <c r="H391" s="3"/>
      <c r="I391" s="3"/>
      <c r="J391" s="3"/>
      <c r="K391" s="3"/>
      <c r="L391" s="3"/>
      <c r="M391" s="3"/>
      <c r="N391" s="3"/>
      <c r="O391" s="3"/>
      <c r="P391" s="4"/>
      <c r="Q391" s="5"/>
      <c r="R391" s="5"/>
      <c r="S391" s="5"/>
      <c r="T391" s="6"/>
      <c r="U391" s="5"/>
      <c r="V391" s="6"/>
      <c r="W391" s="7"/>
      <c r="X391" s="8"/>
      <c r="Y391" s="6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6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C391" s="6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  <c r="JC391" s="5"/>
      <c r="JD391" s="5"/>
      <c r="JE391" s="5"/>
      <c r="JF391" s="5"/>
      <c r="JG391" s="5"/>
      <c r="JH391" s="5"/>
      <c r="JI391" s="5"/>
      <c r="JJ391" s="5"/>
      <c r="JK391" s="5"/>
      <c r="JM391" s="19"/>
      <c r="JO391" s="5"/>
      <c r="JP391" s="5"/>
      <c r="JQ391" s="5"/>
      <c r="JR391" s="5"/>
      <c r="JS391" s="6"/>
      <c r="JT391" s="23"/>
      <c r="JU391" s="13"/>
      <c r="JV391" s="6"/>
      <c r="JW391" s="6"/>
      <c r="JX391" s="6"/>
      <c r="JY391" s="6"/>
      <c r="JZ391" s="10"/>
      <c r="KA391" s="10"/>
      <c r="KB391" s="10"/>
      <c r="KC391" s="10"/>
      <c r="KD391" s="5"/>
      <c r="KE391" s="6"/>
    </row>
    <row r="392" spans="6:291" x14ac:dyDescent="0.3">
      <c r="F392" s="17"/>
      <c r="G392" s="9"/>
      <c r="H392" s="3"/>
      <c r="I392" s="3"/>
      <c r="J392" s="3"/>
      <c r="K392" s="3"/>
      <c r="L392" s="3"/>
      <c r="M392" s="3"/>
      <c r="N392" s="3"/>
      <c r="O392" s="3"/>
      <c r="P392" s="4"/>
      <c r="Q392" s="5"/>
      <c r="R392" s="5"/>
      <c r="S392" s="5"/>
      <c r="T392" s="6"/>
      <c r="U392" s="5"/>
      <c r="V392" s="6"/>
      <c r="W392" s="7"/>
      <c r="X392" s="8"/>
      <c r="Y392" s="6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6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C392" s="6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  <c r="JC392" s="5"/>
      <c r="JD392" s="5"/>
      <c r="JE392" s="5"/>
      <c r="JF392" s="5"/>
      <c r="JG392" s="5"/>
      <c r="JH392" s="5"/>
      <c r="JI392" s="5"/>
      <c r="JJ392" s="5"/>
      <c r="JK392" s="5"/>
      <c r="JM392" s="19"/>
      <c r="JO392" s="5"/>
      <c r="JP392" s="5"/>
      <c r="JQ392" s="5"/>
      <c r="JR392" s="5"/>
      <c r="JS392" s="6"/>
      <c r="JT392" s="23"/>
      <c r="JU392" s="13"/>
      <c r="JV392" s="6"/>
      <c r="JW392" s="6"/>
      <c r="JX392" s="6"/>
      <c r="JY392" s="6"/>
      <c r="JZ392" s="10"/>
      <c r="KA392" s="10"/>
      <c r="KB392" s="10"/>
      <c r="KC392" s="10"/>
      <c r="KD392" s="5"/>
      <c r="KE392" s="6"/>
    </row>
    <row r="393" spans="6:291" x14ac:dyDescent="0.3">
      <c r="F393" s="17"/>
      <c r="G393" s="9"/>
      <c r="H393" s="3"/>
      <c r="I393" s="3"/>
      <c r="J393" s="3"/>
      <c r="K393" s="3"/>
      <c r="L393" s="3"/>
      <c r="M393" s="3"/>
      <c r="N393" s="3"/>
      <c r="O393" s="3"/>
      <c r="P393" s="4"/>
      <c r="Q393" s="5"/>
      <c r="R393" s="5"/>
      <c r="S393" s="5"/>
      <c r="T393" s="6"/>
      <c r="U393" s="5"/>
      <c r="V393" s="6"/>
      <c r="W393" s="7"/>
      <c r="X393" s="8"/>
      <c r="Y393" s="6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6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C393" s="6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  <c r="JC393" s="5"/>
      <c r="JD393" s="5"/>
      <c r="JE393" s="5"/>
      <c r="JF393" s="5"/>
      <c r="JG393" s="5"/>
      <c r="JH393" s="5"/>
      <c r="JI393" s="5"/>
      <c r="JJ393" s="5"/>
      <c r="JK393" s="5"/>
      <c r="JM393" s="19"/>
      <c r="JO393" s="5"/>
      <c r="JP393" s="5"/>
      <c r="JQ393" s="5"/>
      <c r="JR393" s="5"/>
      <c r="JS393" s="6"/>
      <c r="JT393" s="23"/>
      <c r="JU393" s="13"/>
      <c r="JV393" s="6"/>
      <c r="JW393" s="6"/>
      <c r="JX393" s="6"/>
      <c r="JY393" s="6"/>
      <c r="JZ393" s="10"/>
      <c r="KA393" s="10"/>
      <c r="KB393" s="10"/>
      <c r="KC393" s="10"/>
      <c r="KD393" s="5"/>
      <c r="KE393" s="6"/>
    </row>
    <row r="394" spans="6:291" x14ac:dyDescent="0.3">
      <c r="F394" s="17"/>
      <c r="G394" s="9"/>
      <c r="H394" s="3"/>
      <c r="I394" s="3"/>
      <c r="J394" s="3"/>
      <c r="K394" s="3"/>
      <c r="L394" s="3"/>
      <c r="M394" s="3"/>
      <c r="N394" s="3"/>
      <c r="O394" s="3"/>
      <c r="P394" s="4"/>
      <c r="Q394" s="5"/>
      <c r="R394" s="5"/>
      <c r="S394" s="5"/>
      <c r="T394" s="6"/>
      <c r="U394" s="5"/>
      <c r="V394" s="6"/>
      <c r="W394" s="7"/>
      <c r="X394" s="8"/>
      <c r="Y394" s="6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6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C394" s="6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  <c r="JC394" s="5"/>
      <c r="JD394" s="5"/>
      <c r="JE394" s="5"/>
      <c r="JF394" s="5"/>
      <c r="JG394" s="5"/>
      <c r="JH394" s="5"/>
      <c r="JI394" s="5"/>
      <c r="JJ394" s="5"/>
      <c r="JK394" s="5"/>
      <c r="JM394" s="19"/>
      <c r="JO394" s="5"/>
      <c r="JP394" s="5"/>
      <c r="JQ394" s="5"/>
      <c r="JR394" s="5"/>
      <c r="JS394" s="6"/>
      <c r="JT394" s="23"/>
      <c r="JU394" s="13"/>
      <c r="JV394" s="6"/>
      <c r="JW394" s="6"/>
      <c r="JX394" s="6"/>
      <c r="JY394" s="6"/>
      <c r="JZ394" s="10"/>
      <c r="KA394" s="10"/>
      <c r="KB394" s="10"/>
      <c r="KC394" s="10"/>
      <c r="KD394" s="5"/>
      <c r="KE394" s="6"/>
    </row>
    <row r="395" spans="6:291" x14ac:dyDescent="0.3">
      <c r="F395" s="17"/>
      <c r="G395" s="9"/>
      <c r="H395" s="3"/>
      <c r="I395" s="3"/>
      <c r="J395" s="3"/>
      <c r="K395" s="3"/>
      <c r="L395" s="3"/>
      <c r="M395" s="3"/>
      <c r="N395" s="3"/>
      <c r="O395" s="3"/>
      <c r="P395" s="4"/>
      <c r="Q395" s="5"/>
      <c r="R395" s="5"/>
      <c r="S395" s="5"/>
      <c r="T395" s="6"/>
      <c r="U395" s="5"/>
      <c r="V395" s="6"/>
      <c r="W395" s="7"/>
      <c r="X395" s="8"/>
      <c r="Y395" s="6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6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C395" s="6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  <c r="JC395" s="5"/>
      <c r="JD395" s="5"/>
      <c r="JE395" s="5"/>
      <c r="JF395" s="5"/>
      <c r="JG395" s="5"/>
      <c r="JH395" s="5"/>
      <c r="JI395" s="5"/>
      <c r="JJ395" s="5"/>
      <c r="JK395" s="5"/>
      <c r="JM395" s="19"/>
      <c r="JO395" s="5"/>
      <c r="JP395" s="5"/>
      <c r="JQ395" s="5"/>
      <c r="JR395" s="5"/>
      <c r="JS395" s="6"/>
      <c r="JT395" s="23"/>
      <c r="JU395" s="13"/>
      <c r="JV395" s="6"/>
      <c r="JW395" s="6"/>
      <c r="JX395" s="6"/>
      <c r="JY395" s="6"/>
      <c r="JZ395" s="10"/>
      <c r="KA395" s="10"/>
      <c r="KB395" s="10"/>
      <c r="KC395" s="10"/>
      <c r="KD395" s="5"/>
      <c r="KE395" s="6"/>
    </row>
    <row r="396" spans="6:291" x14ac:dyDescent="0.3">
      <c r="F396" s="17"/>
      <c r="G396" s="9"/>
      <c r="H396" s="3"/>
      <c r="I396" s="3"/>
      <c r="J396" s="3"/>
      <c r="K396" s="3"/>
      <c r="L396" s="3"/>
      <c r="M396" s="3"/>
      <c r="N396" s="3"/>
      <c r="O396" s="3"/>
      <c r="P396" s="4"/>
      <c r="Q396" s="5"/>
      <c r="R396" s="5"/>
      <c r="S396" s="5"/>
      <c r="T396" s="6"/>
      <c r="U396" s="5"/>
      <c r="V396" s="6"/>
      <c r="W396" s="7"/>
      <c r="X396" s="8"/>
      <c r="Y396" s="6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6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C396" s="6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  <c r="JC396" s="5"/>
      <c r="JD396" s="5"/>
      <c r="JE396" s="5"/>
      <c r="JF396" s="5"/>
      <c r="JG396" s="5"/>
      <c r="JH396" s="5"/>
      <c r="JI396" s="5"/>
      <c r="JJ396" s="5"/>
      <c r="JK396" s="5"/>
      <c r="JM396" s="19"/>
      <c r="JO396" s="5"/>
      <c r="JP396" s="5"/>
      <c r="JQ396" s="5"/>
      <c r="JR396" s="5"/>
      <c r="JS396" s="6"/>
      <c r="JT396" s="23"/>
      <c r="JU396" s="13"/>
      <c r="JV396" s="6"/>
      <c r="JW396" s="6"/>
      <c r="JX396" s="6"/>
      <c r="JY396" s="6"/>
      <c r="JZ396" s="10"/>
      <c r="KA396" s="10"/>
      <c r="KB396" s="10"/>
      <c r="KC396" s="10"/>
      <c r="KD396" s="5"/>
      <c r="KE396" s="6"/>
    </row>
    <row r="397" spans="6:291" x14ac:dyDescent="0.3">
      <c r="F397" s="17"/>
      <c r="G397" s="9"/>
      <c r="H397" s="3"/>
      <c r="I397" s="3"/>
      <c r="J397" s="3"/>
      <c r="K397" s="3"/>
      <c r="L397" s="3"/>
      <c r="M397" s="3"/>
      <c r="N397" s="3"/>
      <c r="O397" s="3"/>
      <c r="P397" s="4"/>
      <c r="Q397" s="5"/>
      <c r="R397" s="5"/>
      <c r="S397" s="5"/>
      <c r="T397" s="6"/>
      <c r="U397" s="5"/>
      <c r="V397" s="6"/>
      <c r="W397" s="7"/>
      <c r="X397" s="8"/>
      <c r="Y397" s="6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6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C397" s="6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  <c r="JC397" s="5"/>
      <c r="JD397" s="5"/>
      <c r="JE397" s="5"/>
      <c r="JF397" s="5"/>
      <c r="JG397" s="5"/>
      <c r="JH397" s="5"/>
      <c r="JI397" s="5"/>
      <c r="JJ397" s="5"/>
      <c r="JK397" s="5"/>
      <c r="JM397" s="19"/>
      <c r="JO397" s="5"/>
      <c r="JP397" s="5"/>
      <c r="JQ397" s="5"/>
      <c r="JR397" s="5"/>
      <c r="JS397" s="6"/>
      <c r="JT397" s="23"/>
      <c r="JU397" s="13"/>
      <c r="JV397" s="6"/>
      <c r="JW397" s="6"/>
      <c r="JX397" s="6"/>
      <c r="JY397" s="6"/>
      <c r="JZ397" s="10"/>
      <c r="KA397" s="10"/>
      <c r="KB397" s="10"/>
      <c r="KC397" s="10"/>
      <c r="KD397" s="5"/>
      <c r="KE397" s="6"/>
    </row>
    <row r="398" spans="6:291" x14ac:dyDescent="0.3">
      <c r="F398" s="17"/>
      <c r="G398" s="9"/>
      <c r="H398" s="3"/>
      <c r="I398" s="3"/>
      <c r="J398" s="3"/>
      <c r="K398" s="3"/>
      <c r="L398" s="3"/>
      <c r="M398" s="3"/>
      <c r="N398" s="3"/>
      <c r="O398" s="3"/>
      <c r="P398" s="4"/>
      <c r="Q398" s="5"/>
      <c r="R398" s="5"/>
      <c r="S398" s="5"/>
      <c r="T398" s="6"/>
      <c r="U398" s="5"/>
      <c r="V398" s="6"/>
      <c r="W398" s="7"/>
      <c r="X398" s="8"/>
      <c r="Y398" s="6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6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C398" s="6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  <c r="JC398" s="5"/>
      <c r="JD398" s="5"/>
      <c r="JE398" s="5"/>
      <c r="JF398" s="5"/>
      <c r="JG398" s="5"/>
      <c r="JH398" s="5"/>
      <c r="JI398" s="5"/>
      <c r="JJ398" s="5"/>
      <c r="JK398" s="5"/>
      <c r="JM398" s="19"/>
      <c r="JO398" s="5"/>
      <c r="JP398" s="5"/>
      <c r="JQ398" s="5"/>
      <c r="JR398" s="5"/>
      <c r="JS398" s="6"/>
      <c r="JT398" s="23"/>
      <c r="JU398" s="13"/>
      <c r="JV398" s="6"/>
      <c r="JW398" s="6"/>
      <c r="JX398" s="6"/>
      <c r="JY398" s="6"/>
      <c r="JZ398" s="10"/>
      <c r="KA398" s="10"/>
      <c r="KB398" s="10"/>
      <c r="KC398" s="10"/>
      <c r="KD398" s="5"/>
      <c r="KE398" s="6"/>
    </row>
    <row r="399" spans="6:291" x14ac:dyDescent="0.3">
      <c r="F399" s="17"/>
      <c r="G399" s="9"/>
      <c r="H399" s="3"/>
      <c r="I399" s="3"/>
      <c r="J399" s="3"/>
      <c r="K399" s="3"/>
      <c r="L399" s="3"/>
      <c r="M399" s="3"/>
      <c r="N399" s="3"/>
      <c r="O399" s="3"/>
      <c r="P399" s="4"/>
      <c r="Q399" s="5"/>
      <c r="R399" s="5"/>
      <c r="S399" s="5"/>
      <c r="T399" s="6"/>
      <c r="U399" s="5"/>
      <c r="V399" s="6"/>
      <c r="W399" s="7"/>
      <c r="X399" s="8"/>
      <c r="Y399" s="6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6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C399" s="6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  <c r="JC399" s="5"/>
      <c r="JD399" s="5"/>
      <c r="JE399" s="5"/>
      <c r="JF399" s="5"/>
      <c r="JG399" s="5"/>
      <c r="JH399" s="5"/>
      <c r="JI399" s="5"/>
      <c r="JJ399" s="5"/>
      <c r="JK399" s="5"/>
      <c r="JM399" s="19"/>
      <c r="JO399" s="5"/>
      <c r="JP399" s="5"/>
      <c r="JQ399" s="5"/>
      <c r="JR399" s="5"/>
      <c r="JS399" s="6"/>
      <c r="JT399" s="23"/>
      <c r="JU399" s="13"/>
      <c r="JV399" s="6"/>
      <c r="JW399" s="6"/>
      <c r="JX399" s="6"/>
      <c r="JY399" s="6"/>
      <c r="JZ399" s="10"/>
      <c r="KA399" s="10"/>
      <c r="KB399" s="10"/>
      <c r="KC399" s="10"/>
      <c r="KD399" s="5"/>
      <c r="KE399" s="6"/>
    </row>
    <row r="400" spans="6:291" x14ac:dyDescent="0.3">
      <c r="F400" s="17"/>
      <c r="G400" s="9"/>
      <c r="H400" s="3"/>
      <c r="I400" s="3"/>
      <c r="J400" s="3"/>
      <c r="K400" s="3"/>
      <c r="L400" s="3"/>
      <c r="M400" s="3"/>
      <c r="N400" s="3"/>
      <c r="O400" s="3"/>
      <c r="P400" s="4"/>
      <c r="Q400" s="5"/>
      <c r="R400" s="5"/>
      <c r="S400" s="5"/>
      <c r="T400" s="6"/>
      <c r="U400" s="5"/>
      <c r="V400" s="6"/>
      <c r="W400" s="7"/>
      <c r="X400" s="8"/>
      <c r="Y400" s="6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6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C400" s="6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  <c r="JC400" s="5"/>
      <c r="JD400" s="5"/>
      <c r="JE400" s="5"/>
      <c r="JF400" s="5"/>
      <c r="JG400" s="5"/>
      <c r="JH400" s="5"/>
      <c r="JI400" s="5"/>
      <c r="JJ400" s="5"/>
      <c r="JK400" s="5"/>
      <c r="JM400" s="19"/>
      <c r="JO400" s="5"/>
      <c r="JP400" s="5"/>
      <c r="JQ400" s="5"/>
      <c r="JR400" s="5"/>
      <c r="JS400" s="6"/>
      <c r="JT400" s="23"/>
      <c r="JU400" s="13"/>
      <c r="JV400" s="6"/>
      <c r="JW400" s="6"/>
      <c r="JX400" s="6"/>
      <c r="JY400" s="6"/>
      <c r="JZ400" s="10"/>
      <c r="KA400" s="10"/>
      <c r="KB400" s="10"/>
      <c r="KC400" s="10"/>
      <c r="KD400" s="5"/>
      <c r="KE400" s="6"/>
    </row>
    <row r="401" spans="6:291" x14ac:dyDescent="0.3">
      <c r="F401" s="17"/>
      <c r="G401" s="9"/>
      <c r="H401" s="3"/>
      <c r="I401" s="3"/>
      <c r="J401" s="3"/>
      <c r="K401" s="3"/>
      <c r="L401" s="3"/>
      <c r="M401" s="3"/>
      <c r="N401" s="3"/>
      <c r="O401" s="3"/>
      <c r="P401" s="4"/>
      <c r="Q401" s="5"/>
      <c r="R401" s="5"/>
      <c r="S401" s="5"/>
      <c r="T401" s="6"/>
      <c r="U401" s="5"/>
      <c r="V401" s="6"/>
      <c r="W401" s="7"/>
      <c r="X401" s="8"/>
      <c r="Y401" s="6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6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C401" s="6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  <c r="JC401" s="5"/>
      <c r="JD401" s="5"/>
      <c r="JE401" s="5"/>
      <c r="JF401" s="5"/>
      <c r="JG401" s="5"/>
      <c r="JH401" s="5"/>
      <c r="JI401" s="5"/>
      <c r="JJ401" s="5"/>
      <c r="JK401" s="5"/>
      <c r="JM401" s="19"/>
      <c r="JO401" s="5"/>
      <c r="JP401" s="5"/>
      <c r="JQ401" s="5"/>
      <c r="JR401" s="5"/>
      <c r="JS401" s="6"/>
      <c r="JT401" s="23"/>
      <c r="JU401" s="13"/>
      <c r="JV401" s="6"/>
      <c r="JW401" s="6"/>
      <c r="JX401" s="6"/>
      <c r="JY401" s="6"/>
      <c r="JZ401" s="10"/>
      <c r="KA401" s="10"/>
      <c r="KB401" s="10"/>
      <c r="KC401" s="10"/>
      <c r="KD401" s="5"/>
      <c r="KE401" s="6"/>
    </row>
    <row r="402" spans="6:291" x14ac:dyDescent="0.3">
      <c r="F402" s="17"/>
      <c r="G402" s="9"/>
      <c r="H402" s="3"/>
      <c r="I402" s="3"/>
      <c r="J402" s="3"/>
      <c r="K402" s="3"/>
      <c r="L402" s="3"/>
      <c r="M402" s="3"/>
      <c r="N402" s="3"/>
      <c r="O402" s="3"/>
      <c r="P402" s="4"/>
      <c r="Q402" s="5"/>
      <c r="R402" s="5"/>
      <c r="S402" s="5"/>
      <c r="T402" s="6"/>
      <c r="U402" s="5"/>
      <c r="V402" s="6"/>
      <c r="W402" s="7"/>
      <c r="X402" s="8"/>
      <c r="Y402" s="6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6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C402" s="6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  <c r="JC402" s="5"/>
      <c r="JD402" s="5"/>
      <c r="JE402" s="5"/>
      <c r="JF402" s="5"/>
      <c r="JG402" s="5"/>
      <c r="JH402" s="5"/>
      <c r="JI402" s="5"/>
      <c r="JJ402" s="5"/>
      <c r="JK402" s="5"/>
      <c r="JM402" s="19"/>
      <c r="JO402" s="5"/>
      <c r="JP402" s="5"/>
      <c r="JQ402" s="5"/>
      <c r="JR402" s="5"/>
      <c r="JS402" s="6"/>
      <c r="JT402" s="23"/>
      <c r="JU402" s="13"/>
      <c r="JV402" s="6"/>
      <c r="JW402" s="6"/>
      <c r="JX402" s="6"/>
      <c r="JY402" s="6"/>
      <c r="JZ402" s="10"/>
      <c r="KA402" s="10"/>
      <c r="KB402" s="10"/>
      <c r="KC402" s="10"/>
      <c r="KD402" s="5"/>
      <c r="KE402" s="6"/>
    </row>
    <row r="403" spans="6:291" x14ac:dyDescent="0.3">
      <c r="F403" s="17"/>
      <c r="G403" s="9"/>
      <c r="H403" s="3"/>
      <c r="I403" s="3"/>
      <c r="J403" s="3"/>
      <c r="K403" s="3"/>
      <c r="L403" s="3"/>
      <c r="M403" s="3"/>
      <c r="N403" s="3"/>
      <c r="O403" s="3"/>
      <c r="P403" s="4"/>
      <c r="Q403" s="5"/>
      <c r="R403" s="5"/>
      <c r="S403" s="5"/>
      <c r="T403" s="6"/>
      <c r="U403" s="5"/>
      <c r="V403" s="6"/>
      <c r="W403" s="7"/>
      <c r="X403" s="8"/>
      <c r="Y403" s="6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6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C403" s="6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  <c r="JC403" s="5"/>
      <c r="JD403" s="5"/>
      <c r="JE403" s="5"/>
      <c r="JF403" s="5"/>
      <c r="JG403" s="5"/>
      <c r="JH403" s="5"/>
      <c r="JI403" s="5"/>
      <c r="JJ403" s="5"/>
      <c r="JK403" s="5"/>
      <c r="JM403" s="19"/>
      <c r="JO403" s="5"/>
      <c r="JP403" s="5"/>
      <c r="JQ403" s="5"/>
      <c r="JR403" s="5"/>
      <c r="JS403" s="6"/>
      <c r="JT403" s="23"/>
      <c r="JU403" s="13"/>
      <c r="JV403" s="6"/>
      <c r="JW403" s="6"/>
      <c r="JX403" s="6"/>
      <c r="JY403" s="6"/>
      <c r="JZ403" s="10"/>
      <c r="KA403" s="10"/>
      <c r="KB403" s="10"/>
      <c r="KC403" s="10"/>
      <c r="KD403" s="5"/>
      <c r="KE403" s="6"/>
    </row>
    <row r="404" spans="6:291" x14ac:dyDescent="0.3">
      <c r="F404" s="17"/>
      <c r="G404" s="9"/>
      <c r="H404" s="3"/>
      <c r="I404" s="3"/>
      <c r="J404" s="3"/>
      <c r="K404" s="3"/>
      <c r="L404" s="3"/>
      <c r="M404" s="3"/>
      <c r="N404" s="3"/>
      <c r="O404" s="3"/>
      <c r="P404" s="4"/>
      <c r="Q404" s="5"/>
      <c r="R404" s="5"/>
      <c r="S404" s="5"/>
      <c r="T404" s="6"/>
      <c r="U404" s="5"/>
      <c r="V404" s="6"/>
      <c r="W404" s="7"/>
      <c r="X404" s="8"/>
      <c r="Y404" s="6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6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C404" s="6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  <c r="JC404" s="5"/>
      <c r="JD404" s="5"/>
      <c r="JE404" s="5"/>
      <c r="JF404" s="5"/>
      <c r="JG404" s="5"/>
      <c r="JH404" s="5"/>
      <c r="JI404" s="5"/>
      <c r="JJ404" s="5"/>
      <c r="JK404" s="5"/>
      <c r="JM404" s="19"/>
      <c r="JO404" s="5"/>
      <c r="JP404" s="5"/>
      <c r="JQ404" s="5"/>
      <c r="JR404" s="5"/>
      <c r="JS404" s="6"/>
      <c r="JT404" s="23"/>
      <c r="JU404" s="13"/>
      <c r="JV404" s="6"/>
      <c r="JW404" s="6"/>
      <c r="JX404" s="6"/>
      <c r="JY404" s="6"/>
      <c r="JZ404" s="10"/>
      <c r="KA404" s="10"/>
      <c r="KB404" s="10"/>
      <c r="KC404" s="10"/>
      <c r="KD404" s="5"/>
      <c r="KE404" s="6"/>
    </row>
    <row r="405" spans="6:291" x14ac:dyDescent="0.3">
      <c r="F405" s="17"/>
      <c r="G405" s="9"/>
      <c r="H405" s="3"/>
      <c r="I405" s="3"/>
      <c r="J405" s="3"/>
      <c r="K405" s="3"/>
      <c r="L405" s="3"/>
      <c r="M405" s="3"/>
      <c r="N405" s="3"/>
      <c r="O405" s="3"/>
      <c r="P405" s="4"/>
      <c r="Q405" s="5"/>
      <c r="R405" s="5"/>
      <c r="S405" s="5"/>
      <c r="T405" s="6"/>
      <c r="U405" s="5"/>
      <c r="V405" s="6"/>
      <c r="W405" s="7"/>
      <c r="X405" s="8"/>
      <c r="Y405" s="6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6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C405" s="6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  <c r="JC405" s="5"/>
      <c r="JD405" s="5"/>
      <c r="JE405" s="5"/>
      <c r="JF405" s="5"/>
      <c r="JG405" s="5"/>
      <c r="JH405" s="5"/>
      <c r="JI405" s="5"/>
      <c r="JJ405" s="5"/>
      <c r="JK405" s="5"/>
      <c r="JM405" s="19"/>
      <c r="JO405" s="5"/>
      <c r="JP405" s="5"/>
      <c r="JQ405" s="5"/>
      <c r="JR405" s="5"/>
      <c r="JS405" s="6"/>
      <c r="JT405" s="23"/>
      <c r="JU405" s="13"/>
      <c r="JV405" s="6"/>
      <c r="JW405" s="6"/>
      <c r="JX405" s="6"/>
      <c r="JY405" s="6"/>
      <c r="JZ405" s="10"/>
      <c r="KA405" s="10"/>
      <c r="KB405" s="10"/>
      <c r="KC405" s="10"/>
      <c r="KD405" s="5"/>
      <c r="KE405" s="6"/>
    </row>
    <row r="406" spans="6:291" x14ac:dyDescent="0.3">
      <c r="F406" s="17"/>
      <c r="G406" s="9"/>
      <c r="H406" s="3"/>
      <c r="I406" s="3"/>
      <c r="J406" s="3"/>
      <c r="K406" s="3"/>
      <c r="L406" s="3"/>
      <c r="M406" s="3"/>
      <c r="N406" s="3"/>
      <c r="O406" s="3"/>
      <c r="P406" s="4"/>
      <c r="Q406" s="5"/>
      <c r="R406" s="5"/>
      <c r="S406" s="5"/>
      <c r="T406" s="6"/>
      <c r="U406" s="5"/>
      <c r="V406" s="6"/>
      <c r="W406" s="7"/>
      <c r="X406" s="8"/>
      <c r="Y406" s="6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6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C406" s="6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  <c r="JC406" s="5"/>
      <c r="JD406" s="5"/>
      <c r="JE406" s="5"/>
      <c r="JF406" s="5"/>
      <c r="JG406" s="5"/>
      <c r="JH406" s="5"/>
      <c r="JI406" s="5"/>
      <c r="JJ406" s="5"/>
      <c r="JK406" s="5"/>
      <c r="JM406" s="19"/>
      <c r="JO406" s="5"/>
      <c r="JP406" s="5"/>
      <c r="JQ406" s="5"/>
      <c r="JR406" s="5"/>
      <c r="JS406" s="6"/>
      <c r="JT406" s="23"/>
      <c r="JU406" s="13"/>
      <c r="JV406" s="6"/>
      <c r="JW406" s="6"/>
      <c r="JX406" s="6"/>
      <c r="JY406" s="6"/>
      <c r="JZ406" s="10"/>
      <c r="KA406" s="10"/>
      <c r="KB406" s="10"/>
      <c r="KC406" s="10"/>
      <c r="KD406" s="5"/>
      <c r="KE406" s="6"/>
    </row>
    <row r="407" spans="6:291" x14ac:dyDescent="0.3">
      <c r="F407" s="17"/>
      <c r="G407" s="9"/>
      <c r="H407" s="3"/>
      <c r="I407" s="3"/>
      <c r="J407" s="3"/>
      <c r="K407" s="3"/>
      <c r="L407" s="3"/>
      <c r="M407" s="3"/>
      <c r="N407" s="3"/>
      <c r="O407" s="3"/>
      <c r="P407" s="4"/>
      <c r="Q407" s="5"/>
      <c r="R407" s="5"/>
      <c r="S407" s="5"/>
      <c r="T407" s="6"/>
      <c r="U407" s="5"/>
      <c r="V407" s="6"/>
      <c r="W407" s="7"/>
      <c r="X407" s="8"/>
      <c r="Y407" s="6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6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C407" s="6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  <c r="JC407" s="5"/>
      <c r="JD407" s="5"/>
      <c r="JE407" s="5"/>
      <c r="JF407" s="5"/>
      <c r="JG407" s="5"/>
      <c r="JH407" s="5"/>
      <c r="JI407" s="5"/>
      <c r="JJ407" s="5"/>
      <c r="JK407" s="5"/>
      <c r="JM407" s="19"/>
      <c r="JO407" s="5"/>
      <c r="JP407" s="5"/>
      <c r="JQ407" s="5"/>
      <c r="JR407" s="5"/>
      <c r="JS407" s="6"/>
      <c r="JT407" s="23"/>
      <c r="JU407" s="13"/>
      <c r="JV407" s="6"/>
      <c r="JW407" s="6"/>
      <c r="JX407" s="6"/>
      <c r="JY407" s="6"/>
      <c r="JZ407" s="10"/>
      <c r="KA407" s="10"/>
      <c r="KB407" s="10"/>
      <c r="KC407" s="10"/>
      <c r="KD407" s="5"/>
      <c r="KE407" s="6"/>
    </row>
    <row r="408" spans="6:291" x14ac:dyDescent="0.3">
      <c r="F408" s="17"/>
      <c r="G408" s="9"/>
      <c r="H408" s="3"/>
      <c r="I408" s="3"/>
      <c r="J408" s="3"/>
      <c r="K408" s="3"/>
      <c r="L408" s="3"/>
      <c r="M408" s="3"/>
      <c r="N408" s="3"/>
      <c r="O408" s="3"/>
      <c r="P408" s="4"/>
      <c r="Q408" s="5"/>
      <c r="R408" s="5"/>
      <c r="S408" s="5"/>
      <c r="T408" s="6"/>
      <c r="U408" s="5"/>
      <c r="V408" s="6"/>
      <c r="W408" s="7"/>
      <c r="X408" s="8"/>
      <c r="Y408" s="6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6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C408" s="6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  <c r="JC408" s="5"/>
      <c r="JD408" s="5"/>
      <c r="JE408" s="5"/>
      <c r="JF408" s="5"/>
      <c r="JG408" s="5"/>
      <c r="JH408" s="5"/>
      <c r="JI408" s="5"/>
      <c r="JJ408" s="5"/>
      <c r="JK408" s="5"/>
      <c r="JM408" s="19"/>
      <c r="JO408" s="5"/>
      <c r="JP408" s="5"/>
      <c r="JQ408" s="5"/>
      <c r="JR408" s="5"/>
      <c r="JS408" s="6"/>
      <c r="JT408" s="23"/>
      <c r="JU408" s="13"/>
      <c r="JV408" s="6"/>
      <c r="JW408" s="6"/>
      <c r="JX408" s="6"/>
      <c r="JY408" s="6"/>
      <c r="JZ408" s="10"/>
      <c r="KA408" s="10"/>
      <c r="KB408" s="10"/>
      <c r="KC408" s="10"/>
      <c r="KD408" s="5"/>
      <c r="KE408" s="6"/>
    </row>
    <row r="409" spans="6:291" x14ac:dyDescent="0.3">
      <c r="F409" s="17"/>
      <c r="G409" s="9"/>
      <c r="H409" s="3"/>
      <c r="I409" s="3"/>
      <c r="J409" s="3"/>
      <c r="K409" s="3"/>
      <c r="L409" s="3"/>
      <c r="M409" s="3"/>
      <c r="N409" s="3"/>
      <c r="O409" s="3"/>
      <c r="P409" s="4"/>
      <c r="Q409" s="5"/>
      <c r="R409" s="5"/>
      <c r="S409" s="5"/>
      <c r="T409" s="6"/>
      <c r="U409" s="5"/>
      <c r="V409" s="6"/>
      <c r="W409" s="7"/>
      <c r="X409" s="8"/>
      <c r="Y409" s="6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6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C409" s="6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  <c r="JC409" s="5"/>
      <c r="JD409" s="5"/>
      <c r="JE409" s="5"/>
      <c r="JF409" s="5"/>
      <c r="JG409" s="5"/>
      <c r="JH409" s="5"/>
      <c r="JI409" s="5"/>
      <c r="JJ409" s="5"/>
      <c r="JK409" s="5"/>
      <c r="JM409" s="19"/>
      <c r="JO409" s="5"/>
      <c r="JP409" s="5"/>
      <c r="JQ409" s="5"/>
      <c r="JR409" s="5"/>
      <c r="JS409" s="6"/>
      <c r="JT409" s="23"/>
      <c r="JU409" s="13"/>
      <c r="JV409" s="6"/>
      <c r="JW409" s="6"/>
      <c r="JX409" s="6"/>
      <c r="JY409" s="6"/>
      <c r="JZ409" s="10"/>
      <c r="KA409" s="10"/>
      <c r="KB409" s="10"/>
      <c r="KC409" s="10"/>
      <c r="KD409" s="5"/>
      <c r="KE409" s="6"/>
    </row>
    <row r="410" spans="6:291" x14ac:dyDescent="0.3">
      <c r="F410" s="17"/>
      <c r="G410" s="9"/>
      <c r="H410" s="3"/>
      <c r="I410" s="3"/>
      <c r="J410" s="3"/>
      <c r="K410" s="3"/>
      <c r="L410" s="3"/>
      <c r="M410" s="3"/>
      <c r="N410" s="3"/>
      <c r="O410" s="3"/>
      <c r="P410" s="4"/>
      <c r="Q410" s="5"/>
      <c r="R410" s="5"/>
      <c r="S410" s="5"/>
      <c r="T410" s="6"/>
      <c r="U410" s="5"/>
      <c r="V410" s="6"/>
      <c r="W410" s="7"/>
      <c r="X410" s="8"/>
      <c r="Y410" s="6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6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C410" s="6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  <c r="JC410" s="5"/>
      <c r="JD410" s="5"/>
      <c r="JE410" s="5"/>
      <c r="JF410" s="5"/>
      <c r="JG410" s="5"/>
      <c r="JH410" s="5"/>
      <c r="JI410" s="5"/>
      <c r="JJ410" s="5"/>
      <c r="JK410" s="5"/>
      <c r="JM410" s="19"/>
      <c r="JO410" s="5"/>
      <c r="JP410" s="5"/>
      <c r="JQ410" s="5"/>
      <c r="JR410" s="5"/>
      <c r="JS410" s="6"/>
      <c r="JT410" s="23"/>
      <c r="JU410" s="13"/>
      <c r="JV410" s="6"/>
      <c r="JW410" s="6"/>
      <c r="JX410" s="6"/>
      <c r="JY410" s="6"/>
      <c r="JZ410" s="10"/>
      <c r="KA410" s="10"/>
      <c r="KB410" s="10"/>
      <c r="KC410" s="10"/>
      <c r="KD410" s="5"/>
      <c r="KE410" s="6"/>
    </row>
    <row r="411" spans="6:291" x14ac:dyDescent="0.3">
      <c r="F411" s="17"/>
      <c r="G411" s="9"/>
      <c r="H411" s="3"/>
      <c r="I411" s="3"/>
      <c r="J411" s="3"/>
      <c r="K411" s="3"/>
      <c r="L411" s="3"/>
      <c r="M411" s="3"/>
      <c r="N411" s="3"/>
      <c r="O411" s="3"/>
      <c r="P411" s="4"/>
      <c r="Q411" s="5"/>
      <c r="R411" s="5"/>
      <c r="S411" s="5"/>
      <c r="T411" s="6"/>
      <c r="U411" s="5"/>
      <c r="V411" s="6"/>
      <c r="W411" s="7"/>
      <c r="X411" s="8"/>
      <c r="Y411" s="6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6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C411" s="6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  <c r="JC411" s="5"/>
      <c r="JD411" s="5"/>
      <c r="JE411" s="5"/>
      <c r="JF411" s="5"/>
      <c r="JG411" s="5"/>
      <c r="JH411" s="5"/>
      <c r="JI411" s="5"/>
      <c r="JJ411" s="5"/>
      <c r="JK411" s="5"/>
      <c r="JM411" s="19"/>
      <c r="JO411" s="5"/>
      <c r="JP411" s="5"/>
      <c r="JQ411" s="5"/>
      <c r="JR411" s="5"/>
      <c r="JS411" s="6"/>
      <c r="JT411" s="23"/>
      <c r="JU411" s="13"/>
      <c r="JV411" s="6"/>
      <c r="JW411" s="6"/>
      <c r="JX411" s="6"/>
      <c r="JY411" s="6"/>
      <c r="JZ411" s="10"/>
      <c r="KA411" s="10"/>
      <c r="KB411" s="10"/>
      <c r="KC411" s="10"/>
      <c r="KD411" s="5"/>
      <c r="KE411" s="6"/>
    </row>
    <row r="412" spans="6:291" x14ac:dyDescent="0.3">
      <c r="F412" s="17"/>
      <c r="G412" s="9"/>
      <c r="H412" s="3"/>
      <c r="I412" s="3"/>
      <c r="J412" s="3"/>
      <c r="K412" s="3"/>
      <c r="L412" s="3"/>
      <c r="M412" s="3"/>
      <c r="N412" s="3"/>
      <c r="O412" s="3"/>
      <c r="P412" s="4"/>
      <c r="Q412" s="5"/>
      <c r="R412" s="5"/>
      <c r="S412" s="5"/>
      <c r="T412" s="6"/>
      <c r="U412" s="5"/>
      <c r="V412" s="6"/>
      <c r="W412" s="7"/>
      <c r="X412" s="8"/>
      <c r="Y412" s="6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6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C412" s="6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  <c r="JC412" s="5"/>
      <c r="JD412" s="5"/>
      <c r="JE412" s="5"/>
      <c r="JF412" s="5"/>
      <c r="JG412" s="5"/>
      <c r="JH412" s="5"/>
      <c r="JI412" s="5"/>
      <c r="JJ412" s="5"/>
      <c r="JK412" s="5"/>
      <c r="JM412" s="19"/>
      <c r="JO412" s="5"/>
      <c r="JP412" s="5"/>
      <c r="JQ412" s="5"/>
      <c r="JR412" s="5"/>
      <c r="JS412" s="6"/>
      <c r="JT412" s="23"/>
      <c r="JU412" s="13"/>
      <c r="JV412" s="6"/>
      <c r="JW412" s="6"/>
      <c r="JX412" s="6"/>
      <c r="JY412" s="6"/>
      <c r="JZ412" s="10"/>
      <c r="KA412" s="10"/>
      <c r="KB412" s="10"/>
      <c r="KC412" s="10"/>
      <c r="KD412" s="5"/>
      <c r="KE412" s="6"/>
    </row>
    <row r="413" spans="6:291" x14ac:dyDescent="0.3">
      <c r="F413" s="17"/>
      <c r="G413" s="9"/>
      <c r="H413" s="3"/>
      <c r="I413" s="3"/>
      <c r="J413" s="3"/>
      <c r="K413" s="3"/>
      <c r="L413" s="3"/>
      <c r="M413" s="3"/>
      <c r="N413" s="3"/>
      <c r="O413" s="3"/>
      <c r="P413" s="4"/>
      <c r="Q413" s="5"/>
      <c r="R413" s="5"/>
      <c r="S413" s="5"/>
      <c r="T413" s="6"/>
      <c r="U413" s="5"/>
      <c r="V413" s="6"/>
      <c r="W413" s="7"/>
      <c r="X413" s="8"/>
      <c r="Y413" s="6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6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C413" s="6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  <c r="JC413" s="5"/>
      <c r="JD413" s="5"/>
      <c r="JE413" s="5"/>
      <c r="JF413" s="5"/>
      <c r="JG413" s="5"/>
      <c r="JH413" s="5"/>
      <c r="JI413" s="5"/>
      <c r="JJ413" s="5"/>
      <c r="JK413" s="5"/>
      <c r="JM413" s="19"/>
      <c r="JO413" s="5"/>
      <c r="JP413" s="5"/>
      <c r="JQ413" s="5"/>
      <c r="JR413" s="5"/>
      <c r="JS413" s="6"/>
      <c r="JT413" s="23"/>
      <c r="JU413" s="13"/>
      <c r="JV413" s="6"/>
      <c r="JW413" s="6"/>
      <c r="JX413" s="6"/>
      <c r="JY413" s="6"/>
      <c r="JZ413" s="10"/>
      <c r="KA413" s="10"/>
      <c r="KB413" s="10"/>
      <c r="KC413" s="10"/>
      <c r="KD413" s="5"/>
      <c r="KE413" s="6"/>
    </row>
    <row r="414" spans="6:291" x14ac:dyDescent="0.3">
      <c r="F414" s="17"/>
      <c r="G414" s="9"/>
      <c r="H414" s="3"/>
      <c r="I414" s="3"/>
      <c r="J414" s="3"/>
      <c r="K414" s="3"/>
      <c r="L414" s="3"/>
      <c r="M414" s="3"/>
      <c r="N414" s="3"/>
      <c r="O414" s="3"/>
      <c r="P414" s="4"/>
      <c r="Q414" s="5"/>
      <c r="R414" s="5"/>
      <c r="S414" s="5"/>
      <c r="T414" s="6"/>
      <c r="U414" s="5"/>
      <c r="V414" s="6"/>
      <c r="W414" s="7"/>
      <c r="X414" s="8"/>
      <c r="Y414" s="6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6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C414" s="6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  <c r="JC414" s="5"/>
      <c r="JD414" s="5"/>
      <c r="JE414" s="5"/>
      <c r="JF414" s="5"/>
      <c r="JG414" s="5"/>
      <c r="JH414" s="5"/>
      <c r="JI414" s="5"/>
      <c r="JJ414" s="5"/>
      <c r="JK414" s="5"/>
      <c r="JM414" s="19"/>
      <c r="JO414" s="5"/>
      <c r="JP414" s="5"/>
      <c r="JQ414" s="5"/>
      <c r="JR414" s="5"/>
      <c r="JS414" s="6"/>
      <c r="JT414" s="23"/>
      <c r="JU414" s="13"/>
      <c r="JV414" s="6"/>
      <c r="JW414" s="6"/>
      <c r="JX414" s="6"/>
      <c r="JY414" s="6"/>
      <c r="JZ414" s="10"/>
      <c r="KA414" s="10"/>
      <c r="KB414" s="10"/>
      <c r="KC414" s="10"/>
      <c r="KD414" s="5"/>
      <c r="KE414" s="6"/>
    </row>
    <row r="415" spans="6:291" x14ac:dyDescent="0.3">
      <c r="F415" s="17"/>
      <c r="G415" s="9"/>
      <c r="H415" s="3"/>
      <c r="I415" s="3"/>
      <c r="J415" s="3"/>
      <c r="K415" s="3"/>
      <c r="L415" s="3"/>
      <c r="M415" s="3"/>
      <c r="N415" s="3"/>
      <c r="O415" s="3"/>
      <c r="P415" s="4"/>
      <c r="Q415" s="5"/>
      <c r="R415" s="5"/>
      <c r="S415" s="5"/>
      <c r="T415" s="6"/>
      <c r="U415" s="5"/>
      <c r="V415" s="6"/>
      <c r="W415" s="7"/>
      <c r="X415" s="8"/>
      <c r="Y415" s="6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6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C415" s="6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  <c r="JC415" s="5"/>
      <c r="JD415" s="5"/>
      <c r="JE415" s="5"/>
      <c r="JF415" s="5"/>
      <c r="JG415" s="5"/>
      <c r="JH415" s="5"/>
      <c r="JI415" s="5"/>
      <c r="JJ415" s="5"/>
      <c r="JK415" s="5"/>
      <c r="JM415" s="19"/>
      <c r="JO415" s="5"/>
      <c r="JP415" s="5"/>
      <c r="JQ415" s="5"/>
      <c r="JR415" s="5"/>
      <c r="JS415" s="6"/>
      <c r="JT415" s="23"/>
      <c r="JU415" s="13"/>
      <c r="JV415" s="6"/>
      <c r="JW415" s="6"/>
      <c r="JX415" s="6"/>
      <c r="JY415" s="6"/>
      <c r="JZ415" s="10"/>
      <c r="KA415" s="10"/>
      <c r="KB415" s="10"/>
      <c r="KC415" s="10"/>
      <c r="KD415" s="5"/>
      <c r="KE415" s="6"/>
    </row>
    <row r="416" spans="6:291" x14ac:dyDescent="0.3">
      <c r="F416" s="17"/>
      <c r="G416" s="9"/>
      <c r="H416" s="3"/>
      <c r="I416" s="3"/>
      <c r="J416" s="3"/>
      <c r="K416" s="3"/>
      <c r="L416" s="3"/>
      <c r="M416" s="3"/>
      <c r="N416" s="3"/>
      <c r="O416" s="3"/>
      <c r="P416" s="4"/>
      <c r="Q416" s="5"/>
      <c r="R416" s="5"/>
      <c r="S416" s="5"/>
      <c r="T416" s="6"/>
      <c r="U416" s="5"/>
      <c r="V416" s="6"/>
      <c r="W416" s="7"/>
      <c r="X416" s="8"/>
      <c r="Y416" s="6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6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C416" s="6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  <c r="JC416" s="5"/>
      <c r="JD416" s="5"/>
      <c r="JE416" s="5"/>
      <c r="JF416" s="5"/>
      <c r="JG416" s="5"/>
      <c r="JH416" s="5"/>
      <c r="JI416" s="5"/>
      <c r="JJ416" s="5"/>
      <c r="JK416" s="5"/>
      <c r="JM416" s="19"/>
      <c r="JO416" s="5"/>
      <c r="JP416" s="5"/>
      <c r="JQ416" s="5"/>
      <c r="JR416" s="5"/>
      <c r="JS416" s="6"/>
      <c r="JT416" s="23"/>
      <c r="JU416" s="13"/>
      <c r="JV416" s="6"/>
      <c r="JW416" s="6"/>
      <c r="JX416" s="6"/>
      <c r="JY416" s="6"/>
      <c r="JZ416" s="10"/>
      <c r="KA416" s="10"/>
      <c r="KB416" s="10"/>
      <c r="KC416" s="10"/>
      <c r="KD416" s="5"/>
      <c r="KE416" s="6"/>
    </row>
    <row r="417" spans="6:291" x14ac:dyDescent="0.3">
      <c r="F417" s="17"/>
      <c r="G417" s="9"/>
      <c r="H417" s="3"/>
      <c r="I417" s="3"/>
      <c r="J417" s="3"/>
      <c r="K417" s="3"/>
      <c r="L417" s="3"/>
      <c r="M417" s="3"/>
      <c r="N417" s="3"/>
      <c r="O417" s="3"/>
      <c r="P417" s="4"/>
      <c r="Q417" s="5"/>
      <c r="R417" s="5"/>
      <c r="S417" s="5"/>
      <c r="T417" s="6"/>
      <c r="U417" s="5"/>
      <c r="V417" s="6"/>
      <c r="W417" s="7"/>
      <c r="X417" s="8"/>
      <c r="Y417" s="6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6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C417" s="6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  <c r="JC417" s="5"/>
      <c r="JD417" s="5"/>
      <c r="JE417" s="5"/>
      <c r="JF417" s="5"/>
      <c r="JG417" s="5"/>
      <c r="JH417" s="5"/>
      <c r="JI417" s="5"/>
      <c r="JJ417" s="5"/>
      <c r="JK417" s="5"/>
      <c r="JM417" s="19"/>
      <c r="JO417" s="5"/>
      <c r="JP417" s="5"/>
      <c r="JQ417" s="5"/>
      <c r="JR417" s="5"/>
      <c r="JS417" s="6"/>
      <c r="JT417" s="23"/>
      <c r="JU417" s="13"/>
      <c r="JV417" s="6"/>
      <c r="JW417" s="6"/>
      <c r="JX417" s="6"/>
      <c r="JY417" s="6"/>
      <c r="JZ417" s="10"/>
      <c r="KA417" s="10"/>
      <c r="KB417" s="10"/>
      <c r="KC417" s="10"/>
      <c r="KD417" s="5"/>
      <c r="KE417" s="6"/>
    </row>
    <row r="418" spans="6:291" x14ac:dyDescent="0.3">
      <c r="F418" s="17"/>
      <c r="G418" s="9"/>
      <c r="H418" s="3"/>
      <c r="I418" s="3"/>
      <c r="J418" s="3"/>
      <c r="K418" s="3"/>
      <c r="L418" s="3"/>
      <c r="M418" s="3"/>
      <c r="N418" s="3"/>
      <c r="O418" s="3"/>
      <c r="P418" s="4"/>
      <c r="Q418" s="5"/>
      <c r="R418" s="5"/>
      <c r="S418" s="5"/>
      <c r="T418" s="6"/>
      <c r="U418" s="5"/>
      <c r="V418" s="6"/>
      <c r="W418" s="7"/>
      <c r="X418" s="8"/>
      <c r="Y418" s="6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6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C418" s="6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  <c r="JC418" s="5"/>
      <c r="JD418" s="5"/>
      <c r="JE418" s="5"/>
      <c r="JF418" s="5"/>
      <c r="JG418" s="5"/>
      <c r="JH418" s="5"/>
      <c r="JI418" s="5"/>
      <c r="JJ418" s="5"/>
      <c r="JK418" s="5"/>
      <c r="JM418" s="19"/>
      <c r="JO418" s="5"/>
      <c r="JP418" s="5"/>
      <c r="JQ418" s="5"/>
      <c r="JR418" s="5"/>
      <c r="JS418" s="6"/>
      <c r="JT418" s="23"/>
      <c r="JU418" s="13"/>
      <c r="JV418" s="6"/>
      <c r="JW418" s="6"/>
      <c r="JX418" s="6"/>
      <c r="JY418" s="6"/>
      <c r="JZ418" s="10"/>
      <c r="KA418" s="10"/>
      <c r="KB418" s="10"/>
      <c r="KC418" s="10"/>
      <c r="KD418" s="5"/>
      <c r="KE418" s="6"/>
    </row>
    <row r="419" spans="6:291" x14ac:dyDescent="0.3">
      <c r="F419" s="17"/>
      <c r="G419" s="9"/>
      <c r="H419" s="3"/>
      <c r="I419" s="3"/>
      <c r="J419" s="3"/>
      <c r="K419" s="3"/>
      <c r="L419" s="3"/>
      <c r="M419" s="3"/>
      <c r="N419" s="3"/>
      <c r="O419" s="3"/>
      <c r="P419" s="4"/>
      <c r="Q419" s="5"/>
      <c r="R419" s="5"/>
      <c r="S419" s="5"/>
      <c r="T419" s="6"/>
      <c r="U419" s="5"/>
      <c r="V419" s="6"/>
      <c r="W419" s="7"/>
      <c r="X419" s="8"/>
      <c r="Y419" s="6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6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C419" s="6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  <c r="JC419" s="5"/>
      <c r="JD419" s="5"/>
      <c r="JE419" s="5"/>
      <c r="JF419" s="5"/>
      <c r="JG419" s="5"/>
      <c r="JH419" s="5"/>
      <c r="JI419" s="5"/>
      <c r="JJ419" s="5"/>
      <c r="JK419" s="5"/>
      <c r="JM419" s="19"/>
      <c r="JO419" s="5"/>
      <c r="JP419" s="5"/>
      <c r="JQ419" s="5"/>
      <c r="JR419" s="5"/>
      <c r="JS419" s="6"/>
      <c r="JT419" s="23"/>
      <c r="JU419" s="13"/>
      <c r="JV419" s="6"/>
      <c r="JW419" s="6"/>
      <c r="JX419" s="6"/>
      <c r="JY419" s="6"/>
      <c r="JZ419" s="10"/>
      <c r="KA419" s="10"/>
      <c r="KB419" s="10"/>
      <c r="KC419" s="10"/>
      <c r="KD419" s="5"/>
      <c r="KE419" s="6"/>
    </row>
    <row r="420" spans="6:291" x14ac:dyDescent="0.3">
      <c r="F420" s="17"/>
      <c r="G420" s="9"/>
      <c r="H420" s="3"/>
      <c r="I420" s="3"/>
      <c r="J420" s="3"/>
      <c r="K420" s="3"/>
      <c r="L420" s="3"/>
      <c r="M420" s="3"/>
      <c r="N420" s="3"/>
      <c r="O420" s="3"/>
      <c r="P420" s="4"/>
      <c r="Q420" s="5"/>
      <c r="R420" s="5"/>
      <c r="S420" s="5"/>
      <c r="T420" s="6"/>
      <c r="U420" s="5"/>
      <c r="V420" s="6"/>
      <c r="W420" s="7"/>
      <c r="X420" s="8"/>
      <c r="Y420" s="6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6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C420" s="6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  <c r="JC420" s="5"/>
      <c r="JD420" s="5"/>
      <c r="JE420" s="5"/>
      <c r="JF420" s="5"/>
      <c r="JG420" s="5"/>
      <c r="JH420" s="5"/>
      <c r="JI420" s="5"/>
      <c r="JJ420" s="5"/>
      <c r="JK420" s="5"/>
      <c r="JM420" s="19"/>
      <c r="JO420" s="5"/>
      <c r="JP420" s="5"/>
      <c r="JQ420" s="5"/>
      <c r="JR420" s="5"/>
      <c r="JS420" s="6"/>
      <c r="JT420" s="23"/>
      <c r="JU420" s="13"/>
      <c r="JV420" s="6"/>
      <c r="JW420" s="6"/>
      <c r="JX420" s="6"/>
      <c r="JY420" s="6"/>
      <c r="JZ420" s="10"/>
      <c r="KA420" s="10"/>
      <c r="KB420" s="10"/>
      <c r="KC420" s="10"/>
      <c r="KD420" s="5"/>
      <c r="KE420" s="6"/>
    </row>
    <row r="421" spans="6:291" x14ac:dyDescent="0.3">
      <c r="F421" s="17"/>
      <c r="G421" s="9"/>
      <c r="H421" s="3"/>
      <c r="I421" s="3"/>
      <c r="J421" s="3"/>
      <c r="K421" s="3"/>
      <c r="L421" s="3"/>
      <c r="M421" s="3"/>
      <c r="N421" s="3"/>
      <c r="O421" s="3"/>
      <c r="P421" s="4"/>
      <c r="Q421" s="5"/>
      <c r="R421" s="5"/>
      <c r="S421" s="5"/>
      <c r="T421" s="6"/>
      <c r="U421" s="5"/>
      <c r="V421" s="6"/>
      <c r="W421" s="7"/>
      <c r="X421" s="8"/>
      <c r="Y421" s="6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6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C421" s="6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  <c r="JC421" s="5"/>
      <c r="JD421" s="5"/>
      <c r="JE421" s="5"/>
      <c r="JF421" s="5"/>
      <c r="JG421" s="5"/>
      <c r="JH421" s="5"/>
      <c r="JI421" s="5"/>
      <c r="JJ421" s="5"/>
      <c r="JK421" s="5"/>
      <c r="JM421" s="19"/>
      <c r="JO421" s="5"/>
      <c r="JP421" s="5"/>
      <c r="JQ421" s="5"/>
      <c r="JR421" s="5"/>
      <c r="JS421" s="6"/>
      <c r="JT421" s="23"/>
      <c r="JU421" s="13"/>
      <c r="JV421" s="6"/>
      <c r="JW421" s="6"/>
      <c r="JX421" s="6"/>
      <c r="JY421" s="6"/>
      <c r="JZ421" s="10"/>
      <c r="KA421" s="10"/>
      <c r="KB421" s="10"/>
      <c r="KC421" s="10"/>
      <c r="KD421" s="5"/>
      <c r="KE421" s="6"/>
    </row>
    <row r="422" spans="6:291" x14ac:dyDescent="0.3">
      <c r="F422" s="17"/>
      <c r="G422" s="9"/>
      <c r="H422" s="3"/>
      <c r="I422" s="3"/>
      <c r="J422" s="3"/>
      <c r="K422" s="3"/>
      <c r="L422" s="3"/>
      <c r="M422" s="3"/>
      <c r="N422" s="3"/>
      <c r="O422" s="3"/>
      <c r="P422" s="4"/>
      <c r="Q422" s="5"/>
      <c r="R422" s="5"/>
      <c r="S422" s="5"/>
      <c r="T422" s="6"/>
      <c r="U422" s="5"/>
      <c r="V422" s="6"/>
      <c r="W422" s="7"/>
      <c r="X422" s="8"/>
      <c r="Y422" s="6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6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C422" s="6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  <c r="JC422" s="5"/>
      <c r="JD422" s="5"/>
      <c r="JE422" s="5"/>
      <c r="JF422" s="5"/>
      <c r="JG422" s="5"/>
      <c r="JH422" s="5"/>
      <c r="JI422" s="5"/>
      <c r="JJ422" s="5"/>
      <c r="JK422" s="5"/>
      <c r="JM422" s="19"/>
      <c r="JO422" s="5"/>
      <c r="JP422" s="5"/>
      <c r="JQ422" s="5"/>
      <c r="JR422" s="5"/>
      <c r="JS422" s="6"/>
      <c r="JT422" s="23"/>
      <c r="JU422" s="13"/>
      <c r="JV422" s="6"/>
      <c r="JW422" s="6"/>
      <c r="JX422" s="6"/>
      <c r="JY422" s="6"/>
      <c r="JZ422" s="10"/>
      <c r="KA422" s="10"/>
      <c r="KB422" s="10"/>
      <c r="KC422" s="10"/>
      <c r="KD422" s="5"/>
      <c r="KE422" s="6"/>
    </row>
    <row r="423" spans="6:291" x14ac:dyDescent="0.3">
      <c r="F423" s="17"/>
      <c r="G423" s="9"/>
      <c r="H423" s="3"/>
      <c r="I423" s="3"/>
      <c r="J423" s="3"/>
      <c r="K423" s="3"/>
      <c r="L423" s="3"/>
      <c r="M423" s="3"/>
      <c r="N423" s="3"/>
      <c r="O423" s="3"/>
      <c r="P423" s="4"/>
      <c r="Q423" s="5"/>
      <c r="R423" s="5"/>
      <c r="S423" s="5"/>
      <c r="T423" s="6"/>
      <c r="U423" s="5"/>
      <c r="V423" s="6"/>
      <c r="W423" s="7"/>
      <c r="X423" s="8"/>
      <c r="Y423" s="6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6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C423" s="6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  <c r="JC423" s="5"/>
      <c r="JD423" s="5"/>
      <c r="JE423" s="5"/>
      <c r="JF423" s="5"/>
      <c r="JG423" s="5"/>
      <c r="JH423" s="5"/>
      <c r="JI423" s="5"/>
      <c r="JJ423" s="5"/>
      <c r="JK423" s="5"/>
      <c r="JM423" s="19"/>
      <c r="JO423" s="5"/>
      <c r="JP423" s="5"/>
      <c r="JQ423" s="5"/>
      <c r="JR423" s="5"/>
      <c r="JS423" s="6"/>
      <c r="JT423" s="23"/>
      <c r="JU423" s="13"/>
      <c r="JV423" s="6"/>
      <c r="JW423" s="6"/>
      <c r="JX423" s="6"/>
      <c r="JY423" s="6"/>
      <c r="JZ423" s="10"/>
      <c r="KA423" s="10"/>
      <c r="KB423" s="10"/>
      <c r="KC423" s="10"/>
      <c r="KD423" s="5"/>
      <c r="KE423" s="6"/>
    </row>
    <row r="424" spans="6:291" x14ac:dyDescent="0.3">
      <c r="F424" s="17"/>
      <c r="G424" s="9"/>
      <c r="H424" s="3"/>
      <c r="I424" s="3"/>
      <c r="J424" s="3"/>
      <c r="K424" s="3"/>
      <c r="L424" s="3"/>
      <c r="M424" s="3"/>
      <c r="N424" s="3"/>
      <c r="O424" s="3"/>
      <c r="P424" s="4"/>
      <c r="Q424" s="5"/>
      <c r="R424" s="5"/>
      <c r="S424" s="5"/>
      <c r="T424" s="6"/>
      <c r="U424" s="5"/>
      <c r="V424" s="6"/>
      <c r="W424" s="7"/>
      <c r="X424" s="8"/>
      <c r="Y424" s="6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6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C424" s="6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  <c r="JC424" s="5"/>
      <c r="JD424" s="5"/>
      <c r="JE424" s="5"/>
      <c r="JF424" s="5"/>
      <c r="JG424" s="5"/>
      <c r="JH424" s="5"/>
      <c r="JI424" s="5"/>
      <c r="JJ424" s="5"/>
      <c r="JK424" s="5"/>
      <c r="JM424" s="19"/>
      <c r="JO424" s="5"/>
      <c r="JP424" s="5"/>
      <c r="JQ424" s="5"/>
      <c r="JR424" s="5"/>
      <c r="JS424" s="6"/>
      <c r="JT424" s="23"/>
      <c r="JU424" s="13"/>
      <c r="JV424" s="6"/>
      <c r="JW424" s="6"/>
      <c r="JX424" s="6"/>
      <c r="JY424" s="6"/>
      <c r="JZ424" s="10"/>
      <c r="KA424" s="10"/>
      <c r="KB424" s="10"/>
      <c r="KC424" s="10"/>
      <c r="KD424" s="5"/>
      <c r="KE424" s="6"/>
    </row>
    <row r="425" spans="6:291" x14ac:dyDescent="0.3">
      <c r="F425" s="17"/>
      <c r="G425" s="9"/>
      <c r="H425" s="3"/>
      <c r="I425" s="3"/>
      <c r="J425" s="3"/>
      <c r="K425" s="3"/>
      <c r="L425" s="3"/>
      <c r="M425" s="3"/>
      <c r="N425" s="3"/>
      <c r="O425" s="3"/>
      <c r="P425" s="4"/>
      <c r="Q425" s="5"/>
      <c r="R425" s="5"/>
      <c r="S425" s="5"/>
      <c r="T425" s="6"/>
      <c r="U425" s="5"/>
      <c r="V425" s="6"/>
      <c r="W425" s="7"/>
      <c r="X425" s="8"/>
      <c r="Y425" s="6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6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C425" s="6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  <c r="JC425" s="5"/>
      <c r="JD425" s="5"/>
      <c r="JE425" s="5"/>
      <c r="JF425" s="5"/>
      <c r="JG425" s="5"/>
      <c r="JH425" s="5"/>
      <c r="JI425" s="5"/>
      <c r="JJ425" s="5"/>
      <c r="JK425" s="5"/>
      <c r="JM425" s="19"/>
      <c r="JO425" s="5"/>
      <c r="JP425" s="5"/>
      <c r="JQ425" s="5"/>
      <c r="JR425" s="5"/>
      <c r="JS425" s="6"/>
      <c r="JT425" s="23"/>
      <c r="JU425" s="13"/>
      <c r="JV425" s="6"/>
      <c r="JW425" s="6"/>
      <c r="JX425" s="6"/>
      <c r="JY425" s="6"/>
      <c r="JZ425" s="10"/>
      <c r="KA425" s="10"/>
      <c r="KB425" s="10"/>
      <c r="KC425" s="10"/>
      <c r="KD425" s="5"/>
      <c r="KE425" s="6"/>
    </row>
    <row r="426" spans="6:291" x14ac:dyDescent="0.3">
      <c r="F426" s="17"/>
      <c r="G426" s="9"/>
      <c r="H426" s="3"/>
      <c r="I426" s="3"/>
      <c r="J426" s="3"/>
      <c r="K426" s="3"/>
      <c r="L426" s="3"/>
      <c r="M426" s="3"/>
      <c r="N426" s="3"/>
      <c r="O426" s="3"/>
      <c r="P426" s="4"/>
      <c r="Q426" s="5"/>
      <c r="R426" s="5"/>
      <c r="S426" s="5"/>
      <c r="T426" s="6"/>
      <c r="U426" s="5"/>
      <c r="V426" s="6"/>
      <c r="W426" s="7"/>
      <c r="X426" s="8"/>
      <c r="Y426" s="6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6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C426" s="6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  <c r="JC426" s="5"/>
      <c r="JD426" s="5"/>
      <c r="JE426" s="5"/>
      <c r="JF426" s="5"/>
      <c r="JG426" s="5"/>
      <c r="JH426" s="5"/>
      <c r="JI426" s="5"/>
      <c r="JJ426" s="5"/>
      <c r="JK426" s="5"/>
      <c r="JM426" s="19"/>
      <c r="JO426" s="5"/>
      <c r="JP426" s="5"/>
      <c r="JQ426" s="5"/>
      <c r="JR426" s="5"/>
      <c r="JS426" s="6"/>
      <c r="JT426" s="23"/>
      <c r="JU426" s="13"/>
      <c r="JV426" s="6"/>
      <c r="JW426" s="6"/>
      <c r="JX426" s="6"/>
      <c r="JY426" s="6"/>
      <c r="JZ426" s="10"/>
      <c r="KA426" s="10"/>
      <c r="KB426" s="10"/>
      <c r="KC426" s="10"/>
      <c r="KD426" s="5"/>
      <c r="KE426" s="6"/>
    </row>
    <row r="427" spans="6:291" x14ac:dyDescent="0.3">
      <c r="F427" s="17"/>
      <c r="G427" s="9"/>
      <c r="H427" s="3"/>
      <c r="I427" s="3"/>
      <c r="J427" s="3"/>
      <c r="K427" s="3"/>
      <c r="L427" s="3"/>
      <c r="M427" s="3"/>
      <c r="N427" s="3"/>
      <c r="O427" s="3"/>
      <c r="P427" s="4"/>
      <c r="Q427" s="5"/>
      <c r="R427" s="5"/>
      <c r="S427" s="5"/>
      <c r="T427" s="6"/>
      <c r="U427" s="5"/>
      <c r="V427" s="6"/>
      <c r="W427" s="7"/>
      <c r="X427" s="8"/>
      <c r="Y427" s="6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6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C427" s="6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  <c r="JC427" s="5"/>
      <c r="JD427" s="5"/>
      <c r="JE427" s="5"/>
      <c r="JF427" s="5"/>
      <c r="JG427" s="5"/>
      <c r="JH427" s="5"/>
      <c r="JI427" s="5"/>
      <c r="JJ427" s="5"/>
      <c r="JK427" s="5"/>
      <c r="JM427" s="19"/>
      <c r="JO427" s="5"/>
      <c r="JP427" s="5"/>
      <c r="JQ427" s="5"/>
      <c r="JR427" s="5"/>
      <c r="JS427" s="6"/>
      <c r="JT427" s="23"/>
      <c r="JU427" s="13"/>
      <c r="JV427" s="6"/>
      <c r="JW427" s="6"/>
      <c r="JX427" s="6"/>
      <c r="JY427" s="6"/>
      <c r="JZ427" s="10"/>
      <c r="KA427" s="10"/>
      <c r="KB427" s="10"/>
      <c r="KC427" s="10"/>
      <c r="KD427" s="5"/>
      <c r="KE427" s="6"/>
    </row>
    <row r="428" spans="6:291" x14ac:dyDescent="0.3">
      <c r="F428" s="17"/>
      <c r="G428" s="9"/>
      <c r="H428" s="3"/>
      <c r="I428" s="3"/>
      <c r="J428" s="3"/>
      <c r="K428" s="3"/>
      <c r="L428" s="3"/>
      <c r="M428" s="3"/>
      <c r="N428" s="3"/>
      <c r="O428" s="3"/>
      <c r="P428" s="4"/>
      <c r="Q428" s="5"/>
      <c r="R428" s="5"/>
      <c r="S428" s="5"/>
      <c r="T428" s="6"/>
      <c r="U428" s="5"/>
      <c r="V428" s="6"/>
      <c r="W428" s="7"/>
      <c r="X428" s="8"/>
      <c r="Y428" s="6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6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C428" s="6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  <c r="JC428" s="5"/>
      <c r="JD428" s="5"/>
      <c r="JE428" s="5"/>
      <c r="JF428" s="5"/>
      <c r="JG428" s="5"/>
      <c r="JH428" s="5"/>
      <c r="JI428" s="5"/>
      <c r="JJ428" s="5"/>
      <c r="JK428" s="5"/>
      <c r="JM428" s="19"/>
      <c r="JO428" s="5"/>
      <c r="JP428" s="5"/>
      <c r="JQ428" s="5"/>
      <c r="JR428" s="5"/>
      <c r="JS428" s="6"/>
      <c r="JT428" s="23"/>
      <c r="JU428" s="13"/>
      <c r="JV428" s="6"/>
      <c r="JW428" s="6"/>
      <c r="JX428" s="6"/>
      <c r="JY428" s="6"/>
      <c r="JZ428" s="10"/>
      <c r="KA428" s="10"/>
      <c r="KB428" s="10"/>
      <c r="KC428" s="10"/>
      <c r="KD428" s="5"/>
      <c r="KE428" s="6"/>
    </row>
    <row r="429" spans="6:291" x14ac:dyDescent="0.3">
      <c r="F429" s="17"/>
      <c r="G429" s="9"/>
      <c r="H429" s="3"/>
      <c r="I429" s="3"/>
      <c r="J429" s="3"/>
      <c r="K429" s="3"/>
      <c r="L429" s="3"/>
      <c r="M429" s="3"/>
      <c r="N429" s="3"/>
      <c r="O429" s="3"/>
      <c r="P429" s="4"/>
      <c r="Q429" s="5"/>
      <c r="R429" s="5"/>
      <c r="S429" s="5"/>
      <c r="T429" s="6"/>
      <c r="U429" s="5"/>
      <c r="V429" s="6"/>
      <c r="W429" s="7"/>
      <c r="X429" s="8"/>
      <c r="Y429" s="6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6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C429" s="6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  <c r="JC429" s="5"/>
      <c r="JD429" s="5"/>
      <c r="JE429" s="5"/>
      <c r="JF429" s="5"/>
      <c r="JG429" s="5"/>
      <c r="JH429" s="5"/>
      <c r="JI429" s="5"/>
      <c r="JJ429" s="5"/>
      <c r="JK429" s="5"/>
      <c r="JM429" s="19"/>
      <c r="JO429" s="5"/>
      <c r="JP429" s="5"/>
      <c r="JQ429" s="5"/>
      <c r="JR429" s="5"/>
      <c r="JS429" s="6"/>
      <c r="JT429" s="23"/>
      <c r="JU429" s="13"/>
      <c r="JV429" s="6"/>
      <c r="JW429" s="6"/>
      <c r="JX429" s="6"/>
      <c r="JY429" s="6"/>
      <c r="JZ429" s="10"/>
      <c r="KA429" s="10"/>
      <c r="KB429" s="10"/>
      <c r="KC429" s="10"/>
      <c r="KD429" s="5"/>
      <c r="KE429" s="6"/>
    </row>
    <row r="430" spans="6:291" x14ac:dyDescent="0.3">
      <c r="F430" s="17"/>
      <c r="G430" s="9"/>
      <c r="H430" s="3"/>
      <c r="I430" s="3"/>
      <c r="J430" s="3"/>
      <c r="K430" s="3"/>
      <c r="L430" s="3"/>
      <c r="M430" s="3"/>
      <c r="N430" s="3"/>
      <c r="O430" s="3"/>
      <c r="P430" s="4"/>
      <c r="Q430" s="5"/>
      <c r="R430" s="5"/>
      <c r="S430" s="5"/>
      <c r="T430" s="6"/>
      <c r="U430" s="5"/>
      <c r="V430" s="6"/>
      <c r="W430" s="7"/>
      <c r="X430" s="8"/>
      <c r="Y430" s="6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6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C430" s="6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  <c r="JC430" s="5"/>
      <c r="JD430" s="5"/>
      <c r="JE430" s="5"/>
      <c r="JF430" s="5"/>
      <c r="JG430" s="5"/>
      <c r="JH430" s="5"/>
      <c r="JI430" s="5"/>
      <c r="JJ430" s="5"/>
      <c r="JK430" s="5"/>
      <c r="JM430" s="19"/>
      <c r="JO430" s="5"/>
      <c r="JP430" s="5"/>
      <c r="JQ430" s="5"/>
      <c r="JR430" s="5"/>
      <c r="JS430" s="6"/>
      <c r="JT430" s="23"/>
      <c r="JU430" s="13"/>
      <c r="JV430" s="6"/>
      <c r="JW430" s="6"/>
      <c r="JX430" s="6"/>
      <c r="JY430" s="6"/>
      <c r="JZ430" s="10"/>
      <c r="KA430" s="10"/>
      <c r="KB430" s="10"/>
      <c r="KC430" s="10"/>
      <c r="KD430" s="5"/>
      <c r="KE430" s="6"/>
    </row>
    <row r="431" spans="6:291" x14ac:dyDescent="0.3">
      <c r="F431" s="17"/>
      <c r="G431" s="9"/>
      <c r="H431" s="3"/>
      <c r="I431" s="3"/>
      <c r="J431" s="3"/>
      <c r="K431" s="3"/>
      <c r="L431" s="3"/>
      <c r="M431" s="3"/>
      <c r="N431" s="3"/>
      <c r="O431" s="3"/>
      <c r="P431" s="4"/>
      <c r="Q431" s="5"/>
      <c r="R431" s="5"/>
      <c r="S431" s="5"/>
      <c r="T431" s="6"/>
      <c r="U431" s="5"/>
      <c r="V431" s="6"/>
      <c r="W431" s="7"/>
      <c r="X431" s="8"/>
      <c r="Y431" s="6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6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C431" s="6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  <c r="JC431" s="5"/>
      <c r="JD431" s="5"/>
      <c r="JE431" s="5"/>
      <c r="JF431" s="5"/>
      <c r="JG431" s="5"/>
      <c r="JH431" s="5"/>
      <c r="JI431" s="5"/>
      <c r="JJ431" s="5"/>
      <c r="JK431" s="5"/>
      <c r="JM431" s="19"/>
      <c r="JO431" s="5"/>
      <c r="JP431" s="5"/>
      <c r="JQ431" s="5"/>
      <c r="JR431" s="5"/>
      <c r="JS431" s="6"/>
      <c r="JT431" s="23"/>
      <c r="JU431" s="13"/>
      <c r="JV431" s="6"/>
      <c r="JW431" s="6"/>
      <c r="JX431" s="6"/>
      <c r="JY431" s="6"/>
      <c r="JZ431" s="10"/>
      <c r="KA431" s="10"/>
      <c r="KB431" s="10"/>
      <c r="KC431" s="10"/>
      <c r="KD431" s="5"/>
      <c r="KE431" s="6"/>
    </row>
    <row r="432" spans="6:291" x14ac:dyDescent="0.3">
      <c r="F432" s="17"/>
      <c r="G432" s="9"/>
      <c r="H432" s="3"/>
      <c r="I432" s="3"/>
      <c r="J432" s="3"/>
      <c r="K432" s="3"/>
      <c r="L432" s="3"/>
      <c r="M432" s="3"/>
      <c r="N432" s="3"/>
      <c r="O432" s="3"/>
      <c r="P432" s="4"/>
      <c r="Q432" s="5"/>
      <c r="R432" s="5"/>
      <c r="S432" s="5"/>
      <c r="T432" s="6"/>
      <c r="U432" s="5"/>
      <c r="V432" s="6"/>
      <c r="W432" s="7"/>
      <c r="X432" s="8"/>
      <c r="Y432" s="6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6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C432" s="6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  <c r="JC432" s="5"/>
      <c r="JD432" s="5"/>
      <c r="JE432" s="5"/>
      <c r="JF432" s="5"/>
      <c r="JG432" s="5"/>
      <c r="JH432" s="5"/>
      <c r="JI432" s="5"/>
      <c r="JJ432" s="5"/>
      <c r="JK432" s="5"/>
      <c r="JM432" s="19"/>
      <c r="JO432" s="5"/>
      <c r="JP432" s="5"/>
      <c r="JQ432" s="5"/>
      <c r="JR432" s="5"/>
      <c r="JS432" s="6"/>
      <c r="JT432" s="23"/>
      <c r="JU432" s="13"/>
      <c r="JV432" s="6"/>
      <c r="JW432" s="6"/>
      <c r="JX432" s="6"/>
      <c r="JY432" s="6"/>
      <c r="JZ432" s="10"/>
      <c r="KA432" s="10"/>
      <c r="KB432" s="10"/>
      <c r="KC432" s="10"/>
      <c r="KD432" s="5"/>
      <c r="KE432" s="6"/>
    </row>
    <row r="433" spans="6:291" x14ac:dyDescent="0.3">
      <c r="F433" s="17"/>
      <c r="G433" s="9"/>
      <c r="H433" s="3"/>
      <c r="I433" s="3"/>
      <c r="J433" s="3"/>
      <c r="K433" s="3"/>
      <c r="L433" s="3"/>
      <c r="M433" s="3"/>
      <c r="N433" s="3"/>
      <c r="O433" s="3"/>
      <c r="P433" s="4"/>
      <c r="Q433" s="5"/>
      <c r="R433" s="5"/>
      <c r="S433" s="5"/>
      <c r="T433" s="6"/>
      <c r="U433" s="5"/>
      <c r="V433" s="6"/>
      <c r="W433" s="7"/>
      <c r="X433" s="8"/>
      <c r="Y433" s="6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6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C433" s="6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  <c r="JC433" s="5"/>
      <c r="JD433" s="5"/>
      <c r="JE433" s="5"/>
      <c r="JF433" s="5"/>
      <c r="JG433" s="5"/>
      <c r="JH433" s="5"/>
      <c r="JI433" s="5"/>
      <c r="JJ433" s="5"/>
      <c r="JK433" s="5"/>
      <c r="JM433" s="19"/>
      <c r="JO433" s="5"/>
      <c r="JP433" s="5"/>
      <c r="JQ433" s="5"/>
      <c r="JR433" s="5"/>
      <c r="JS433" s="6"/>
      <c r="JT433" s="23"/>
      <c r="JU433" s="13"/>
      <c r="JV433" s="6"/>
      <c r="JW433" s="6"/>
      <c r="JX433" s="6"/>
      <c r="JY433" s="6"/>
      <c r="JZ433" s="10"/>
      <c r="KA433" s="10"/>
      <c r="KB433" s="10"/>
      <c r="KC433" s="10"/>
      <c r="KD433" s="5"/>
      <c r="KE433" s="6"/>
    </row>
    <row r="434" spans="6:291" x14ac:dyDescent="0.3">
      <c r="F434" s="17"/>
      <c r="G434" s="9"/>
      <c r="H434" s="3"/>
      <c r="I434" s="3"/>
      <c r="J434" s="3"/>
      <c r="K434" s="3"/>
      <c r="L434" s="3"/>
      <c r="M434" s="3"/>
      <c r="N434" s="3"/>
      <c r="O434" s="3"/>
      <c r="P434" s="4"/>
      <c r="Q434" s="5"/>
      <c r="R434" s="5"/>
      <c r="S434" s="5"/>
      <c r="T434" s="6"/>
      <c r="U434" s="5"/>
      <c r="V434" s="6"/>
      <c r="W434" s="7"/>
      <c r="X434" s="8"/>
      <c r="Y434" s="6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6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C434" s="6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  <c r="JC434" s="5"/>
      <c r="JD434" s="5"/>
      <c r="JE434" s="5"/>
      <c r="JF434" s="5"/>
      <c r="JG434" s="5"/>
      <c r="JH434" s="5"/>
      <c r="JI434" s="5"/>
      <c r="JJ434" s="5"/>
      <c r="JK434" s="5"/>
      <c r="JM434" s="19"/>
      <c r="JO434" s="5"/>
      <c r="JP434" s="5"/>
      <c r="JQ434" s="5"/>
      <c r="JR434" s="5"/>
      <c r="JS434" s="6"/>
      <c r="JT434" s="23"/>
      <c r="JU434" s="13"/>
      <c r="JV434" s="6"/>
      <c r="JW434" s="6"/>
      <c r="JX434" s="6"/>
      <c r="JY434" s="6"/>
      <c r="JZ434" s="10"/>
      <c r="KA434" s="10"/>
      <c r="KB434" s="10"/>
      <c r="KC434" s="10"/>
      <c r="KD434" s="5"/>
      <c r="KE434" s="6"/>
    </row>
    <row r="435" spans="6:291" x14ac:dyDescent="0.3">
      <c r="F435" s="17"/>
      <c r="G435" s="9"/>
      <c r="H435" s="3"/>
      <c r="I435" s="3"/>
      <c r="J435" s="3"/>
      <c r="K435" s="3"/>
      <c r="L435" s="3"/>
      <c r="M435" s="3"/>
      <c r="N435" s="3"/>
      <c r="O435" s="3"/>
      <c r="P435" s="4"/>
      <c r="Q435" s="5"/>
      <c r="R435" s="5"/>
      <c r="S435" s="5"/>
      <c r="T435" s="6"/>
      <c r="U435" s="5"/>
      <c r="V435" s="6"/>
      <c r="W435" s="7"/>
      <c r="X435" s="8"/>
      <c r="Y435" s="6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6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C435" s="6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  <c r="JC435" s="5"/>
      <c r="JD435" s="5"/>
      <c r="JE435" s="5"/>
      <c r="JF435" s="5"/>
      <c r="JG435" s="5"/>
      <c r="JH435" s="5"/>
      <c r="JI435" s="5"/>
      <c r="JJ435" s="5"/>
      <c r="JK435" s="5"/>
      <c r="JM435" s="19"/>
      <c r="JO435" s="5"/>
      <c r="JP435" s="5"/>
      <c r="JQ435" s="5"/>
      <c r="JR435" s="5"/>
      <c r="JS435" s="6"/>
      <c r="JT435" s="23"/>
      <c r="JU435" s="13"/>
      <c r="JV435" s="6"/>
      <c r="JW435" s="6"/>
      <c r="JX435" s="6"/>
      <c r="JY435" s="6"/>
      <c r="JZ435" s="10"/>
      <c r="KA435" s="10"/>
      <c r="KB435" s="10"/>
      <c r="KC435" s="10"/>
      <c r="KD435" s="5"/>
      <c r="KE435" s="6"/>
    </row>
    <row r="436" spans="6:291" x14ac:dyDescent="0.3">
      <c r="F436" s="17"/>
      <c r="G436" s="9"/>
      <c r="H436" s="3"/>
      <c r="I436" s="3"/>
      <c r="J436" s="3"/>
      <c r="K436" s="3"/>
      <c r="L436" s="3"/>
      <c r="M436" s="3"/>
      <c r="N436" s="3"/>
      <c r="O436" s="3"/>
      <c r="P436" s="4"/>
      <c r="Q436" s="5"/>
      <c r="R436" s="5"/>
      <c r="S436" s="5"/>
      <c r="T436" s="6"/>
      <c r="U436" s="5"/>
      <c r="V436" s="6"/>
      <c r="W436" s="7"/>
      <c r="X436" s="8"/>
      <c r="Y436" s="6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6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C436" s="6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  <c r="JC436" s="5"/>
      <c r="JD436" s="5"/>
      <c r="JE436" s="5"/>
      <c r="JF436" s="5"/>
      <c r="JG436" s="5"/>
      <c r="JH436" s="5"/>
      <c r="JI436" s="5"/>
      <c r="JJ436" s="5"/>
      <c r="JK436" s="5"/>
      <c r="JM436" s="19"/>
      <c r="JO436" s="5"/>
      <c r="JP436" s="5"/>
      <c r="JQ436" s="5"/>
      <c r="JR436" s="5"/>
      <c r="JS436" s="6"/>
      <c r="JT436" s="23"/>
      <c r="JU436" s="13"/>
      <c r="JV436" s="6"/>
      <c r="JW436" s="6"/>
      <c r="JX436" s="6"/>
      <c r="JY436" s="6"/>
      <c r="JZ436" s="10"/>
      <c r="KA436" s="10"/>
      <c r="KB436" s="10"/>
      <c r="KC436" s="10"/>
      <c r="KD436" s="5"/>
      <c r="KE436" s="6"/>
    </row>
    <row r="437" spans="6:291" x14ac:dyDescent="0.3">
      <c r="F437" s="17"/>
      <c r="G437" s="9"/>
      <c r="H437" s="3"/>
      <c r="I437" s="3"/>
      <c r="J437" s="3"/>
      <c r="K437" s="3"/>
      <c r="L437" s="3"/>
      <c r="M437" s="3"/>
      <c r="N437" s="3"/>
      <c r="O437" s="3"/>
      <c r="P437" s="4"/>
      <c r="Q437" s="5"/>
      <c r="R437" s="5"/>
      <c r="S437" s="5"/>
      <c r="T437" s="6"/>
      <c r="U437" s="5"/>
      <c r="V437" s="6"/>
      <c r="W437" s="7"/>
      <c r="X437" s="8"/>
      <c r="Y437" s="6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6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C437" s="6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  <c r="JC437" s="5"/>
      <c r="JD437" s="5"/>
      <c r="JE437" s="5"/>
      <c r="JF437" s="5"/>
      <c r="JG437" s="5"/>
      <c r="JH437" s="5"/>
      <c r="JI437" s="5"/>
      <c r="JJ437" s="5"/>
      <c r="JK437" s="5"/>
      <c r="JM437" s="19"/>
      <c r="JO437" s="5"/>
      <c r="JP437" s="5"/>
      <c r="JQ437" s="5"/>
      <c r="JR437" s="5"/>
      <c r="JS437" s="6"/>
      <c r="JT437" s="23"/>
      <c r="JU437" s="13"/>
      <c r="JV437" s="6"/>
      <c r="JW437" s="6"/>
      <c r="JX437" s="6"/>
      <c r="JY437" s="6"/>
      <c r="JZ437" s="10"/>
      <c r="KA437" s="10"/>
      <c r="KB437" s="10"/>
      <c r="KC437" s="10"/>
      <c r="KD437" s="5"/>
      <c r="KE437" s="6"/>
    </row>
    <row r="438" spans="6:291" x14ac:dyDescent="0.3">
      <c r="F438" s="17"/>
      <c r="G438" s="9"/>
      <c r="H438" s="3"/>
      <c r="I438" s="3"/>
      <c r="J438" s="3"/>
      <c r="K438" s="3"/>
      <c r="L438" s="3"/>
      <c r="M438" s="3"/>
      <c r="N438" s="3"/>
      <c r="O438" s="3"/>
      <c r="P438" s="4"/>
      <c r="Q438" s="5"/>
      <c r="R438" s="5"/>
      <c r="S438" s="5"/>
      <c r="T438" s="6"/>
      <c r="U438" s="5"/>
      <c r="V438" s="6"/>
      <c r="W438" s="7"/>
      <c r="X438" s="8"/>
      <c r="Y438" s="6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6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C438" s="6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  <c r="JC438" s="5"/>
      <c r="JD438" s="5"/>
      <c r="JE438" s="5"/>
      <c r="JF438" s="5"/>
      <c r="JG438" s="5"/>
      <c r="JH438" s="5"/>
      <c r="JI438" s="5"/>
      <c r="JJ438" s="5"/>
      <c r="JK438" s="5"/>
      <c r="JM438" s="19"/>
      <c r="JO438" s="5"/>
      <c r="JP438" s="5"/>
      <c r="JQ438" s="5"/>
      <c r="JR438" s="5"/>
      <c r="JS438" s="6"/>
      <c r="JT438" s="23"/>
      <c r="JU438" s="13"/>
      <c r="JV438" s="6"/>
      <c r="JW438" s="6"/>
      <c r="JX438" s="6"/>
      <c r="JY438" s="6"/>
      <c r="JZ438" s="10"/>
      <c r="KA438" s="10"/>
      <c r="KB438" s="10"/>
      <c r="KC438" s="10"/>
      <c r="KD438" s="5"/>
      <c r="KE438" s="6"/>
    </row>
    <row r="439" spans="6:291" x14ac:dyDescent="0.3">
      <c r="F439" s="17"/>
      <c r="G439" s="9"/>
      <c r="H439" s="3"/>
      <c r="I439" s="3"/>
      <c r="J439" s="3"/>
      <c r="K439" s="3"/>
      <c r="L439" s="3"/>
      <c r="M439" s="3"/>
      <c r="N439" s="3"/>
      <c r="O439" s="3"/>
      <c r="P439" s="4"/>
      <c r="Q439" s="5"/>
      <c r="R439" s="5"/>
      <c r="S439" s="5"/>
      <c r="T439" s="6"/>
      <c r="U439" s="5"/>
      <c r="V439" s="6"/>
      <c r="W439" s="7"/>
      <c r="X439" s="8"/>
      <c r="Y439" s="6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6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C439" s="6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  <c r="JC439" s="5"/>
      <c r="JD439" s="5"/>
      <c r="JE439" s="5"/>
      <c r="JF439" s="5"/>
      <c r="JG439" s="5"/>
      <c r="JH439" s="5"/>
      <c r="JI439" s="5"/>
      <c r="JJ439" s="5"/>
      <c r="JK439" s="5"/>
      <c r="JM439" s="19"/>
      <c r="JO439" s="5"/>
      <c r="JP439" s="5"/>
      <c r="JQ439" s="5"/>
      <c r="JR439" s="5"/>
      <c r="JS439" s="6"/>
      <c r="JT439" s="23"/>
      <c r="JU439" s="13"/>
      <c r="JV439" s="6"/>
      <c r="JW439" s="6"/>
      <c r="JX439" s="6"/>
      <c r="JY439" s="6"/>
      <c r="JZ439" s="10"/>
      <c r="KA439" s="10"/>
      <c r="KB439" s="10"/>
      <c r="KC439" s="10"/>
      <c r="KD439" s="5"/>
      <c r="KE439" s="6"/>
    </row>
    <row r="440" spans="6:291" x14ac:dyDescent="0.3">
      <c r="F440" s="17"/>
      <c r="G440" s="9"/>
      <c r="H440" s="3"/>
      <c r="I440" s="3"/>
      <c r="J440" s="3"/>
      <c r="K440" s="3"/>
      <c r="L440" s="3"/>
      <c r="M440" s="3"/>
      <c r="N440" s="3"/>
      <c r="O440" s="3"/>
      <c r="P440" s="4"/>
      <c r="Q440" s="5"/>
      <c r="R440" s="5"/>
      <c r="S440" s="5"/>
      <c r="T440" s="6"/>
      <c r="U440" s="5"/>
      <c r="V440" s="6"/>
      <c r="W440" s="7"/>
      <c r="X440" s="8"/>
      <c r="Y440" s="6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6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C440" s="6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  <c r="JC440" s="5"/>
      <c r="JD440" s="5"/>
      <c r="JE440" s="5"/>
      <c r="JF440" s="5"/>
      <c r="JG440" s="5"/>
      <c r="JH440" s="5"/>
      <c r="JI440" s="5"/>
      <c r="JJ440" s="5"/>
      <c r="JK440" s="5"/>
      <c r="JM440" s="19"/>
      <c r="JO440" s="5"/>
      <c r="JP440" s="5"/>
      <c r="JQ440" s="5"/>
      <c r="JR440" s="5"/>
      <c r="JS440" s="6"/>
      <c r="JT440" s="23"/>
      <c r="JU440" s="13"/>
      <c r="JV440" s="6"/>
      <c r="JW440" s="6"/>
      <c r="JX440" s="6"/>
      <c r="JY440" s="6"/>
      <c r="JZ440" s="10"/>
      <c r="KA440" s="10"/>
      <c r="KB440" s="10"/>
      <c r="KC440" s="10"/>
      <c r="KD440" s="5"/>
      <c r="KE440" s="6"/>
    </row>
    <row r="441" spans="6:291" x14ac:dyDescent="0.3">
      <c r="JO441" s="5"/>
      <c r="JP441" s="5"/>
      <c r="JQ441" s="5"/>
      <c r="JR441" s="5"/>
      <c r="JS441" s="6"/>
      <c r="JT441" s="23"/>
      <c r="JU441" s="13"/>
      <c r="JV441" s="6"/>
      <c r="JW441" s="6"/>
      <c r="JX441" s="6"/>
      <c r="JY441" s="6"/>
      <c r="JZ441" s="10"/>
      <c r="KA441" s="10"/>
      <c r="KB441" s="10"/>
      <c r="KC441" s="10"/>
      <c r="KD441" s="5"/>
      <c r="KE441" s="6"/>
    </row>
    <row r="442" spans="6:291" x14ac:dyDescent="0.3">
      <c r="JO442" s="5"/>
      <c r="JP442" s="5"/>
      <c r="JQ442" s="5"/>
      <c r="JR442" s="5"/>
      <c r="JS442" s="6"/>
      <c r="JT442" s="23"/>
      <c r="JU442" s="13"/>
      <c r="JV442" s="6"/>
      <c r="JW442" s="6"/>
      <c r="JX442" s="6"/>
      <c r="JY442" s="6"/>
      <c r="JZ442" s="10"/>
      <c r="KA442" s="10"/>
      <c r="KB442" s="10"/>
      <c r="KC442" s="10"/>
      <c r="KD442" s="5"/>
      <c r="KE442" s="6"/>
    </row>
    <row r="443" spans="6:291" x14ac:dyDescent="0.3">
      <c r="JO443" s="5"/>
      <c r="JP443" s="5"/>
      <c r="JQ443" s="5"/>
      <c r="JR443" s="5"/>
      <c r="JS443" s="6"/>
      <c r="JT443" s="23"/>
      <c r="JU443" s="13"/>
      <c r="JV443" s="6"/>
      <c r="JW443" s="6"/>
      <c r="JX443" s="6"/>
      <c r="JY443" s="6"/>
      <c r="JZ443" s="10"/>
      <c r="KA443" s="10"/>
      <c r="KB443" s="10"/>
      <c r="KC443" s="10"/>
      <c r="KD443" s="5"/>
      <c r="KE443" s="6"/>
    </row>
    <row r="444" spans="6:291" x14ac:dyDescent="0.3">
      <c r="JO444" s="5"/>
      <c r="JP444" s="5"/>
      <c r="JQ444" s="5"/>
      <c r="JR444" s="5"/>
      <c r="JS444" s="6"/>
      <c r="JT444" s="23"/>
      <c r="JU444" s="13"/>
      <c r="JV444" s="6"/>
      <c r="JW444" s="6"/>
      <c r="JX444" s="6"/>
      <c r="JY444" s="6"/>
      <c r="JZ444" s="10"/>
      <c r="KA444" s="10"/>
      <c r="KB444" s="10"/>
      <c r="KC444" s="10"/>
      <c r="KD444" s="5"/>
      <c r="KE444" s="6"/>
    </row>
    <row r="445" spans="6:291" x14ac:dyDescent="0.3">
      <c r="JO445" s="5"/>
      <c r="JP445" s="5"/>
      <c r="JQ445" s="5"/>
      <c r="JR445" s="5"/>
      <c r="JS445" s="6"/>
      <c r="JT445" s="23"/>
      <c r="JU445" s="13"/>
      <c r="JV445" s="6"/>
      <c r="JW445" s="6"/>
      <c r="JX445" s="6"/>
      <c r="JY445" s="6"/>
      <c r="JZ445" s="10"/>
      <c r="KA445" s="10"/>
      <c r="KB445" s="10"/>
      <c r="KC445" s="10"/>
      <c r="KD445" s="5"/>
      <c r="KE445" s="6"/>
    </row>
    <row r="446" spans="6:291" x14ac:dyDescent="0.3">
      <c r="JO446" s="5"/>
      <c r="JP446" s="5"/>
      <c r="JQ446" s="5"/>
      <c r="JR446" s="5"/>
      <c r="JS446" s="6"/>
      <c r="JT446" s="23"/>
      <c r="JU446" s="13"/>
      <c r="JV446" s="6"/>
      <c r="JW446" s="6"/>
      <c r="JX446" s="6"/>
      <c r="JY446" s="6"/>
      <c r="JZ446" s="10"/>
      <c r="KA446" s="10"/>
      <c r="KB446" s="10"/>
      <c r="KC446" s="10"/>
      <c r="KD446" s="5"/>
      <c r="KE446" s="6"/>
    </row>
    <row r="447" spans="6:291" x14ac:dyDescent="0.3">
      <c r="JO447" s="5"/>
      <c r="JP447" s="5"/>
      <c r="JQ447" s="5"/>
      <c r="JR447" s="5"/>
      <c r="JS447" s="6"/>
      <c r="JT447" s="23"/>
      <c r="JU447" s="13"/>
      <c r="JV447" s="6"/>
      <c r="JW447" s="6"/>
      <c r="JX447" s="6"/>
      <c r="JY447" s="6"/>
      <c r="JZ447" s="10"/>
      <c r="KA447" s="10"/>
      <c r="KB447" s="10"/>
      <c r="KC447" s="10"/>
      <c r="KD447" s="5"/>
      <c r="KE447" s="6"/>
    </row>
    <row r="448" spans="6:291" x14ac:dyDescent="0.3">
      <c r="JO448" s="5"/>
      <c r="JP448" s="5"/>
      <c r="JQ448" s="5"/>
      <c r="JR448" s="5"/>
      <c r="JS448" s="6"/>
      <c r="JT448" s="23"/>
      <c r="JU448" s="13"/>
      <c r="JV448" s="6"/>
      <c r="JW448" s="6"/>
      <c r="JX448" s="6"/>
      <c r="JY448" s="6"/>
      <c r="JZ448" s="10"/>
      <c r="KA448" s="10"/>
      <c r="KB448" s="10"/>
      <c r="KC448" s="10"/>
      <c r="KD448" s="5"/>
      <c r="KE448" s="6"/>
    </row>
    <row r="449" spans="275:291" x14ac:dyDescent="0.3">
      <c r="JO449" s="5"/>
      <c r="JP449" s="5"/>
      <c r="JQ449" s="5"/>
      <c r="JR449" s="5"/>
      <c r="JS449" s="6"/>
      <c r="JT449" s="23"/>
      <c r="JU449" s="13"/>
      <c r="JV449" s="6"/>
      <c r="JW449" s="6"/>
      <c r="JX449" s="6"/>
      <c r="JY449" s="6"/>
      <c r="JZ449" s="10"/>
      <c r="KA449" s="10"/>
      <c r="KB449" s="10"/>
      <c r="KC449" s="10"/>
      <c r="KD449" s="5"/>
      <c r="KE449" s="6"/>
    </row>
    <row r="450" spans="275:291" x14ac:dyDescent="0.3">
      <c r="JO450" s="5"/>
      <c r="JP450" s="5"/>
      <c r="JQ450" s="5"/>
      <c r="JR450" s="5"/>
      <c r="JS450" s="6"/>
      <c r="JT450" s="23"/>
      <c r="JU450" s="13"/>
      <c r="JV450" s="6"/>
      <c r="JW450" s="6"/>
      <c r="JX450" s="6"/>
      <c r="JY450" s="6"/>
      <c r="JZ450" s="10"/>
      <c r="KA450" s="10"/>
      <c r="KB450" s="10"/>
      <c r="KC450" s="10"/>
      <c r="KD450" s="5"/>
      <c r="KE450" s="6"/>
    </row>
    <row r="451" spans="275:291" x14ac:dyDescent="0.3">
      <c r="JO451" s="5"/>
      <c r="JP451" s="5"/>
      <c r="JQ451" s="5"/>
      <c r="JR451" s="5"/>
      <c r="JS451" s="6"/>
      <c r="JT451" s="23"/>
      <c r="JU451" s="13"/>
      <c r="JV451" s="6"/>
      <c r="JW451" s="6"/>
      <c r="JX451" s="6"/>
      <c r="JY451" s="6"/>
      <c r="JZ451" s="10"/>
      <c r="KA451" s="10"/>
      <c r="KB451" s="10"/>
      <c r="KC451" s="10"/>
      <c r="KD451" s="5"/>
      <c r="KE451" s="6"/>
    </row>
    <row r="452" spans="275:291" x14ac:dyDescent="0.3">
      <c r="JO452" s="5"/>
      <c r="JP452" s="5"/>
      <c r="JQ452" s="5"/>
      <c r="JR452" s="5"/>
      <c r="JS452" s="6"/>
      <c r="JT452" s="23"/>
      <c r="JU452" s="13"/>
      <c r="JV452" s="6"/>
      <c r="JW452" s="6"/>
      <c r="JX452" s="6"/>
      <c r="JY452" s="6"/>
      <c r="JZ452" s="10"/>
      <c r="KA452" s="10"/>
      <c r="KB452" s="10"/>
      <c r="KC452" s="10"/>
      <c r="KD452" s="5"/>
      <c r="KE452" s="6"/>
    </row>
    <row r="453" spans="275:291" x14ac:dyDescent="0.3">
      <c r="JO453" s="5"/>
      <c r="JP453" s="5"/>
      <c r="JQ453" s="5"/>
      <c r="JR453" s="5"/>
      <c r="JS453" s="6"/>
      <c r="JT453" s="23"/>
      <c r="JU453" s="13"/>
      <c r="JV453" s="6"/>
      <c r="JW453" s="6"/>
      <c r="JX453" s="6"/>
      <c r="JY453" s="6"/>
      <c r="JZ453" s="10"/>
      <c r="KA453" s="10"/>
      <c r="KB453" s="10"/>
      <c r="KC453" s="10"/>
      <c r="KD453" s="5"/>
      <c r="KE453" s="6"/>
    </row>
    <row r="454" spans="275:291" x14ac:dyDescent="0.3">
      <c r="JO454" s="5"/>
      <c r="JP454" s="5"/>
      <c r="JQ454" s="5"/>
      <c r="JR454" s="5"/>
      <c r="JS454" s="6"/>
      <c r="JT454" s="23"/>
      <c r="JU454" s="13"/>
      <c r="JV454" s="6"/>
      <c r="JW454" s="6"/>
      <c r="JX454" s="6"/>
      <c r="JY454" s="6"/>
      <c r="JZ454" s="10"/>
      <c r="KA454" s="10"/>
      <c r="KB454" s="10"/>
      <c r="KC454" s="10"/>
      <c r="KD454" s="5"/>
      <c r="KE454" s="6"/>
    </row>
    <row r="455" spans="275:291" x14ac:dyDescent="0.3">
      <c r="JO455" s="5"/>
      <c r="JP455" s="5"/>
      <c r="JQ455" s="5"/>
      <c r="JR455" s="5"/>
      <c r="JS455" s="6"/>
      <c r="JT455" s="23"/>
      <c r="JU455" s="13"/>
      <c r="JV455" s="6"/>
      <c r="JW455" s="6"/>
      <c r="JX455" s="6"/>
      <c r="JY455" s="6"/>
      <c r="JZ455" s="10"/>
      <c r="KA455" s="10"/>
      <c r="KB455" s="10"/>
      <c r="KC455" s="10"/>
      <c r="KD455" s="5"/>
      <c r="KE455" s="6"/>
    </row>
    <row r="456" spans="275:291" x14ac:dyDescent="0.3">
      <c r="JO456" s="5"/>
      <c r="JP456" s="5"/>
      <c r="JQ456" s="5"/>
      <c r="JR456" s="5"/>
      <c r="JS456" s="6"/>
      <c r="JT456" s="23"/>
      <c r="JU456" s="13"/>
      <c r="JV456" s="6"/>
      <c r="JW456" s="6"/>
      <c r="JX456" s="6"/>
      <c r="JY456" s="6"/>
      <c r="JZ456" s="10"/>
      <c r="KA456" s="10"/>
      <c r="KB456" s="10"/>
      <c r="KC456" s="10"/>
      <c r="KD456" s="5"/>
      <c r="KE456" s="6"/>
    </row>
    <row r="457" spans="275:291" x14ac:dyDescent="0.3">
      <c r="JO457" s="5"/>
      <c r="JP457" s="5"/>
      <c r="JQ457" s="5"/>
      <c r="JR457" s="5"/>
      <c r="JS457" s="6"/>
      <c r="JT457" s="23"/>
      <c r="JU457" s="13"/>
      <c r="JV457" s="6"/>
      <c r="JW457" s="6"/>
      <c r="JX457" s="6"/>
      <c r="JY457" s="6"/>
      <c r="JZ457" s="10"/>
      <c r="KA457" s="10"/>
      <c r="KB457" s="10"/>
      <c r="KC457" s="10"/>
      <c r="KD457" s="5"/>
      <c r="KE457" s="6"/>
    </row>
    <row r="458" spans="275:291" x14ac:dyDescent="0.3">
      <c r="JO458" s="5"/>
      <c r="JP458" s="5"/>
      <c r="JQ458" s="5"/>
      <c r="JR458" s="5"/>
      <c r="JS458" s="6"/>
      <c r="JT458" s="23"/>
      <c r="JU458" s="13"/>
      <c r="JV458" s="6"/>
      <c r="JW458" s="6"/>
      <c r="JX458" s="6"/>
      <c r="JY458" s="6"/>
      <c r="JZ458" s="10"/>
      <c r="KA458" s="10"/>
      <c r="KB458" s="10"/>
      <c r="KC458" s="10"/>
      <c r="KD458" s="5"/>
      <c r="KE458" s="6"/>
    </row>
    <row r="459" spans="275:291" x14ac:dyDescent="0.3">
      <c r="JO459" s="5"/>
      <c r="JP459" s="5"/>
      <c r="JQ459" s="5"/>
      <c r="JR459" s="5"/>
      <c r="JS459" s="6"/>
      <c r="JT459" s="23"/>
      <c r="JU459" s="13"/>
      <c r="JV459" s="6"/>
      <c r="JW459" s="6"/>
      <c r="JX459" s="6"/>
      <c r="JY459" s="6"/>
      <c r="JZ459" s="10"/>
      <c r="KA459" s="10"/>
      <c r="KB459" s="10"/>
      <c r="KC459" s="10"/>
      <c r="KD459" s="5"/>
      <c r="KE459" s="6"/>
    </row>
    <row r="460" spans="275:291" x14ac:dyDescent="0.3">
      <c r="JO460" s="5"/>
      <c r="JP460" s="5"/>
      <c r="JQ460" s="5"/>
      <c r="JR460" s="5"/>
      <c r="JS460" s="6"/>
      <c r="JT460" s="23"/>
      <c r="JU460" s="13"/>
      <c r="JV460" s="6"/>
      <c r="JW460" s="6"/>
      <c r="JX460" s="6"/>
      <c r="JY460" s="6"/>
      <c r="JZ460" s="10"/>
      <c r="KA460" s="10"/>
      <c r="KB460" s="10"/>
      <c r="KC460" s="10"/>
      <c r="KD460" s="5"/>
      <c r="KE460" s="6"/>
    </row>
    <row r="461" spans="275:291" x14ac:dyDescent="0.3">
      <c r="JO461" s="5"/>
      <c r="JP461" s="5"/>
      <c r="JQ461" s="5"/>
      <c r="JR461" s="5"/>
      <c r="JS461" s="6"/>
      <c r="JT461" s="23"/>
      <c r="JU461" s="13"/>
      <c r="JV461" s="6"/>
      <c r="JW461" s="6"/>
      <c r="JX461" s="6"/>
      <c r="JY461" s="6"/>
      <c r="JZ461" s="10"/>
      <c r="KA461" s="10"/>
      <c r="KB461" s="10"/>
      <c r="KC461" s="10"/>
      <c r="KD461" s="5"/>
      <c r="KE461" s="6"/>
    </row>
    <row r="462" spans="275:291" x14ac:dyDescent="0.3">
      <c r="JO462" s="5"/>
      <c r="JP462" s="5"/>
      <c r="JQ462" s="5"/>
      <c r="JR462" s="5"/>
      <c r="JS462" s="6"/>
      <c r="JT462" s="23"/>
      <c r="JU462" s="13"/>
      <c r="JV462" s="6"/>
      <c r="JW462" s="6"/>
      <c r="JX462" s="6"/>
      <c r="JY462" s="6"/>
      <c r="JZ462" s="10"/>
      <c r="KA462" s="10"/>
      <c r="KB462" s="10"/>
      <c r="KC462" s="10"/>
      <c r="KD462" s="5"/>
      <c r="KE462" s="6"/>
    </row>
    <row r="463" spans="275:291" x14ac:dyDescent="0.3">
      <c r="JO463" s="5"/>
      <c r="JP463" s="5"/>
      <c r="JQ463" s="5"/>
      <c r="JR463" s="5"/>
      <c r="JS463" s="6"/>
      <c r="JT463" s="23"/>
      <c r="JU463" s="13"/>
      <c r="JV463" s="6"/>
      <c r="JW463" s="6"/>
      <c r="JX463" s="6"/>
      <c r="JY463" s="6"/>
      <c r="JZ463" s="10"/>
      <c r="KA463" s="10"/>
      <c r="KB463" s="10"/>
      <c r="KC463" s="10"/>
      <c r="KD463" s="5"/>
      <c r="KE463" s="6"/>
    </row>
    <row r="464" spans="275:291" x14ac:dyDescent="0.3">
      <c r="JO464" s="5"/>
      <c r="JP464" s="5"/>
      <c r="JQ464" s="5"/>
      <c r="JR464" s="5"/>
      <c r="JS464" s="6"/>
      <c r="JT464" s="23"/>
      <c r="JU464" s="13"/>
      <c r="JV464" s="6"/>
      <c r="JW464" s="6"/>
      <c r="JX464" s="6"/>
      <c r="JY464" s="6"/>
      <c r="JZ464" s="10"/>
      <c r="KA464" s="10"/>
      <c r="KB464" s="10"/>
      <c r="KC464" s="10"/>
      <c r="KD464" s="5"/>
      <c r="KE464" s="6"/>
    </row>
    <row r="465" spans="275:291" x14ac:dyDescent="0.3">
      <c r="JO465" s="5"/>
      <c r="JP465" s="5"/>
      <c r="JQ465" s="5"/>
      <c r="JR465" s="5"/>
      <c r="JS465" s="6"/>
      <c r="JT465" s="23"/>
      <c r="JU465" s="13"/>
      <c r="JV465" s="6"/>
      <c r="JW465" s="6"/>
      <c r="JX465" s="6"/>
      <c r="JY465" s="6"/>
      <c r="JZ465" s="10"/>
      <c r="KA465" s="10"/>
      <c r="KB465" s="10"/>
      <c r="KC465" s="10"/>
      <c r="KD465" s="5"/>
      <c r="KE465" s="6"/>
    </row>
    <row r="466" spans="275:291" x14ac:dyDescent="0.3">
      <c r="JO466" s="5"/>
      <c r="JP466" s="5"/>
      <c r="JQ466" s="5"/>
      <c r="JR466" s="5"/>
      <c r="JS466" s="6"/>
      <c r="JT466" s="23"/>
      <c r="JU466" s="13"/>
      <c r="JV466" s="6"/>
      <c r="JW466" s="6"/>
      <c r="JX466" s="6"/>
      <c r="JY466" s="6"/>
      <c r="JZ466" s="10"/>
      <c r="KA466" s="10"/>
      <c r="KB466" s="10"/>
      <c r="KC466" s="10"/>
      <c r="KD466" s="5"/>
      <c r="KE466" s="6"/>
    </row>
    <row r="467" spans="275:291" x14ac:dyDescent="0.3">
      <c r="JO467" s="5"/>
      <c r="JP467" s="5"/>
      <c r="JQ467" s="5"/>
      <c r="JR467" s="5"/>
      <c r="JS467" s="6"/>
      <c r="JT467" s="23"/>
      <c r="JU467" s="13"/>
      <c r="JV467" s="6"/>
      <c r="JW467" s="6"/>
      <c r="JX467" s="6"/>
      <c r="JY467" s="6"/>
      <c r="JZ467" s="10"/>
      <c r="KA467" s="10"/>
      <c r="KB467" s="10"/>
      <c r="KC467" s="10"/>
      <c r="KD467" s="5"/>
      <c r="KE467" s="6"/>
    </row>
    <row r="468" spans="275:291" x14ac:dyDescent="0.3">
      <c r="JO468" s="5"/>
      <c r="JP468" s="5"/>
      <c r="JQ468" s="5"/>
      <c r="JR468" s="5"/>
      <c r="JS468" s="6"/>
      <c r="JT468" s="23"/>
      <c r="JU468" s="13"/>
      <c r="JV468" s="6"/>
      <c r="JW468" s="6"/>
      <c r="JX468" s="6"/>
      <c r="JY468" s="6"/>
      <c r="JZ468" s="10"/>
      <c r="KA468" s="10"/>
      <c r="KB468" s="10"/>
      <c r="KC468" s="10"/>
      <c r="KD468" s="5"/>
      <c r="KE468" s="6"/>
    </row>
    <row r="469" spans="275:291" x14ac:dyDescent="0.3">
      <c r="JO469" s="5"/>
      <c r="JP469" s="5"/>
      <c r="JQ469" s="5"/>
      <c r="JR469" s="5"/>
      <c r="JS469" s="6"/>
      <c r="JT469" s="23"/>
      <c r="JU469" s="13"/>
      <c r="JV469" s="6"/>
      <c r="JW469" s="6"/>
      <c r="JX469" s="6"/>
      <c r="JY469" s="6"/>
      <c r="JZ469" s="10"/>
      <c r="KA469" s="10"/>
      <c r="KB469" s="10"/>
      <c r="KC469" s="10"/>
      <c r="KD469" s="5"/>
      <c r="KE469" s="6"/>
    </row>
    <row r="470" spans="275:291" x14ac:dyDescent="0.3">
      <c r="JO470" s="5"/>
      <c r="JP470" s="5"/>
      <c r="JQ470" s="5"/>
      <c r="JR470" s="5"/>
      <c r="JS470" s="6"/>
      <c r="JT470" s="23"/>
      <c r="JU470" s="13"/>
      <c r="JV470" s="6"/>
      <c r="JW470" s="6"/>
      <c r="JX470" s="6"/>
      <c r="JY470" s="6"/>
      <c r="JZ470" s="10"/>
      <c r="KA470" s="10"/>
      <c r="KB470" s="10"/>
      <c r="KC470" s="10"/>
      <c r="KD470" s="5"/>
      <c r="KE470" s="6"/>
    </row>
    <row r="471" spans="275:291" x14ac:dyDescent="0.3">
      <c r="JO471" s="5"/>
      <c r="JP471" s="5"/>
      <c r="JQ471" s="5"/>
      <c r="JR471" s="5"/>
      <c r="JS471" s="6"/>
      <c r="JT471" s="23"/>
      <c r="JU471" s="13"/>
      <c r="JV471" s="6"/>
      <c r="JW471" s="6"/>
      <c r="JX471" s="6"/>
      <c r="JY471" s="6"/>
      <c r="JZ471" s="10"/>
      <c r="KA471" s="10"/>
      <c r="KB471" s="10"/>
      <c r="KC471" s="10"/>
      <c r="KD471" s="5"/>
      <c r="KE471" s="6"/>
    </row>
    <row r="472" spans="275:291" x14ac:dyDescent="0.3">
      <c r="JO472" s="5"/>
      <c r="JP472" s="5"/>
      <c r="JQ472" s="5"/>
      <c r="JR472" s="5"/>
      <c r="JS472" s="6"/>
      <c r="JT472" s="23"/>
      <c r="JU472" s="13"/>
      <c r="JV472" s="6"/>
      <c r="JW472" s="6"/>
      <c r="JX472" s="6"/>
      <c r="JY472" s="6"/>
      <c r="JZ472" s="10"/>
      <c r="KA472" s="10"/>
      <c r="KB472" s="10"/>
      <c r="KC472" s="10"/>
      <c r="KD472" s="5"/>
      <c r="KE472" s="6"/>
    </row>
    <row r="473" spans="275:291" x14ac:dyDescent="0.3">
      <c r="JO473" s="5"/>
      <c r="JP473" s="5"/>
      <c r="JQ473" s="5"/>
      <c r="JR473" s="5"/>
      <c r="JS473" s="6"/>
      <c r="JT473" s="23"/>
      <c r="JU473" s="13"/>
      <c r="JV473" s="6"/>
      <c r="JW473" s="6"/>
      <c r="JX473" s="6"/>
      <c r="JY473" s="6"/>
      <c r="JZ473" s="10"/>
      <c r="KA473" s="10"/>
      <c r="KB473" s="10"/>
      <c r="KC473" s="10"/>
      <c r="KD473" s="5"/>
      <c r="KE473" s="6"/>
    </row>
    <row r="474" spans="275:291" x14ac:dyDescent="0.3">
      <c r="JO474" s="5"/>
      <c r="JP474" s="5"/>
      <c r="JQ474" s="5"/>
      <c r="JR474" s="5"/>
      <c r="JS474" s="6"/>
      <c r="JT474" s="23"/>
      <c r="JU474" s="13"/>
      <c r="JV474" s="6"/>
      <c r="JW474" s="6"/>
      <c r="JX474" s="6"/>
      <c r="JY474" s="6"/>
      <c r="JZ474" s="10"/>
      <c r="KA474" s="10"/>
      <c r="KB474" s="10"/>
      <c r="KC474" s="10"/>
      <c r="KD474" s="5"/>
      <c r="KE474" s="6"/>
    </row>
    <row r="475" spans="275:291" x14ac:dyDescent="0.3">
      <c r="JO475" s="5"/>
      <c r="JP475" s="5"/>
      <c r="JQ475" s="5"/>
      <c r="JR475" s="5"/>
      <c r="JS475" s="6"/>
      <c r="JT475" s="23"/>
      <c r="JU475" s="13"/>
      <c r="JV475" s="6"/>
      <c r="JW475" s="6"/>
      <c r="JX475" s="6"/>
      <c r="JY475" s="6"/>
      <c r="JZ475" s="10"/>
      <c r="KA475" s="10"/>
      <c r="KB475" s="10"/>
      <c r="KC475" s="10"/>
      <c r="KD475" s="5"/>
      <c r="KE475" s="6"/>
    </row>
    <row r="476" spans="275:291" x14ac:dyDescent="0.3">
      <c r="JO476" s="5"/>
      <c r="JP476" s="5"/>
      <c r="JQ476" s="5"/>
      <c r="JR476" s="5"/>
      <c r="JS476" s="6"/>
      <c r="JT476" s="23"/>
      <c r="JU476" s="13"/>
      <c r="JV476" s="6"/>
      <c r="JW476" s="6"/>
      <c r="JX476" s="6"/>
      <c r="JY476" s="6"/>
      <c r="JZ476" s="10"/>
      <c r="KA476" s="10"/>
      <c r="KB476" s="10"/>
      <c r="KC476" s="10"/>
      <c r="KD476" s="5"/>
      <c r="KE476" s="6"/>
    </row>
    <row r="477" spans="275:291" x14ac:dyDescent="0.3">
      <c r="JO477" s="5"/>
      <c r="JP477" s="5"/>
      <c r="JQ477" s="5"/>
      <c r="JR477" s="5"/>
      <c r="JS477" s="6"/>
      <c r="JT477" s="23"/>
      <c r="JU477" s="13"/>
      <c r="JV477" s="6"/>
      <c r="JW477" s="6"/>
      <c r="JX477" s="6"/>
      <c r="JY477" s="6"/>
      <c r="JZ477" s="10"/>
      <c r="KA477" s="10"/>
      <c r="KB477" s="10"/>
      <c r="KC477" s="10"/>
      <c r="KD477" s="5"/>
      <c r="KE477" s="6"/>
    </row>
    <row r="478" spans="275:291" x14ac:dyDescent="0.3">
      <c r="JO478" s="5"/>
      <c r="JP478" s="5"/>
      <c r="JQ478" s="5"/>
      <c r="JR478" s="5"/>
      <c r="JS478" s="6"/>
      <c r="JT478" s="23"/>
      <c r="JU478" s="13"/>
      <c r="JV478" s="6"/>
      <c r="JW478" s="6"/>
      <c r="JX478" s="6"/>
      <c r="JY478" s="6"/>
      <c r="JZ478" s="10"/>
      <c r="KA478" s="10"/>
      <c r="KB478" s="10"/>
      <c r="KC478" s="10"/>
      <c r="KD478" s="5"/>
      <c r="KE478" s="6"/>
    </row>
    <row r="479" spans="275:291" x14ac:dyDescent="0.3">
      <c r="JO479" s="5"/>
      <c r="JP479" s="5"/>
      <c r="JQ479" s="5"/>
      <c r="JR479" s="5"/>
      <c r="JS479" s="6"/>
      <c r="JT479" s="23"/>
      <c r="JU479" s="13"/>
      <c r="JV479" s="6"/>
      <c r="JW479" s="6"/>
      <c r="JX479" s="6"/>
      <c r="JY479" s="6"/>
      <c r="JZ479" s="10"/>
      <c r="KA479" s="10"/>
      <c r="KB479" s="10"/>
      <c r="KC479" s="10"/>
      <c r="KD479" s="5"/>
      <c r="KE479" s="6"/>
    </row>
    <row r="480" spans="275:291" x14ac:dyDescent="0.3">
      <c r="JO480" s="5"/>
      <c r="JP480" s="5"/>
      <c r="JQ480" s="5"/>
      <c r="JR480" s="5"/>
      <c r="JS480" s="6"/>
      <c r="JT480" s="23"/>
      <c r="JU480" s="13"/>
      <c r="JV480" s="6"/>
      <c r="JW480" s="6"/>
      <c r="JX480" s="6"/>
      <c r="JY480" s="6"/>
      <c r="JZ480" s="10"/>
      <c r="KA480" s="10"/>
      <c r="KB480" s="10"/>
      <c r="KC480" s="10"/>
      <c r="KD480" s="5"/>
      <c r="KE480" s="6"/>
    </row>
    <row r="481" spans="275:291" x14ac:dyDescent="0.3">
      <c r="JO481" s="5"/>
      <c r="JP481" s="5"/>
      <c r="JQ481" s="5"/>
      <c r="JR481" s="5"/>
      <c r="JS481" s="6"/>
      <c r="JT481" s="23"/>
      <c r="JU481" s="13"/>
      <c r="JV481" s="6"/>
      <c r="JW481" s="6"/>
      <c r="JX481" s="6"/>
      <c r="JY481" s="6"/>
      <c r="JZ481" s="10"/>
      <c r="KA481" s="10"/>
      <c r="KB481" s="10"/>
      <c r="KC481" s="10"/>
      <c r="KD481" s="5"/>
      <c r="KE481" s="6"/>
    </row>
    <row r="482" spans="275:291" x14ac:dyDescent="0.3">
      <c r="JO482" s="5"/>
      <c r="JP482" s="5"/>
      <c r="JQ482" s="5"/>
      <c r="JR482" s="5"/>
      <c r="JS482" s="6"/>
      <c r="JT482" s="23"/>
      <c r="JU482" s="13"/>
      <c r="JV482" s="6"/>
      <c r="JW482" s="6"/>
      <c r="JX482" s="6"/>
      <c r="JY482" s="6"/>
      <c r="JZ482" s="10"/>
      <c r="KA482" s="10"/>
      <c r="KB482" s="10"/>
      <c r="KC482" s="10"/>
      <c r="KD482" s="5"/>
      <c r="KE482" s="6"/>
    </row>
    <row r="483" spans="275:291" x14ac:dyDescent="0.3">
      <c r="JO483" s="5"/>
      <c r="JP483" s="5"/>
      <c r="JQ483" s="5"/>
      <c r="JR483" s="5"/>
      <c r="JS483" s="6"/>
      <c r="JT483" s="23"/>
      <c r="JU483" s="13"/>
      <c r="JV483" s="6"/>
      <c r="JW483" s="6"/>
      <c r="JX483" s="6"/>
      <c r="JY483" s="6"/>
      <c r="JZ483" s="10"/>
      <c r="KA483" s="10"/>
      <c r="KB483" s="10"/>
      <c r="KC483" s="10"/>
      <c r="KD483" s="5"/>
      <c r="KE483" s="6"/>
    </row>
    <row r="484" spans="275:291" x14ac:dyDescent="0.3">
      <c r="JO484" s="5"/>
      <c r="JP484" s="5"/>
      <c r="JQ484" s="5"/>
      <c r="JR484" s="5"/>
      <c r="JS484" s="6"/>
      <c r="JT484" s="23"/>
      <c r="JU484" s="13"/>
      <c r="JV484" s="6"/>
      <c r="JW484" s="6"/>
      <c r="JX484" s="6"/>
      <c r="JY484" s="6"/>
      <c r="JZ484" s="10"/>
      <c r="KA484" s="10"/>
      <c r="KB484" s="10"/>
      <c r="KC484" s="10"/>
      <c r="KD484" s="5"/>
      <c r="KE484" s="6"/>
    </row>
    <row r="485" spans="275:291" x14ac:dyDescent="0.3">
      <c r="JO485" s="5"/>
      <c r="JP485" s="5"/>
      <c r="JQ485" s="5"/>
      <c r="JR485" s="5"/>
      <c r="JS485" s="6"/>
      <c r="JT485" s="23"/>
      <c r="JU485" s="13"/>
      <c r="JV485" s="6"/>
      <c r="JW485" s="6"/>
      <c r="JX485" s="6"/>
      <c r="JY485" s="6"/>
      <c r="JZ485" s="10"/>
      <c r="KA485" s="10"/>
      <c r="KB485" s="10"/>
      <c r="KC485" s="10"/>
      <c r="KD485" s="5"/>
      <c r="KE485" s="6"/>
    </row>
    <row r="486" spans="275:291" x14ac:dyDescent="0.3">
      <c r="JO486" s="5"/>
      <c r="JP486" s="5"/>
      <c r="JQ486" s="5"/>
      <c r="JR486" s="5"/>
      <c r="JS486" s="6"/>
      <c r="JT486" s="23"/>
      <c r="JU486" s="13"/>
      <c r="JV486" s="6"/>
      <c r="JW486" s="6"/>
      <c r="JX486" s="6"/>
      <c r="JY486" s="6"/>
      <c r="JZ486" s="10"/>
      <c r="KA486" s="10"/>
      <c r="KB486" s="10"/>
      <c r="KC486" s="10"/>
      <c r="KD486" s="5"/>
      <c r="KE486" s="6"/>
    </row>
    <row r="487" spans="275:291" x14ac:dyDescent="0.3">
      <c r="JO487" s="5"/>
      <c r="JP487" s="5"/>
      <c r="JQ487" s="5"/>
      <c r="JR487" s="5"/>
      <c r="JS487" s="6"/>
      <c r="JT487" s="23"/>
      <c r="JU487" s="13"/>
      <c r="JV487" s="6"/>
      <c r="JW487" s="6"/>
      <c r="JX487" s="6"/>
      <c r="JY487" s="6"/>
      <c r="JZ487" s="10"/>
      <c r="KA487" s="10"/>
      <c r="KB487" s="10"/>
      <c r="KC487" s="10"/>
      <c r="KD487" s="5"/>
      <c r="KE487" s="6"/>
    </row>
    <row r="488" spans="275:291" x14ac:dyDescent="0.3">
      <c r="JO488" s="5"/>
      <c r="JP488" s="5"/>
      <c r="JQ488" s="5"/>
      <c r="JR488" s="5"/>
      <c r="JS488" s="6"/>
      <c r="JT488" s="23"/>
      <c r="JU488" s="13"/>
      <c r="JV488" s="6"/>
      <c r="JW488" s="6"/>
      <c r="JX488" s="6"/>
      <c r="JY488" s="6"/>
      <c r="JZ488" s="10"/>
      <c r="KA488" s="10"/>
      <c r="KB488" s="10"/>
      <c r="KC488" s="10"/>
      <c r="KD488" s="5"/>
      <c r="KE488" s="6"/>
    </row>
    <row r="489" spans="275:291" x14ac:dyDescent="0.3">
      <c r="JO489" s="5"/>
      <c r="JP489" s="5"/>
      <c r="JQ489" s="5"/>
      <c r="JR489" s="5"/>
      <c r="JS489" s="6"/>
      <c r="JT489" s="23"/>
      <c r="JU489" s="13"/>
      <c r="JV489" s="6"/>
      <c r="JW489" s="6"/>
      <c r="JX489" s="6"/>
      <c r="JY489" s="6"/>
      <c r="JZ489" s="10"/>
      <c r="KA489" s="10"/>
      <c r="KB489" s="10"/>
      <c r="KC489" s="10"/>
      <c r="KD489" s="5"/>
      <c r="KE489" s="6"/>
    </row>
    <row r="490" spans="275:291" x14ac:dyDescent="0.3">
      <c r="JO490" s="5"/>
      <c r="JP490" s="5"/>
      <c r="JQ490" s="5"/>
      <c r="JR490" s="5"/>
      <c r="JS490" s="6"/>
      <c r="JT490" s="23"/>
      <c r="JU490" s="13"/>
      <c r="JV490" s="6"/>
      <c r="JW490" s="6"/>
      <c r="JX490" s="6"/>
      <c r="JY490" s="6"/>
      <c r="JZ490" s="10"/>
      <c r="KA490" s="10"/>
      <c r="KB490" s="10"/>
      <c r="KC490" s="10"/>
      <c r="KD490" s="5"/>
      <c r="KE490" s="6"/>
    </row>
    <row r="491" spans="275:291" x14ac:dyDescent="0.3">
      <c r="JO491" s="5"/>
      <c r="JP491" s="5"/>
      <c r="JQ491" s="5"/>
      <c r="JR491" s="5"/>
      <c r="JS491" s="6"/>
      <c r="JT491" s="23"/>
      <c r="JU491" s="13"/>
      <c r="JV491" s="6"/>
      <c r="JW491" s="6"/>
      <c r="JX491" s="6"/>
      <c r="JY491" s="6"/>
      <c r="JZ491" s="10"/>
      <c r="KA491" s="10"/>
      <c r="KB491" s="10"/>
      <c r="KC491" s="10"/>
      <c r="KD491" s="5"/>
      <c r="KE491" s="6"/>
    </row>
    <row r="492" spans="275:291" x14ac:dyDescent="0.3">
      <c r="JO492" s="5"/>
      <c r="JP492" s="5"/>
      <c r="JQ492" s="5"/>
      <c r="JR492" s="5"/>
      <c r="JS492" s="6"/>
      <c r="JT492" s="23"/>
      <c r="JU492" s="13"/>
      <c r="JV492" s="6"/>
      <c r="JW492" s="6"/>
      <c r="JX492" s="6"/>
      <c r="JY492" s="6"/>
      <c r="JZ492" s="10"/>
      <c r="KA492" s="10"/>
      <c r="KB492" s="10"/>
      <c r="KC492" s="10"/>
      <c r="KD492" s="5"/>
      <c r="KE492" s="6"/>
    </row>
    <row r="493" spans="275:291" x14ac:dyDescent="0.3">
      <c r="JO493" s="5"/>
      <c r="JP493" s="5"/>
      <c r="JQ493" s="5"/>
      <c r="JR493" s="5"/>
      <c r="JS493" s="6"/>
      <c r="JT493" s="23"/>
      <c r="JU493" s="13"/>
      <c r="JV493" s="6"/>
      <c r="JW493" s="6"/>
      <c r="JX493" s="6"/>
      <c r="JY493" s="6"/>
      <c r="JZ493" s="10"/>
      <c r="KA493" s="10"/>
      <c r="KB493" s="10"/>
      <c r="KC493" s="10"/>
      <c r="KD493" s="5"/>
      <c r="KE493" s="6"/>
    </row>
    <row r="494" spans="275:291" x14ac:dyDescent="0.3">
      <c r="JO494" s="5"/>
      <c r="JP494" s="5"/>
      <c r="JQ494" s="5"/>
      <c r="JR494" s="5"/>
      <c r="JS494" s="6"/>
      <c r="JT494" s="23"/>
      <c r="JU494" s="13"/>
      <c r="JV494" s="6"/>
      <c r="JW494" s="6"/>
      <c r="JX494" s="6"/>
      <c r="JY494" s="6"/>
      <c r="JZ494" s="10"/>
      <c r="KA494" s="10"/>
      <c r="KB494" s="10"/>
      <c r="KC494" s="10"/>
      <c r="KD494" s="5"/>
      <c r="KE494" s="6"/>
    </row>
    <row r="495" spans="275:291" x14ac:dyDescent="0.3">
      <c r="JO495" s="5"/>
      <c r="JP495" s="5"/>
      <c r="JQ495" s="5"/>
      <c r="JR495" s="5"/>
      <c r="JS495" s="6"/>
      <c r="JT495" s="23"/>
      <c r="JU495" s="13"/>
      <c r="JV495" s="6"/>
      <c r="JW495" s="6"/>
      <c r="JX495" s="6"/>
      <c r="JY495" s="6"/>
      <c r="JZ495" s="10"/>
      <c r="KA495" s="10"/>
      <c r="KB495" s="10"/>
      <c r="KC495" s="10"/>
      <c r="KD495" s="5"/>
      <c r="KE495" s="6"/>
    </row>
    <row r="496" spans="275:291" x14ac:dyDescent="0.3">
      <c r="JO496" s="5"/>
      <c r="JP496" s="5"/>
      <c r="JQ496" s="5"/>
      <c r="JR496" s="5"/>
      <c r="JS496" s="6"/>
      <c r="JT496" s="23"/>
      <c r="JU496" s="13"/>
      <c r="JV496" s="6"/>
      <c r="JW496" s="6"/>
      <c r="JX496" s="6"/>
      <c r="JY496" s="6"/>
      <c r="JZ496" s="10"/>
      <c r="KA496" s="10"/>
      <c r="KB496" s="10"/>
      <c r="KC496" s="10"/>
      <c r="KD496" s="5"/>
      <c r="KE496" s="6"/>
    </row>
    <row r="497" spans="275:291" x14ac:dyDescent="0.3">
      <c r="JO497" s="5"/>
      <c r="JP497" s="5"/>
      <c r="JQ497" s="5"/>
      <c r="JR497" s="5"/>
      <c r="JS497" s="6"/>
      <c r="JT497" s="23"/>
      <c r="JU497" s="13"/>
      <c r="JV497" s="6"/>
      <c r="JW497" s="6"/>
      <c r="JX497" s="6"/>
      <c r="JY497" s="6"/>
      <c r="JZ497" s="10"/>
      <c r="KA497" s="10"/>
      <c r="KB497" s="10"/>
      <c r="KC497" s="10"/>
      <c r="KD497" s="5"/>
      <c r="KE497" s="6"/>
    </row>
    <row r="498" spans="275:291" x14ac:dyDescent="0.3">
      <c r="JO498" s="5"/>
      <c r="JP498" s="5"/>
      <c r="JQ498" s="5"/>
      <c r="JR498" s="5"/>
      <c r="JS498" s="6"/>
      <c r="JT498" s="23"/>
      <c r="JU498" s="13"/>
      <c r="JV498" s="6"/>
      <c r="JW498" s="6"/>
      <c r="JX498" s="6"/>
      <c r="JY498" s="6"/>
      <c r="JZ498" s="10"/>
      <c r="KA498" s="10"/>
      <c r="KB498" s="10"/>
      <c r="KC498" s="10"/>
      <c r="KD498" s="5"/>
      <c r="KE498" s="6"/>
    </row>
    <row r="499" spans="275:291" x14ac:dyDescent="0.3">
      <c r="JO499" s="5"/>
      <c r="JP499" s="5"/>
      <c r="JQ499" s="5"/>
      <c r="JR499" s="5"/>
      <c r="JS499" s="6"/>
      <c r="JT499" s="23"/>
      <c r="JU499" s="13"/>
      <c r="JV499" s="6"/>
      <c r="JW499" s="6"/>
      <c r="JX499" s="6"/>
      <c r="JY499" s="6"/>
      <c r="JZ499" s="10"/>
      <c r="KA499" s="10"/>
      <c r="KB499" s="10"/>
      <c r="KC499" s="10"/>
      <c r="KD499" s="5"/>
      <c r="KE499" s="6"/>
    </row>
    <row r="500" spans="275:291" x14ac:dyDescent="0.3">
      <c r="JO500" s="5"/>
      <c r="JP500" s="5"/>
      <c r="JQ500" s="5"/>
      <c r="JR500" s="5"/>
      <c r="JS500" s="6"/>
      <c r="JT500" s="23"/>
      <c r="JU500" s="13"/>
      <c r="JV500" s="6"/>
      <c r="JW500" s="6"/>
      <c r="JX500" s="6"/>
      <c r="JY500" s="6"/>
      <c r="JZ500" s="10"/>
      <c r="KA500" s="10"/>
      <c r="KB500" s="10"/>
      <c r="KC500" s="10"/>
      <c r="KD500" s="5"/>
      <c r="KE500" s="6"/>
    </row>
    <row r="501" spans="275:291" x14ac:dyDescent="0.3">
      <c r="JO501" s="5"/>
      <c r="JP501" s="5"/>
      <c r="JQ501" s="5"/>
      <c r="JR501" s="5"/>
      <c r="JS501" s="6"/>
      <c r="JT501" s="23"/>
      <c r="JU501" s="13"/>
      <c r="JV501" s="6"/>
      <c r="JW501" s="6"/>
      <c r="JX501" s="6"/>
      <c r="JY501" s="6"/>
      <c r="JZ501" s="10"/>
      <c r="KA501" s="10"/>
      <c r="KB501" s="10"/>
      <c r="KC501" s="10"/>
      <c r="KD501" s="5"/>
      <c r="KE501" s="6"/>
    </row>
  </sheetData>
  <conditionalFormatting sqref="B14">
    <cfRule type="duplicateValues" dxfId="1" priority="1"/>
  </conditionalFormatting>
  <conditionalFormatting sqref="B17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2" max="2" width="13.21875" bestFit="1" customWidth="1"/>
    <col min="4" max="4" width="27.21875" bestFit="1" customWidth="1"/>
    <col min="5" max="5" width="19.21875" bestFit="1" customWidth="1"/>
    <col min="6" max="6" width="17.33203125" bestFit="1" customWidth="1"/>
    <col min="7" max="7" width="14.77734375" bestFit="1" customWidth="1"/>
    <col min="8" max="8" width="17" bestFit="1" customWidth="1"/>
    <col min="9" max="9" width="23.21875" bestFit="1" customWidth="1"/>
    <col min="10" max="10" width="11.5546875" bestFit="1" customWidth="1"/>
    <col min="12" max="12" width="11.21875" bestFit="1" customWidth="1"/>
  </cols>
  <sheetData>
    <row r="1" spans="1:12" x14ac:dyDescent="0.3">
      <c r="A1" s="15" t="s">
        <v>35</v>
      </c>
      <c r="B1" s="15" t="s">
        <v>36</v>
      </c>
      <c r="C1" s="15" t="s">
        <v>37</v>
      </c>
      <c r="D1" s="16" t="s">
        <v>38</v>
      </c>
      <c r="E1" s="15" t="s">
        <v>39</v>
      </c>
      <c r="F1" s="15" t="s">
        <v>40</v>
      </c>
      <c r="G1" s="15" t="s">
        <v>41</v>
      </c>
      <c r="H1" s="15" t="s">
        <v>42</v>
      </c>
      <c r="I1" s="15" t="s">
        <v>43</v>
      </c>
      <c r="J1" s="15" t="s">
        <v>44</v>
      </c>
      <c r="K1" s="18" t="s">
        <v>48</v>
      </c>
      <c r="L1" s="18" t="s">
        <v>46</v>
      </c>
    </row>
    <row r="2" spans="1:12" x14ac:dyDescent="0.3">
      <c r="A2" s="14">
        <v>1190050</v>
      </c>
      <c r="B2" s="14" t="s">
        <v>68</v>
      </c>
      <c r="C2" s="14">
        <v>135488</v>
      </c>
      <c r="D2" s="64">
        <v>45756</v>
      </c>
      <c r="E2" s="14">
        <v>16</v>
      </c>
      <c r="F2" s="14">
        <v>0</v>
      </c>
      <c r="G2" s="14">
        <v>16</v>
      </c>
      <c r="H2" s="14">
        <v>0</v>
      </c>
      <c r="I2" s="14">
        <v>0</v>
      </c>
      <c r="J2" s="14">
        <v>0</v>
      </c>
      <c r="K2" s="14" t="s">
        <v>69</v>
      </c>
      <c r="L2" s="14" t="s">
        <v>67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Dropout</vt:lpstr>
      <vt:lpstr>Foreclosures</vt:lpstr>
      <vt:lpstr>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Ganesh Jadhav</cp:lastModifiedBy>
  <cp:lastPrinted>2024-11-30T12:13:03Z</cp:lastPrinted>
  <dcterms:created xsi:type="dcterms:W3CDTF">2023-03-01T08:21:06Z</dcterms:created>
  <dcterms:modified xsi:type="dcterms:W3CDTF">2026-05-19T12:39:35Z</dcterms:modified>
</cp:coreProperties>
</file>